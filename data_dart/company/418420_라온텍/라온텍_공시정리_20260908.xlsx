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시목록(전체)" sheetId="1" state="visible" r:id="rId1"/>
    <sheet xmlns:r="http://schemas.openxmlformats.org/officeDocument/2006/relationships" name="실적(분기)" sheetId="2" state="visible" r:id="rId2"/>
    <sheet xmlns:r="http://schemas.openxmlformats.org/officeDocument/2006/relationships" name="품목별매출(정기보고서)" sheetId="3" state="visible" r:id="rId3"/>
    <sheet xmlns:r="http://schemas.openxmlformats.org/officeDocument/2006/relationships" name="자금조달_증자" sheetId="4" state="visible" r:id="rId4"/>
    <sheet xmlns:r="http://schemas.openxmlformats.org/officeDocument/2006/relationships" name="영업활동_계약" sheetId="5" state="visible" r:id="rId5"/>
    <sheet xmlns:r="http://schemas.openxmlformats.org/officeDocument/2006/relationships" name="5%_임원보고" sheetId="6" state="visible" r:id="rId6"/>
    <sheet xmlns:r="http://schemas.openxmlformats.org/officeDocument/2006/relationships" name="5%_임원보고 원본" sheetId="7" state="visible" r:id="rId7"/>
    <sheet xmlns:r="http://schemas.openxmlformats.org/officeDocument/2006/relationships" name="경영권_지배구조" sheetId="8" state="visible" r:id="rId8"/>
    <sheet xmlns:r="http://schemas.openxmlformats.org/officeDocument/2006/relationships" name="기타공시" sheetId="9" state="visible" r:id="rId9"/>
  </sheets>
  <definedNames>
    <definedName name="_xlnm._FilterDatabase" localSheetId="0" hidden="1">'공시목록(전체)'!$A$1:$H$170</definedName>
    <definedName name="_xlnm._FilterDatabase" localSheetId="3" hidden="1">'자금조달_증자'!$A$1:$T$2</definedName>
    <definedName name="_xlnm._FilterDatabase" localSheetId="4" hidden="1">'영업활동_계약'!$A$1:$P$8</definedName>
    <definedName name="_xlnm._FilterDatabase" localSheetId="5" hidden="1">'5%_임원보고'!$A$1:$R$104</definedName>
    <definedName name="_xlnm._FilterDatabase" localSheetId="6" hidden="1">'5%_임원보고 원본'!$A$1:$R$118</definedName>
    <definedName name="_xlnm._FilterDatabase" localSheetId="7" hidden="1">'경영권_지배구조'!$A$1:$H$12</definedName>
    <definedName name="_xlnm._FilterDatabase" localSheetId="8" hidden="1">'기타공시'!$A$1:$H$40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₩#,##0"/>
    <numFmt numFmtId="165" formatCode="0.00&quot;%&quot;"/>
    <numFmt numFmtId="166" formatCode="#,##0;[Red]-#,##0"/>
  </numFmts>
  <fonts count="11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  <font>
      <name val="Malgun Gothic"/>
      <color rgb="000000FF"/>
      <sz val="9"/>
      <u val="single"/>
    </font>
    <font>
      <name val="Malgun Gothic"/>
      <color rgb="000000FF"/>
      <sz val="9"/>
    </font>
    <font>
      <name val="Malgun Gothic"/>
      <color rgb="00FF0000"/>
      <sz val="9"/>
    </font>
    <font>
      <name val="맑은 고딕"/>
      <color rgb="000563C1"/>
      <sz val="10"/>
      <u val="single"/>
    </font>
    <font>
      <name val="맑은 고딕"/>
      <b val="1"/>
      <color rgb="00FFFFFF"/>
      <sz val="10"/>
    </font>
    <font>
      <name val="맑은 고딕"/>
      <sz val="10"/>
    </font>
    <font>
      <name val="맑은 고딕"/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333F48"/>
        <bgColor rgb="00333F48"/>
      </patternFill>
    </fill>
    <fill>
      <patternFill patternType="solid">
        <fgColor rgb="001F4E78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165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 wrapText="1"/>
    </xf>
    <xf numFmtId="165" fontId="3" fillId="0" borderId="2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3" fontId="5" fillId="0" borderId="2" applyAlignment="1" pivotButton="0" quotePrefix="0" xfId="0">
      <alignment horizontal="right" vertical="center"/>
    </xf>
    <xf numFmtId="2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8" fillId="5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wrapText="1"/>
    </xf>
    <xf numFmtId="166" fontId="9" fillId="0" borderId="3" applyAlignment="1" pivotButton="0" quotePrefix="0" xfId="0">
      <alignment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art.fss.or.kr/dsaf001/main.do?rcpNo=20260904000202" TargetMode="External" Id="rId1"/><Relationship Type="http://schemas.openxmlformats.org/officeDocument/2006/relationships/hyperlink" Target="https://dart.fss.or.kr/dsaf001/main.do?rcpNo=20260904000197" TargetMode="External" Id="rId2"/><Relationship Type="http://schemas.openxmlformats.org/officeDocument/2006/relationships/hyperlink" Target="https://dart.fss.or.kr/dsaf001/main.do?rcpNo=20260904000182" TargetMode="External" Id="rId3"/><Relationship Type="http://schemas.openxmlformats.org/officeDocument/2006/relationships/hyperlink" Target="https://dart.fss.or.kr/dsaf001/main.do?rcpNo=20260901900129" TargetMode="External" Id="rId4"/><Relationship Type="http://schemas.openxmlformats.org/officeDocument/2006/relationships/hyperlink" Target="https://dart.fss.or.kr/dsaf001/main.do?rcpNo=20260827000993" TargetMode="External" Id="rId5"/><Relationship Type="http://schemas.openxmlformats.org/officeDocument/2006/relationships/hyperlink" Target="https://dart.fss.or.kr/dsaf001/main.do?rcpNo=20260821000666" TargetMode="External" Id="rId6"/><Relationship Type="http://schemas.openxmlformats.org/officeDocument/2006/relationships/hyperlink" Target="https://dart.fss.or.kr/dsaf001/main.do?rcpNo=20260821000660" TargetMode="External" Id="rId7"/><Relationship Type="http://schemas.openxmlformats.org/officeDocument/2006/relationships/hyperlink" Target="https://dart.fss.or.kr/dsaf001/main.do?rcpNo=20260814003886" TargetMode="External" Id="rId8"/><Relationship Type="http://schemas.openxmlformats.org/officeDocument/2006/relationships/hyperlink" Target="https://dart.fss.or.kr/dsaf001/main.do?rcpNo=20260709000313" TargetMode="External" Id="rId9"/><Relationship Type="http://schemas.openxmlformats.org/officeDocument/2006/relationships/hyperlink" Target="https://dart.fss.or.kr/dsaf001/main.do?rcpNo=20260706900374" TargetMode="External" Id="rId10"/><Relationship Type="http://schemas.openxmlformats.org/officeDocument/2006/relationships/hyperlink" Target="https://dart.fss.or.kr/dsaf001/main.do?rcpNo=20260615000267" TargetMode="External" Id="rId11"/><Relationship Type="http://schemas.openxmlformats.org/officeDocument/2006/relationships/hyperlink" Target="https://dart.fss.or.kr/dsaf001/main.do?rcpNo=20260615000258" TargetMode="External" Id="rId12"/><Relationship Type="http://schemas.openxmlformats.org/officeDocument/2006/relationships/hyperlink" Target="https://dart.fss.or.kr/dsaf001/main.do?rcpNo=20260615000249" TargetMode="External" Id="rId13"/><Relationship Type="http://schemas.openxmlformats.org/officeDocument/2006/relationships/hyperlink" Target="https://dart.fss.or.kr/dsaf001/main.do?rcpNo=20260615000240" TargetMode="External" Id="rId14"/><Relationship Type="http://schemas.openxmlformats.org/officeDocument/2006/relationships/hyperlink" Target="https://dart.fss.or.kr/dsaf001/main.do?rcpNo=20260615000230" TargetMode="External" Id="rId15"/><Relationship Type="http://schemas.openxmlformats.org/officeDocument/2006/relationships/hyperlink" Target="https://dart.fss.or.kr/dsaf001/main.do?rcpNo=20260515002920" TargetMode="External" Id="rId16"/><Relationship Type="http://schemas.openxmlformats.org/officeDocument/2006/relationships/hyperlink" Target="https://dart.fss.or.kr/dsaf001/main.do?rcpNo=20260515002854" TargetMode="External" Id="rId17"/><Relationship Type="http://schemas.openxmlformats.org/officeDocument/2006/relationships/hyperlink" Target="https://dart.fss.or.kr/dsaf001/main.do?rcpNo=20260410002467" TargetMode="External" Id="rId18"/><Relationship Type="http://schemas.openxmlformats.org/officeDocument/2006/relationships/hyperlink" Target="https://dart.fss.or.kr/dsaf001/main.do?rcpNo=20260410002300" TargetMode="External" Id="rId19"/><Relationship Type="http://schemas.openxmlformats.org/officeDocument/2006/relationships/hyperlink" Target="https://dart.fss.or.kr/dsaf001/main.do?rcpNo=20260410002268" TargetMode="External" Id="rId20"/><Relationship Type="http://schemas.openxmlformats.org/officeDocument/2006/relationships/hyperlink" Target="https://dart.fss.or.kr/dsaf001/main.do?rcpNo=20260410002240" TargetMode="External" Id="rId21"/><Relationship Type="http://schemas.openxmlformats.org/officeDocument/2006/relationships/hyperlink" Target="https://dart.fss.or.kr/dsaf001/main.do?rcpNo=20260410002196" TargetMode="External" Id="rId22"/><Relationship Type="http://schemas.openxmlformats.org/officeDocument/2006/relationships/hyperlink" Target="https://dart.fss.or.kr/dsaf001/main.do?rcpNo=20260330001792" TargetMode="External" Id="rId23"/><Relationship Type="http://schemas.openxmlformats.org/officeDocument/2006/relationships/hyperlink" Target="https://dart.fss.or.kr/dsaf001/main.do?rcpNo=20260326900748" TargetMode="External" Id="rId24"/><Relationship Type="http://schemas.openxmlformats.org/officeDocument/2006/relationships/hyperlink" Target="https://dart.fss.or.kr/dsaf001/main.do?rcpNo=20260323901335" TargetMode="External" Id="rId25"/><Relationship Type="http://schemas.openxmlformats.org/officeDocument/2006/relationships/hyperlink" Target="https://dart.fss.or.kr/dsaf001/main.do?rcpNo=20260318901736" TargetMode="External" Id="rId26"/><Relationship Type="http://schemas.openxmlformats.org/officeDocument/2006/relationships/hyperlink" Target="https://dart.fss.or.kr/dsaf001/main.do?rcpNo=20260318001644" TargetMode="External" Id="rId27"/><Relationship Type="http://schemas.openxmlformats.org/officeDocument/2006/relationships/hyperlink" Target="https://dart.fss.or.kr/dsaf001/main.do?rcpNo=20260313001131" TargetMode="External" Id="rId28"/><Relationship Type="http://schemas.openxmlformats.org/officeDocument/2006/relationships/hyperlink" Target="https://dart.fss.or.kr/dsaf001/main.do?rcpNo=20260309001735" TargetMode="External" Id="rId29"/><Relationship Type="http://schemas.openxmlformats.org/officeDocument/2006/relationships/hyperlink" Target="https://dart.fss.or.kr/dsaf001/main.do?rcpNo=20260309001692" TargetMode="External" Id="rId30"/><Relationship Type="http://schemas.openxmlformats.org/officeDocument/2006/relationships/hyperlink" Target="https://dart.fss.or.kr/dsaf001/main.do?rcpNo=20260306901535" TargetMode="External" Id="rId31"/><Relationship Type="http://schemas.openxmlformats.org/officeDocument/2006/relationships/hyperlink" Target="https://dart.fss.or.kr/dsaf001/main.do?rcpNo=20260225900641" TargetMode="External" Id="rId32"/><Relationship Type="http://schemas.openxmlformats.org/officeDocument/2006/relationships/hyperlink" Target="https://dart.fss.or.kr/dsaf001/main.do?rcpNo=20260211900921" TargetMode="External" Id="rId33"/><Relationship Type="http://schemas.openxmlformats.org/officeDocument/2006/relationships/hyperlink" Target="https://dart.fss.or.kr/dsaf001/main.do?rcpNo=20260206002115" TargetMode="External" Id="rId34"/><Relationship Type="http://schemas.openxmlformats.org/officeDocument/2006/relationships/hyperlink" Target="https://dart.fss.or.kr/dsaf001/main.do?rcpNo=20260206002106" TargetMode="External" Id="rId35"/><Relationship Type="http://schemas.openxmlformats.org/officeDocument/2006/relationships/hyperlink" Target="https://dart.fss.or.kr/dsaf001/main.do?rcpNo=20260206002095" TargetMode="External" Id="rId36"/><Relationship Type="http://schemas.openxmlformats.org/officeDocument/2006/relationships/hyperlink" Target="https://dart.fss.or.kr/dsaf001/main.do?rcpNo=20260204900420" TargetMode="External" Id="rId37"/><Relationship Type="http://schemas.openxmlformats.org/officeDocument/2006/relationships/hyperlink" Target="https://dart.fss.or.kr/dsaf001/main.do?rcpNo=20251223900681" TargetMode="External" Id="rId38"/><Relationship Type="http://schemas.openxmlformats.org/officeDocument/2006/relationships/hyperlink" Target="https://dart.fss.or.kr/dsaf001/main.do?rcpNo=20251215900611" TargetMode="External" Id="rId39"/><Relationship Type="http://schemas.openxmlformats.org/officeDocument/2006/relationships/hyperlink" Target="https://dart.fss.or.kr/dsaf001/main.do?rcpNo=20251208000061" TargetMode="External" Id="rId40"/><Relationship Type="http://schemas.openxmlformats.org/officeDocument/2006/relationships/hyperlink" Target="https://dart.fss.or.kr/dsaf001/main.do?rcpNo=20251204000324" TargetMode="External" Id="rId41"/><Relationship Type="http://schemas.openxmlformats.org/officeDocument/2006/relationships/hyperlink" Target="https://dart.fss.or.kr/dsaf001/main.do?rcpNo=20251204000323" TargetMode="External" Id="rId42"/><Relationship Type="http://schemas.openxmlformats.org/officeDocument/2006/relationships/hyperlink" Target="https://dart.fss.or.kr/dsaf001/main.do?rcpNo=20251204000321" TargetMode="External" Id="rId43"/><Relationship Type="http://schemas.openxmlformats.org/officeDocument/2006/relationships/hyperlink" Target="https://dart.fss.or.kr/dsaf001/main.do?rcpNo=20251203000353" TargetMode="External" Id="rId44"/><Relationship Type="http://schemas.openxmlformats.org/officeDocument/2006/relationships/hyperlink" Target="https://dart.fss.or.kr/dsaf001/main.do?rcpNo=20251203000349" TargetMode="External" Id="rId45"/><Relationship Type="http://schemas.openxmlformats.org/officeDocument/2006/relationships/hyperlink" Target="https://dart.fss.or.kr/dsaf001/main.do?rcpNo=20251203000347" TargetMode="External" Id="rId46"/><Relationship Type="http://schemas.openxmlformats.org/officeDocument/2006/relationships/hyperlink" Target="https://dart.fss.or.kr/dsaf001/main.do?rcpNo=20251203000342" TargetMode="External" Id="rId47"/><Relationship Type="http://schemas.openxmlformats.org/officeDocument/2006/relationships/hyperlink" Target="https://dart.fss.or.kr/dsaf001/main.do?rcpNo=20251203000335" TargetMode="External" Id="rId48"/><Relationship Type="http://schemas.openxmlformats.org/officeDocument/2006/relationships/hyperlink" Target="https://dart.fss.or.kr/dsaf001/main.do?rcpNo=20251203000326" TargetMode="External" Id="rId49"/><Relationship Type="http://schemas.openxmlformats.org/officeDocument/2006/relationships/hyperlink" Target="https://dart.fss.or.kr/dsaf001/main.do?rcpNo=20251125900455" TargetMode="External" Id="rId50"/><Relationship Type="http://schemas.openxmlformats.org/officeDocument/2006/relationships/hyperlink" Target="https://dart.fss.or.kr/dsaf001/main.do?rcpNo=20251114002884" TargetMode="External" Id="rId51"/><Relationship Type="http://schemas.openxmlformats.org/officeDocument/2006/relationships/hyperlink" Target="https://dart.fss.or.kr/dsaf001/main.do?rcpNo=20251017000488" TargetMode="External" Id="rId52"/><Relationship Type="http://schemas.openxmlformats.org/officeDocument/2006/relationships/hyperlink" Target="https://dart.fss.or.kr/dsaf001/main.do?rcpNo=20251002000588" TargetMode="External" Id="rId53"/><Relationship Type="http://schemas.openxmlformats.org/officeDocument/2006/relationships/hyperlink" Target="https://dart.fss.or.kr/dsaf001/main.do?rcpNo=20251002000579" TargetMode="External" Id="rId54"/><Relationship Type="http://schemas.openxmlformats.org/officeDocument/2006/relationships/hyperlink" Target="https://dart.fss.or.kr/dsaf001/main.do?rcpNo=20251002000575" TargetMode="External" Id="rId55"/><Relationship Type="http://schemas.openxmlformats.org/officeDocument/2006/relationships/hyperlink" Target="https://dart.fss.or.kr/dsaf001/main.do?rcpNo=20250917900278" TargetMode="External" Id="rId56"/><Relationship Type="http://schemas.openxmlformats.org/officeDocument/2006/relationships/hyperlink" Target="https://dart.fss.or.kr/dsaf001/main.do?rcpNo=20250910900149" TargetMode="External" Id="rId57"/><Relationship Type="http://schemas.openxmlformats.org/officeDocument/2006/relationships/hyperlink" Target="https://dart.fss.or.kr/dsaf001/main.do?rcpNo=20250908900323" TargetMode="External" Id="rId58"/><Relationship Type="http://schemas.openxmlformats.org/officeDocument/2006/relationships/hyperlink" Target="https://dart.fss.or.kr/dsaf001/main.do?rcpNo=20250826900250" TargetMode="External" Id="rId59"/><Relationship Type="http://schemas.openxmlformats.org/officeDocument/2006/relationships/hyperlink" Target="https://dart.fss.or.kr/dsaf001/main.do?rcpNo=20250826000386" TargetMode="External" Id="rId60"/><Relationship Type="http://schemas.openxmlformats.org/officeDocument/2006/relationships/hyperlink" Target="https://dart.fss.or.kr/dsaf001/main.do?rcpNo=20250818000222" TargetMode="External" Id="rId61"/><Relationship Type="http://schemas.openxmlformats.org/officeDocument/2006/relationships/hyperlink" Target="https://dart.fss.or.kr/dsaf001/main.do?rcpNo=20250814004163" TargetMode="External" Id="rId62"/><Relationship Type="http://schemas.openxmlformats.org/officeDocument/2006/relationships/hyperlink" Target="https://dart.fss.or.kr/dsaf001/main.do?rcpNo=20250813001420" TargetMode="External" Id="rId63"/><Relationship Type="http://schemas.openxmlformats.org/officeDocument/2006/relationships/hyperlink" Target="https://dart.fss.or.kr/dsaf001/main.do?rcpNo=20250725900619" TargetMode="External" Id="rId64"/><Relationship Type="http://schemas.openxmlformats.org/officeDocument/2006/relationships/hyperlink" Target="https://dart.fss.or.kr/dsaf001/main.do?rcpNo=20250515002783" TargetMode="External" Id="rId65"/><Relationship Type="http://schemas.openxmlformats.org/officeDocument/2006/relationships/hyperlink" Target="https://dart.fss.or.kr/dsaf001/main.do?rcpNo=20250509900739" TargetMode="External" Id="rId66"/><Relationship Type="http://schemas.openxmlformats.org/officeDocument/2006/relationships/hyperlink" Target="https://dart.fss.or.kr/dsaf001/main.do?rcpNo=20250425900577" TargetMode="External" Id="rId67"/><Relationship Type="http://schemas.openxmlformats.org/officeDocument/2006/relationships/hyperlink" Target="https://dart.fss.or.kr/dsaf001/main.do?rcpNo=20250410003121" TargetMode="External" Id="rId68"/><Relationship Type="http://schemas.openxmlformats.org/officeDocument/2006/relationships/hyperlink" Target="https://dart.fss.or.kr/dsaf001/main.do?rcpNo=20250410003059" TargetMode="External" Id="rId69"/><Relationship Type="http://schemas.openxmlformats.org/officeDocument/2006/relationships/hyperlink" Target="https://dart.fss.or.kr/dsaf001/main.do?rcpNo=20250410002995" TargetMode="External" Id="rId70"/><Relationship Type="http://schemas.openxmlformats.org/officeDocument/2006/relationships/hyperlink" Target="https://dart.fss.or.kr/dsaf001/main.do?rcpNo=20250410002952" TargetMode="External" Id="rId71"/><Relationship Type="http://schemas.openxmlformats.org/officeDocument/2006/relationships/hyperlink" Target="https://dart.fss.or.kr/dsaf001/main.do?rcpNo=20250410002910" TargetMode="External" Id="rId72"/><Relationship Type="http://schemas.openxmlformats.org/officeDocument/2006/relationships/hyperlink" Target="https://dart.fss.or.kr/dsaf001/main.do?rcpNo=20250410002864" TargetMode="External" Id="rId73"/><Relationship Type="http://schemas.openxmlformats.org/officeDocument/2006/relationships/hyperlink" Target="https://dart.fss.or.kr/dsaf001/main.do?rcpNo=20250408002367" TargetMode="External" Id="rId74"/><Relationship Type="http://schemas.openxmlformats.org/officeDocument/2006/relationships/hyperlink" Target="https://dart.fss.or.kr/dsaf001/main.do?rcpNo=20250331903040" TargetMode="External" Id="rId75"/><Relationship Type="http://schemas.openxmlformats.org/officeDocument/2006/relationships/hyperlink" Target="https://dart.fss.or.kr/dsaf001/main.do?rcpNo=20250331003872" TargetMode="External" Id="rId76"/><Relationship Type="http://schemas.openxmlformats.org/officeDocument/2006/relationships/hyperlink" Target="https://dart.fss.or.kr/dsaf001/main.do?rcpNo=20250328001762" TargetMode="External" Id="rId77"/><Relationship Type="http://schemas.openxmlformats.org/officeDocument/2006/relationships/hyperlink" Target="https://dart.fss.or.kr/dsaf001/main.do?rcpNo=20250328001708" TargetMode="External" Id="rId78"/><Relationship Type="http://schemas.openxmlformats.org/officeDocument/2006/relationships/hyperlink" Target="https://dart.fss.or.kr/dsaf001/main.do?rcpNo=20250328001663" TargetMode="External" Id="rId79"/><Relationship Type="http://schemas.openxmlformats.org/officeDocument/2006/relationships/hyperlink" Target="https://dart.fss.or.kr/dsaf001/main.do?rcpNo=20250327000671" TargetMode="External" Id="rId80"/><Relationship Type="http://schemas.openxmlformats.org/officeDocument/2006/relationships/hyperlink" Target="https://dart.fss.or.kr/dsaf001/main.do?rcpNo=20250324000502" TargetMode="External" Id="rId81"/><Relationship Type="http://schemas.openxmlformats.org/officeDocument/2006/relationships/hyperlink" Target="https://dart.fss.or.kr/dsaf001/main.do?rcpNo=20250321900826" TargetMode="External" Id="rId82"/><Relationship Type="http://schemas.openxmlformats.org/officeDocument/2006/relationships/hyperlink" Target="https://dart.fss.or.kr/dsaf001/main.do?rcpNo=20250321001251" TargetMode="External" Id="rId83"/><Relationship Type="http://schemas.openxmlformats.org/officeDocument/2006/relationships/hyperlink" Target="https://dart.fss.or.kr/dsaf001/main.do?rcpNo=20250314001431" TargetMode="External" Id="rId84"/><Relationship Type="http://schemas.openxmlformats.org/officeDocument/2006/relationships/hyperlink" Target="https://dart.fss.or.kr/dsaf001/main.do?rcpNo=20250314001410" TargetMode="External" Id="rId85"/><Relationship Type="http://schemas.openxmlformats.org/officeDocument/2006/relationships/hyperlink" Target="https://dart.fss.or.kr/dsaf001/main.do?rcpNo=20250313001124" TargetMode="External" Id="rId86"/><Relationship Type="http://schemas.openxmlformats.org/officeDocument/2006/relationships/hyperlink" Target="https://dart.fss.or.kr/dsaf001/main.do?rcpNo=20250313001092" TargetMode="External" Id="rId87"/><Relationship Type="http://schemas.openxmlformats.org/officeDocument/2006/relationships/hyperlink" Target="https://dart.fss.or.kr/dsaf001/main.do?rcpNo=20250228901395" TargetMode="External" Id="rId88"/><Relationship Type="http://schemas.openxmlformats.org/officeDocument/2006/relationships/hyperlink" Target="https://dart.fss.or.kr/dsaf001/main.do?rcpNo=20250214901264" TargetMode="External" Id="rId89"/><Relationship Type="http://schemas.openxmlformats.org/officeDocument/2006/relationships/hyperlink" Target="https://dart.fss.or.kr/dsaf001/main.do?rcpNo=20241219900127" TargetMode="External" Id="rId90"/><Relationship Type="http://schemas.openxmlformats.org/officeDocument/2006/relationships/hyperlink" Target="https://dart.fss.or.kr/dsaf001/main.do?rcpNo=20241211900362" TargetMode="External" Id="rId91"/><Relationship Type="http://schemas.openxmlformats.org/officeDocument/2006/relationships/hyperlink" Target="https://dart.fss.or.kr/dsaf001/main.do?rcpNo=20241211000233" TargetMode="External" Id="rId92"/><Relationship Type="http://schemas.openxmlformats.org/officeDocument/2006/relationships/hyperlink" Target="https://dart.fss.or.kr/dsaf001/main.do?rcpNo=20241211000166" TargetMode="External" Id="rId93"/><Relationship Type="http://schemas.openxmlformats.org/officeDocument/2006/relationships/hyperlink" Target="https://dart.fss.or.kr/dsaf001/main.do?rcpNo=20241107000263" TargetMode="External" Id="rId94"/><Relationship Type="http://schemas.openxmlformats.org/officeDocument/2006/relationships/hyperlink" Target="https://dart.fss.or.kr/dsaf001/main.do?rcpNo=20241008900317" TargetMode="External" Id="rId95"/><Relationship Type="http://schemas.openxmlformats.org/officeDocument/2006/relationships/hyperlink" Target="https://dart.fss.or.kr/dsaf001/main.do?rcpNo=20240924900081" TargetMode="External" Id="rId96"/><Relationship Type="http://schemas.openxmlformats.org/officeDocument/2006/relationships/hyperlink" Target="https://dart.fss.or.kr/dsaf001/main.do?rcpNo=20240909000051" TargetMode="External" Id="rId97"/><Relationship Type="http://schemas.openxmlformats.org/officeDocument/2006/relationships/hyperlink" Target="https://dart.fss.or.kr/dsaf001/main.do?rcpNo=20240909000045" TargetMode="External" Id="rId98"/><Relationship Type="http://schemas.openxmlformats.org/officeDocument/2006/relationships/hyperlink" Target="https://dart.fss.or.kr/dsaf001/main.do?rcpNo=20240814003600" TargetMode="External" Id="rId99"/><Relationship Type="http://schemas.openxmlformats.org/officeDocument/2006/relationships/hyperlink" Target="https://dart.fss.or.kr/dsaf001/main.do?rcpNo=20240730000215" TargetMode="External" Id="rId100"/><Relationship Type="http://schemas.openxmlformats.org/officeDocument/2006/relationships/hyperlink" Target="https://dart.fss.or.kr/dsaf001/main.do?rcpNo=20240719900196" TargetMode="External" Id="rId101"/><Relationship Type="http://schemas.openxmlformats.org/officeDocument/2006/relationships/hyperlink" Target="https://dart.fss.or.kr/dsaf001/main.do?rcpNo=20240704900401" TargetMode="External" Id="rId102"/><Relationship Type="http://schemas.openxmlformats.org/officeDocument/2006/relationships/hyperlink" Target="https://dart.fss.or.kr/dsaf001/main.do?rcpNo=20240514001453" TargetMode="External" Id="rId103"/><Relationship Type="http://schemas.openxmlformats.org/officeDocument/2006/relationships/hyperlink" Target="https://dart.fss.or.kr/dsaf001/main.do?rcpNo=20240411004148" TargetMode="External" Id="rId104"/><Relationship Type="http://schemas.openxmlformats.org/officeDocument/2006/relationships/hyperlink" Target="https://dart.fss.or.kr/dsaf001/main.do?rcpNo=20240411004047" TargetMode="External" Id="rId105"/><Relationship Type="http://schemas.openxmlformats.org/officeDocument/2006/relationships/hyperlink" Target="https://dart.fss.or.kr/dsaf001/main.do?rcpNo=20240411004011" TargetMode="External" Id="rId106"/><Relationship Type="http://schemas.openxmlformats.org/officeDocument/2006/relationships/hyperlink" Target="https://dart.fss.or.kr/dsaf001/main.do?rcpNo=20240411003976" TargetMode="External" Id="rId107"/><Relationship Type="http://schemas.openxmlformats.org/officeDocument/2006/relationships/hyperlink" Target="https://dart.fss.or.kr/dsaf001/main.do?rcpNo=20240411003945" TargetMode="External" Id="rId108"/><Relationship Type="http://schemas.openxmlformats.org/officeDocument/2006/relationships/hyperlink" Target="https://dart.fss.or.kr/dsaf001/main.do?rcpNo=20240411003897" TargetMode="External" Id="rId109"/><Relationship Type="http://schemas.openxmlformats.org/officeDocument/2006/relationships/hyperlink" Target="https://dart.fss.or.kr/dsaf001/main.do?rcpNo=20240411003844" TargetMode="External" Id="rId110"/><Relationship Type="http://schemas.openxmlformats.org/officeDocument/2006/relationships/hyperlink" Target="https://dart.fss.or.kr/dsaf001/main.do?rcpNo=20240409900152" TargetMode="External" Id="rId111"/><Relationship Type="http://schemas.openxmlformats.org/officeDocument/2006/relationships/hyperlink" Target="https://dart.fss.or.kr/dsaf001/main.do?rcpNo=20240408900499" TargetMode="External" Id="rId112"/><Relationship Type="http://schemas.openxmlformats.org/officeDocument/2006/relationships/hyperlink" Target="https://dart.fss.or.kr/dsaf001/main.do?rcpNo=20240401900406" TargetMode="External" Id="rId113"/><Relationship Type="http://schemas.openxmlformats.org/officeDocument/2006/relationships/hyperlink" Target="https://dart.fss.or.kr/dsaf001/main.do?rcpNo=20240326900245" TargetMode="External" Id="rId114"/><Relationship Type="http://schemas.openxmlformats.org/officeDocument/2006/relationships/hyperlink" Target="https://dart.fss.or.kr/dsaf001/main.do?rcpNo=20240318900354" TargetMode="External" Id="rId115"/><Relationship Type="http://schemas.openxmlformats.org/officeDocument/2006/relationships/hyperlink" Target="https://dart.fss.or.kr/dsaf001/main.do?rcpNo=20240318000600" TargetMode="External" Id="rId116"/><Relationship Type="http://schemas.openxmlformats.org/officeDocument/2006/relationships/hyperlink" Target="https://dart.fss.or.kr/dsaf001/main.do?rcpNo=20240313000580" TargetMode="External" Id="rId117"/><Relationship Type="http://schemas.openxmlformats.org/officeDocument/2006/relationships/hyperlink" Target="https://dart.fss.or.kr/dsaf001/main.do?rcpNo=20240312000472" TargetMode="External" Id="rId118"/><Relationship Type="http://schemas.openxmlformats.org/officeDocument/2006/relationships/hyperlink" Target="https://dart.fss.or.kr/dsaf001/main.do?rcpNo=20240311900891" TargetMode="External" Id="rId119"/><Relationship Type="http://schemas.openxmlformats.org/officeDocument/2006/relationships/hyperlink" Target="https://dart.fss.or.kr/dsaf001/main.do?rcpNo=20240311000382" TargetMode="External" Id="rId120"/><Relationship Type="http://schemas.openxmlformats.org/officeDocument/2006/relationships/hyperlink" Target="https://dart.fss.or.kr/dsaf001/main.do?rcpNo=20240311000357" TargetMode="External" Id="rId121"/><Relationship Type="http://schemas.openxmlformats.org/officeDocument/2006/relationships/hyperlink" Target="https://dart.fss.or.kr/dsaf001/main.do?rcpNo=20240226900928" TargetMode="External" Id="rId122"/><Relationship Type="http://schemas.openxmlformats.org/officeDocument/2006/relationships/hyperlink" Target="https://dart.fss.or.kr/dsaf001/main.do?rcpNo=20240226005740" TargetMode="External" Id="rId123"/><Relationship Type="http://schemas.openxmlformats.org/officeDocument/2006/relationships/hyperlink" Target="https://dart.fss.or.kr/dsaf001/main.do?rcpNo=20240208900913" TargetMode="External" Id="rId124"/><Relationship Type="http://schemas.openxmlformats.org/officeDocument/2006/relationships/hyperlink" Target="https://dart.fss.or.kr/dsaf001/main.do?rcpNo=20231229000425" TargetMode="External" Id="rId125"/><Relationship Type="http://schemas.openxmlformats.org/officeDocument/2006/relationships/hyperlink" Target="https://dart.fss.or.kr/dsaf001/main.do?rcpNo=20231229000408" TargetMode="External" Id="rId126"/><Relationship Type="http://schemas.openxmlformats.org/officeDocument/2006/relationships/hyperlink" Target="https://dart.fss.or.kr/dsaf001/main.do?rcpNo=20231229000392" TargetMode="External" Id="rId127"/><Relationship Type="http://schemas.openxmlformats.org/officeDocument/2006/relationships/hyperlink" Target="https://dart.fss.or.kr/dsaf001/main.do?rcpNo=20231229000372" TargetMode="External" Id="rId128"/><Relationship Type="http://schemas.openxmlformats.org/officeDocument/2006/relationships/hyperlink" Target="https://dart.fss.or.kr/dsaf001/main.do?rcpNo=20231218900221" TargetMode="External" Id="rId129"/><Relationship Type="http://schemas.openxmlformats.org/officeDocument/2006/relationships/hyperlink" Target="https://dart.fss.or.kr/dsaf001/main.do?rcpNo=20231212900271" TargetMode="External" Id="rId130"/><Relationship Type="http://schemas.openxmlformats.org/officeDocument/2006/relationships/hyperlink" Target="https://dart.fss.or.kr/dsaf001/main.do?rcpNo=20231114002072" TargetMode="External" Id="rId131"/><Relationship Type="http://schemas.openxmlformats.org/officeDocument/2006/relationships/hyperlink" Target="https://dart.fss.or.kr/dsaf001/main.do?rcpNo=20230919900135" TargetMode="External" Id="rId132"/><Relationship Type="http://schemas.openxmlformats.org/officeDocument/2006/relationships/hyperlink" Target="https://dart.fss.or.kr/dsaf001/main.do?rcpNo=20230906900371" TargetMode="External" Id="rId133"/><Relationship Type="http://schemas.openxmlformats.org/officeDocument/2006/relationships/hyperlink" Target="https://dart.fss.or.kr/dsaf001/main.do?rcpNo=20230811900439" TargetMode="External" Id="rId134"/><Relationship Type="http://schemas.openxmlformats.org/officeDocument/2006/relationships/hyperlink" Target="https://dart.fss.or.kr/dsaf001/main.do?rcpNo=20230811002047" TargetMode="External" Id="rId135"/><Relationship Type="http://schemas.openxmlformats.org/officeDocument/2006/relationships/hyperlink" Target="https://dart.fss.or.kr/dsaf001/main.do?rcpNo=20230721000496" TargetMode="External" Id="rId136"/><Relationship Type="http://schemas.openxmlformats.org/officeDocument/2006/relationships/hyperlink" Target="https://dart.fss.or.kr/dsaf001/main.do?rcpNo=20230705900112" TargetMode="External" Id="rId137"/><Relationship Type="http://schemas.openxmlformats.org/officeDocument/2006/relationships/hyperlink" Target="https://dart.fss.or.kr/dsaf001/main.do?rcpNo=20230613900313" TargetMode="External" Id="rId138"/><Relationship Type="http://schemas.openxmlformats.org/officeDocument/2006/relationships/hyperlink" Target="https://dart.fss.or.kr/dsaf001/main.do?rcpNo=20230515001079" TargetMode="External" Id="rId139"/><Relationship Type="http://schemas.openxmlformats.org/officeDocument/2006/relationships/hyperlink" Target="https://dart.fss.or.kr/dsaf001/main.do?rcpNo=20230515000951" TargetMode="External" Id="rId140"/><Relationship Type="http://schemas.openxmlformats.org/officeDocument/2006/relationships/hyperlink" Target="https://dart.fss.or.kr/dsaf001/main.do?rcpNo=20230510000363" TargetMode="External" Id="rId141"/><Relationship Type="http://schemas.openxmlformats.org/officeDocument/2006/relationships/hyperlink" Target="https://dart.fss.or.kr/dsaf001/main.do?rcpNo=20230331900593" TargetMode="External" Id="rId142"/><Relationship Type="http://schemas.openxmlformats.org/officeDocument/2006/relationships/hyperlink" Target="https://dart.fss.or.kr/dsaf001/main.do?rcpNo=20230323900201" TargetMode="External" Id="rId143"/><Relationship Type="http://schemas.openxmlformats.org/officeDocument/2006/relationships/hyperlink" Target="https://dart.fss.or.kr/dsaf001/main.do?rcpNo=20230323000609" TargetMode="External" Id="rId144"/><Relationship Type="http://schemas.openxmlformats.org/officeDocument/2006/relationships/hyperlink" Target="https://dart.fss.or.kr/dsaf001/main.do?rcpNo=20230321001435" TargetMode="External" Id="rId145"/><Relationship Type="http://schemas.openxmlformats.org/officeDocument/2006/relationships/hyperlink" Target="https://dart.fss.or.kr/dsaf001/main.do?rcpNo=20230321001404" TargetMode="External" Id="rId146"/><Relationship Type="http://schemas.openxmlformats.org/officeDocument/2006/relationships/hyperlink" Target="https://dart.fss.or.kr/dsaf001/main.do?rcpNo=20230321001371" TargetMode="External" Id="rId147"/><Relationship Type="http://schemas.openxmlformats.org/officeDocument/2006/relationships/hyperlink" Target="https://dart.fss.or.kr/dsaf001/main.do?rcpNo=20230321001343" TargetMode="External" Id="rId148"/><Relationship Type="http://schemas.openxmlformats.org/officeDocument/2006/relationships/hyperlink" Target="https://dart.fss.or.kr/dsaf001/main.do?rcpNo=20230321001303" TargetMode="External" Id="rId149"/><Relationship Type="http://schemas.openxmlformats.org/officeDocument/2006/relationships/hyperlink" Target="https://dart.fss.or.kr/dsaf001/main.do?rcpNo=20230320000646" TargetMode="External" Id="rId150"/><Relationship Type="http://schemas.openxmlformats.org/officeDocument/2006/relationships/hyperlink" Target="https://dart.fss.or.kr/dsaf001/main.do?rcpNo=20230317000369" TargetMode="External" Id="rId151"/><Relationship Type="http://schemas.openxmlformats.org/officeDocument/2006/relationships/hyperlink" Target="https://dart.fss.or.kr/dsaf001/main.do?rcpNo=20230316001088" TargetMode="External" Id="rId152"/><Relationship Type="http://schemas.openxmlformats.org/officeDocument/2006/relationships/hyperlink" Target="https://dart.fss.or.kr/dsaf001/main.do?rcpNo=20230315001406" TargetMode="External" Id="rId153"/><Relationship Type="http://schemas.openxmlformats.org/officeDocument/2006/relationships/hyperlink" Target="https://dart.fss.or.kr/dsaf001/main.do?rcpNo=20230315000757" TargetMode="External" Id="rId154"/><Relationship Type="http://schemas.openxmlformats.org/officeDocument/2006/relationships/hyperlink" Target="https://dart.fss.or.kr/dsaf001/main.do?rcpNo=20230315000731" TargetMode="External" Id="rId155"/><Relationship Type="http://schemas.openxmlformats.org/officeDocument/2006/relationships/hyperlink" Target="https://dart.fss.or.kr/dsaf001/main.do?rcpNo=20230315000714" TargetMode="External" Id="rId156"/><Relationship Type="http://schemas.openxmlformats.org/officeDocument/2006/relationships/hyperlink" Target="https://dart.fss.or.kr/dsaf001/main.do?rcpNo=20230315000679" TargetMode="External" Id="rId157"/><Relationship Type="http://schemas.openxmlformats.org/officeDocument/2006/relationships/hyperlink" Target="https://dart.fss.or.kr/dsaf001/main.do?rcpNo=20230315000653" TargetMode="External" Id="rId158"/><Relationship Type="http://schemas.openxmlformats.org/officeDocument/2006/relationships/hyperlink" Target="https://dart.fss.or.kr/dsaf001/main.do?rcpNo=20230315000623" TargetMode="External" Id="rId159"/><Relationship Type="http://schemas.openxmlformats.org/officeDocument/2006/relationships/hyperlink" Target="https://dart.fss.or.kr/dsaf001/main.do?rcpNo=20230315000498" TargetMode="External" Id="rId160"/><Relationship Type="http://schemas.openxmlformats.org/officeDocument/2006/relationships/hyperlink" Target="https://dart.fss.or.kr/dsaf001/main.do?rcpNo=20230314000834" TargetMode="External" Id="rId161"/><Relationship Type="http://schemas.openxmlformats.org/officeDocument/2006/relationships/hyperlink" Target="https://dart.fss.or.kr/dsaf001/main.do?rcpNo=20230221000674" TargetMode="External" Id="rId162"/><Relationship Type="http://schemas.openxmlformats.org/officeDocument/2006/relationships/hyperlink" Target="https://dart.fss.or.kr/dsaf001/main.do?rcpNo=20221219000067" TargetMode="External" Id="rId163"/><Relationship Type="http://schemas.openxmlformats.org/officeDocument/2006/relationships/hyperlink" Target="https://dart.fss.or.kr/dsaf001/main.do?rcpNo=20221207000147" TargetMode="External" Id="rId164"/><Relationship Type="http://schemas.openxmlformats.org/officeDocument/2006/relationships/hyperlink" Target="https://dart.fss.or.kr/dsaf001/main.do?rcpNo=20221128000182" TargetMode="External" Id="rId165"/><Relationship Type="http://schemas.openxmlformats.org/officeDocument/2006/relationships/hyperlink" Target="https://dart.fss.or.kr/dsaf001/main.do?rcpNo=20221117000285" TargetMode="External" Id="rId166"/><Relationship Type="http://schemas.openxmlformats.org/officeDocument/2006/relationships/hyperlink" Target="https://dart.fss.or.kr/dsaf001/main.do?rcpNo=20221109000305" TargetMode="External" Id="rId167"/><Relationship Type="http://schemas.openxmlformats.org/officeDocument/2006/relationships/hyperlink" Target="https://dart.fss.or.kr/dsaf001/main.do?rcpNo=20220401002184" TargetMode="External" Id="rId168"/><Relationship Type="http://schemas.openxmlformats.org/officeDocument/2006/relationships/hyperlink" Target="https://dart.fss.or.kr/dsaf001/main.do?rcpNo=20140407000479" TargetMode="External" Id="rId1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4" customWidth="1" min="3" max="3"/>
    <col width="20" customWidth="1" min="4" max="4"/>
    <col width="6" customWidth="1" min="5" max="5"/>
    <col width="22" customWidth="1" min="6" max="6"/>
    <col width="16" customWidth="1" min="7" max="7"/>
    <col width="10" customWidth="1" min="8" max="8"/>
  </cols>
  <sheetData>
    <row r="1" ht="30" customHeight="1">
      <c r="A1" s="17" t="inlineStr">
        <is>
          <t>접수일자</t>
        </is>
      </c>
      <c r="B1" s="17" t="inlineStr">
        <is>
          <t>보고서명</t>
        </is>
      </c>
      <c r="C1" s="17" t="inlineStr">
        <is>
          <t>제출인</t>
        </is>
      </c>
      <c r="D1" s="17" t="inlineStr">
        <is>
          <t>분류</t>
        </is>
      </c>
      <c r="E1" s="17" t="inlineStr">
        <is>
          <t>정정</t>
        </is>
      </c>
      <c r="F1" s="17" t="inlineStr">
        <is>
          <t>원문파일</t>
        </is>
      </c>
      <c r="G1" s="17" t="inlineStr">
        <is>
          <t>접수번호</t>
        </is>
      </c>
      <c r="H1" s="17" t="inlineStr">
        <is>
          <t>DART 링크</t>
        </is>
      </c>
    </row>
    <row r="2">
      <c r="A2" s="18" t="inlineStr">
        <is>
          <t>2026-09-04</t>
        </is>
      </c>
      <c r="B2" s="18" t="inlineStr">
        <is>
          <t>임원ㆍ주요주주특정증권등소유상황보고서</t>
        </is>
      </c>
      <c r="C2" s="18" t="inlineStr">
        <is>
          <t>이광수</t>
        </is>
      </c>
      <c r="D2" s="18" t="inlineStr">
        <is>
          <t>임원 소유상황/거래계획</t>
        </is>
      </c>
      <c r="E2" s="18" t="inlineStr"/>
      <c r="F2" s="18" t="inlineStr">
        <is>
          <t>20260904000202.html</t>
        </is>
      </c>
      <c r="G2" s="18" t="inlineStr">
        <is>
          <t>20260904000202</t>
        </is>
      </c>
      <c r="H2" s="19" t="inlineStr">
        <is>
          <t>열기</t>
        </is>
      </c>
    </row>
    <row r="3">
      <c r="A3" s="18" t="inlineStr">
        <is>
          <t>2026-09-04</t>
        </is>
      </c>
      <c r="B3" s="18" t="inlineStr">
        <is>
          <t>임원ㆍ주요주주특정증권등소유상황보고서</t>
        </is>
      </c>
      <c r="C3" s="18" t="inlineStr">
        <is>
          <t>김민석</t>
        </is>
      </c>
      <c r="D3" s="18" t="inlineStr">
        <is>
          <t>임원 소유상황/거래계획</t>
        </is>
      </c>
      <c r="E3" s="18" t="inlineStr"/>
      <c r="F3" s="18" t="inlineStr">
        <is>
          <t>20260904000197.html</t>
        </is>
      </c>
      <c r="G3" s="18" t="inlineStr">
        <is>
          <t>20260904000197</t>
        </is>
      </c>
      <c r="H3" s="19" t="inlineStr">
        <is>
          <t>열기</t>
        </is>
      </c>
    </row>
    <row r="4">
      <c r="A4" s="18" t="inlineStr">
        <is>
          <t>2026-09-04</t>
        </is>
      </c>
      <c r="B4" s="18" t="inlineStr">
        <is>
          <t>주식등의대량보유상황보고서(일반)</t>
        </is>
      </c>
      <c r="C4" s="18" t="inlineStr">
        <is>
          <t>김보은</t>
        </is>
      </c>
      <c r="D4" s="18" t="inlineStr">
        <is>
          <t>5% 대량보유</t>
        </is>
      </c>
      <c r="E4" s="18" t="inlineStr"/>
      <c r="F4" s="18" t="inlineStr">
        <is>
          <t>20260904000182.html</t>
        </is>
      </c>
      <c r="G4" s="18" t="inlineStr">
        <is>
          <t>20260904000182</t>
        </is>
      </c>
      <c r="H4" s="19" t="inlineStr">
        <is>
          <t>열기</t>
        </is>
      </c>
    </row>
    <row r="5">
      <c r="A5" s="18" t="inlineStr">
        <is>
          <t>2026-09-01</t>
        </is>
      </c>
      <c r="B5" s="18" t="inlineStr">
        <is>
          <t>단일판매ㆍ공급계약체결</t>
        </is>
      </c>
      <c r="C5" s="18" t="inlineStr">
        <is>
          <t>라온텍</t>
        </is>
      </c>
      <c r="D5" s="18" t="inlineStr">
        <is>
          <t>공급계약</t>
        </is>
      </c>
      <c r="E5" s="18" t="inlineStr"/>
      <c r="F5" s="18" t="inlineStr">
        <is>
          <t>20260901900129.html</t>
        </is>
      </c>
      <c r="G5" s="18" t="inlineStr">
        <is>
          <t>20260901900129</t>
        </is>
      </c>
      <c r="H5" s="19" t="inlineStr">
        <is>
          <t>열기</t>
        </is>
      </c>
    </row>
    <row r="6">
      <c r="A6" s="18" t="inlineStr">
        <is>
          <t>2026-08-27</t>
        </is>
      </c>
      <c r="B6" s="18" t="inlineStr">
        <is>
          <t>임원ㆍ주요주주특정증권등거래계획보고서</t>
        </is>
      </c>
      <c r="C6" s="18" t="inlineStr">
        <is>
          <t>정민수</t>
        </is>
      </c>
      <c r="D6" s="18" t="inlineStr">
        <is>
          <t>임원 소유상황/거래계획</t>
        </is>
      </c>
      <c r="E6" s="18" t="inlineStr"/>
      <c r="F6" s="18" t="inlineStr">
        <is>
          <t>20260827000993.html</t>
        </is>
      </c>
      <c r="G6" s="18" t="inlineStr">
        <is>
          <t>20260827000993</t>
        </is>
      </c>
      <c r="H6" s="19" t="inlineStr">
        <is>
          <t>열기</t>
        </is>
      </c>
    </row>
    <row r="7">
      <c r="A7" s="18" t="inlineStr">
        <is>
          <t>2026-08-21</t>
        </is>
      </c>
      <c r="B7" s="18" t="inlineStr">
        <is>
          <t>임원ㆍ주요주주특정증권등소유상황보고서</t>
        </is>
      </c>
      <c r="C7" s="18" t="inlineStr">
        <is>
          <t>정민수</t>
        </is>
      </c>
      <c r="D7" s="18" t="inlineStr">
        <is>
          <t>임원 소유상황/거래계획</t>
        </is>
      </c>
      <c r="E7" s="18" t="inlineStr"/>
      <c r="F7" s="18" t="inlineStr">
        <is>
          <t>20260821000666.html</t>
        </is>
      </c>
      <c r="G7" s="18" t="inlineStr">
        <is>
          <t>20260821000666</t>
        </is>
      </c>
      <c r="H7" s="19" t="inlineStr">
        <is>
          <t>열기</t>
        </is>
      </c>
    </row>
    <row r="8">
      <c r="A8" s="18" t="inlineStr">
        <is>
          <t>2026-08-21</t>
        </is>
      </c>
      <c r="B8" s="18" t="inlineStr">
        <is>
          <t>주식등의대량보유상황보고서(일반)</t>
        </is>
      </c>
      <c r="C8" s="18" t="inlineStr">
        <is>
          <t>김보은</t>
        </is>
      </c>
      <c r="D8" s="18" t="inlineStr">
        <is>
          <t>5% 대량보유</t>
        </is>
      </c>
      <c r="E8" s="18" t="inlineStr"/>
      <c r="F8" s="18" t="inlineStr">
        <is>
          <t>20260821000660.html</t>
        </is>
      </c>
      <c r="G8" s="18" t="inlineStr">
        <is>
          <t>20260821000660</t>
        </is>
      </c>
      <c r="H8" s="19" t="inlineStr">
        <is>
          <t>열기</t>
        </is>
      </c>
    </row>
    <row r="9">
      <c r="A9" s="18" t="inlineStr">
        <is>
          <t>2026-08-14</t>
        </is>
      </c>
      <c r="B9" s="18" t="inlineStr">
        <is>
          <t>반기보고서 (2026.06)</t>
        </is>
      </c>
      <c r="C9" s="18" t="inlineStr">
        <is>
          <t>라온텍</t>
        </is>
      </c>
      <c r="D9" s="18" t="inlineStr">
        <is>
          <t>정기보고서</t>
        </is>
      </c>
      <c r="E9" s="18" t="inlineStr"/>
      <c r="F9" s="18" t="inlineStr">
        <is>
          <t>20260814003886.html</t>
        </is>
      </c>
      <c r="G9" s="18" t="inlineStr">
        <is>
          <t>20260814003886</t>
        </is>
      </c>
      <c r="H9" s="19" t="inlineStr">
        <is>
          <t>열기</t>
        </is>
      </c>
    </row>
    <row r="10">
      <c r="A10" s="18" t="inlineStr">
        <is>
          <t>2026-07-09</t>
        </is>
      </c>
      <c r="B10" s="18" t="inlineStr">
        <is>
          <t>주식등의대량보유상황보고서(일반)</t>
        </is>
      </c>
      <c r="C10" s="18" t="inlineStr">
        <is>
          <t>김보은</t>
        </is>
      </c>
      <c r="D10" s="18" t="inlineStr">
        <is>
          <t>5% 대량보유</t>
        </is>
      </c>
      <c r="E10" s="18" t="inlineStr"/>
      <c r="F10" s="18" t="inlineStr">
        <is>
          <t>20260709000313.html</t>
        </is>
      </c>
      <c r="G10" s="18" t="inlineStr">
        <is>
          <t>20260709000313</t>
        </is>
      </c>
      <c r="H10" s="19" t="inlineStr">
        <is>
          <t>열기</t>
        </is>
      </c>
    </row>
    <row r="11">
      <c r="A11" s="18" t="inlineStr">
        <is>
          <t>2026-07-06</t>
        </is>
      </c>
      <c r="B11" s="18" t="inlineStr">
        <is>
          <t>단일판매ㆍ공급계약체결</t>
        </is>
      </c>
      <c r="C11" s="18" t="inlineStr">
        <is>
          <t>라온텍</t>
        </is>
      </c>
      <c r="D11" s="18" t="inlineStr">
        <is>
          <t>공급계약</t>
        </is>
      </c>
      <c r="E11" s="18" t="inlineStr"/>
      <c r="F11" s="18" t="inlineStr">
        <is>
          <t>20260706900374.html</t>
        </is>
      </c>
      <c r="G11" s="18" t="inlineStr">
        <is>
          <t>20260706900374</t>
        </is>
      </c>
      <c r="H11" s="19" t="inlineStr">
        <is>
          <t>열기</t>
        </is>
      </c>
    </row>
    <row r="12">
      <c r="A12" s="18" t="inlineStr">
        <is>
          <t>2026-06-15</t>
        </is>
      </c>
      <c r="B12" s="18" t="inlineStr">
        <is>
          <t>임원ㆍ주요주주특정증권등소유상황보고서</t>
        </is>
      </c>
      <c r="C12" s="18" t="inlineStr">
        <is>
          <t>한성준</t>
        </is>
      </c>
      <c r="D12" s="18" t="inlineStr">
        <is>
          <t>임원 소유상황/거래계획</t>
        </is>
      </c>
      <c r="E12" s="18" t="inlineStr"/>
      <c r="F12" s="18" t="inlineStr">
        <is>
          <t>20260615000267.html</t>
        </is>
      </c>
      <c r="G12" s="18" t="inlineStr">
        <is>
          <t>20260615000267</t>
        </is>
      </c>
      <c r="H12" s="19" t="inlineStr">
        <is>
          <t>열기</t>
        </is>
      </c>
    </row>
    <row r="13">
      <c r="A13" s="18" t="inlineStr">
        <is>
          <t>2026-06-15</t>
        </is>
      </c>
      <c r="B13" s="18" t="inlineStr">
        <is>
          <t>임원ㆍ주요주주특정증권등소유상황보고서</t>
        </is>
      </c>
      <c r="C13" s="18" t="inlineStr">
        <is>
          <t>이정환</t>
        </is>
      </c>
      <c r="D13" s="18" t="inlineStr">
        <is>
          <t>임원 소유상황/거래계획</t>
        </is>
      </c>
      <c r="E13" s="18" t="inlineStr"/>
      <c r="F13" s="18" t="inlineStr">
        <is>
          <t>20260615000258.html</t>
        </is>
      </c>
      <c r="G13" s="18" t="inlineStr">
        <is>
          <t>20260615000258</t>
        </is>
      </c>
      <c r="H13" s="19" t="inlineStr">
        <is>
          <t>열기</t>
        </is>
      </c>
    </row>
    <row r="14">
      <c r="A14" s="18" t="inlineStr">
        <is>
          <t>2026-06-15</t>
        </is>
      </c>
      <c r="B14" s="18" t="inlineStr">
        <is>
          <t>임원ㆍ주요주주특정증권등소유상황보고서</t>
        </is>
      </c>
      <c r="C14" s="18" t="inlineStr">
        <is>
          <t>김민석</t>
        </is>
      </c>
      <c r="D14" s="18" t="inlineStr">
        <is>
          <t>임원 소유상황/거래계획</t>
        </is>
      </c>
      <c r="E14" s="18" t="inlineStr"/>
      <c r="F14" s="18" t="inlineStr">
        <is>
          <t>20260615000249.html</t>
        </is>
      </c>
      <c r="G14" s="18" t="inlineStr">
        <is>
          <t>20260615000249</t>
        </is>
      </c>
      <c r="H14" s="19" t="inlineStr">
        <is>
          <t>열기</t>
        </is>
      </c>
    </row>
    <row r="15">
      <c r="A15" s="18" t="inlineStr">
        <is>
          <t>2026-06-15</t>
        </is>
      </c>
      <c r="B15" s="18" t="inlineStr">
        <is>
          <t>임원ㆍ주요주주특정증권등소유상황보고서</t>
        </is>
      </c>
      <c r="C15" s="18" t="inlineStr">
        <is>
          <t>이광수</t>
        </is>
      </c>
      <c r="D15" s="18" t="inlineStr">
        <is>
          <t>임원 소유상황/거래계획</t>
        </is>
      </c>
      <c r="E15" s="18" t="inlineStr"/>
      <c r="F15" s="18" t="inlineStr">
        <is>
          <t>20260615000240.html</t>
        </is>
      </c>
      <c r="G15" s="18" t="inlineStr">
        <is>
          <t>20260615000240</t>
        </is>
      </c>
      <c r="H15" s="19" t="inlineStr">
        <is>
          <t>열기</t>
        </is>
      </c>
    </row>
    <row r="16">
      <c r="A16" s="18" t="inlineStr">
        <is>
          <t>2026-06-15</t>
        </is>
      </c>
      <c r="B16" s="18" t="inlineStr">
        <is>
          <t>주식등의대량보유상황보고서(일반)</t>
        </is>
      </c>
      <c r="C16" s="18" t="inlineStr">
        <is>
          <t>김보은</t>
        </is>
      </c>
      <c r="D16" s="18" t="inlineStr">
        <is>
          <t>5% 대량보유</t>
        </is>
      </c>
      <c r="E16" s="18" t="inlineStr"/>
      <c r="F16" s="18" t="inlineStr">
        <is>
          <t>20260615000230.html</t>
        </is>
      </c>
      <c r="G16" s="18" t="inlineStr">
        <is>
          <t>20260615000230</t>
        </is>
      </c>
      <c r="H16" s="19" t="inlineStr">
        <is>
          <t>열기</t>
        </is>
      </c>
    </row>
    <row r="17">
      <c r="A17" s="18" t="inlineStr">
        <is>
          <t>2026-05-15</t>
        </is>
      </c>
      <c r="B17" s="18" t="inlineStr">
        <is>
          <t>임원ㆍ주요주주특정증권등소유상황보고서</t>
        </is>
      </c>
      <c r="C17" s="18" t="inlineStr">
        <is>
          <t>조성재</t>
        </is>
      </c>
      <c r="D17" s="18" t="inlineStr">
        <is>
          <t>임원 소유상황/거래계획</t>
        </is>
      </c>
      <c r="E17" s="18" t="inlineStr"/>
      <c r="F17" s="18" t="inlineStr">
        <is>
          <t>20260515002920.html</t>
        </is>
      </c>
      <c r="G17" s="18" t="inlineStr">
        <is>
          <t>20260515002920</t>
        </is>
      </c>
      <c r="H17" s="19" t="inlineStr">
        <is>
          <t>열기</t>
        </is>
      </c>
    </row>
    <row r="18">
      <c r="A18" s="18" t="inlineStr">
        <is>
          <t>2026-05-15</t>
        </is>
      </c>
      <c r="B18" s="18" t="inlineStr">
        <is>
          <t>분기보고서 (2026.03)</t>
        </is>
      </c>
      <c r="C18" s="18" t="inlineStr">
        <is>
          <t>라온텍</t>
        </is>
      </c>
      <c r="D18" s="18" t="inlineStr">
        <is>
          <t>정기보고서</t>
        </is>
      </c>
      <c r="E18" s="18" t="inlineStr"/>
      <c r="F18" s="18" t="inlineStr">
        <is>
          <t>20260515002854.html</t>
        </is>
      </c>
      <c r="G18" s="18" t="inlineStr">
        <is>
          <t>20260515002854</t>
        </is>
      </c>
      <c r="H18" s="19" t="inlineStr">
        <is>
          <t>열기</t>
        </is>
      </c>
    </row>
    <row r="19">
      <c r="A19" s="18" t="inlineStr">
        <is>
          <t>2026-04-10</t>
        </is>
      </c>
      <c r="B19" s="18" t="inlineStr">
        <is>
          <t>임원ㆍ주요주주특정증권등소유상황보고서</t>
        </is>
      </c>
      <c r="C19" s="18" t="inlineStr">
        <is>
          <t>이정환</t>
        </is>
      </c>
      <c r="D19" s="18" t="inlineStr">
        <is>
          <t>임원 소유상황/거래계획</t>
        </is>
      </c>
      <c r="E19" s="18" t="inlineStr"/>
      <c r="F19" s="18" t="inlineStr">
        <is>
          <t>20260410002467.html</t>
        </is>
      </c>
      <c r="G19" s="18" t="inlineStr">
        <is>
          <t>20260410002467</t>
        </is>
      </c>
      <c r="H19" s="19" t="inlineStr">
        <is>
          <t>열기</t>
        </is>
      </c>
    </row>
    <row r="20">
      <c r="A20" s="18" t="inlineStr">
        <is>
          <t>2026-04-10</t>
        </is>
      </c>
      <c r="B20" s="18" t="inlineStr">
        <is>
          <t>임원ㆍ주요주주특정증권등소유상황보고서</t>
        </is>
      </c>
      <c r="C20" s="18" t="inlineStr">
        <is>
          <t>조성재</t>
        </is>
      </c>
      <c r="D20" s="18" t="inlineStr">
        <is>
          <t>임원 소유상황/거래계획</t>
        </is>
      </c>
      <c r="E20" s="18" t="inlineStr"/>
      <c r="F20" s="18" t="inlineStr">
        <is>
          <t>20260410002300.html</t>
        </is>
      </c>
      <c r="G20" s="18" t="inlineStr">
        <is>
          <t>20260410002300</t>
        </is>
      </c>
      <c r="H20" s="19" t="inlineStr">
        <is>
          <t>열기</t>
        </is>
      </c>
    </row>
    <row r="21">
      <c r="A21" s="18" t="inlineStr">
        <is>
          <t>2026-04-10</t>
        </is>
      </c>
      <c r="B21" s="18" t="inlineStr">
        <is>
          <t>임원ㆍ주요주주특정증권등소유상황보고서</t>
        </is>
      </c>
      <c r="C21" s="18" t="inlineStr">
        <is>
          <t>한성준</t>
        </is>
      </c>
      <c r="D21" s="18" t="inlineStr">
        <is>
          <t>임원 소유상황/거래계획</t>
        </is>
      </c>
      <c r="E21" s="18" t="inlineStr"/>
      <c r="F21" s="18" t="inlineStr">
        <is>
          <t>20260410002268.html</t>
        </is>
      </c>
      <c r="G21" s="18" t="inlineStr">
        <is>
          <t>20260410002268</t>
        </is>
      </c>
      <c r="H21" s="19" t="inlineStr">
        <is>
          <t>열기</t>
        </is>
      </c>
    </row>
    <row r="22">
      <c r="A22" s="18" t="inlineStr">
        <is>
          <t>2026-04-10</t>
        </is>
      </c>
      <c r="B22" s="18" t="inlineStr">
        <is>
          <t>임원ㆍ주요주주특정증권등소유상황보고서</t>
        </is>
      </c>
      <c r="C22" s="18" t="inlineStr">
        <is>
          <t>김민석</t>
        </is>
      </c>
      <c r="D22" s="18" t="inlineStr">
        <is>
          <t>임원 소유상황/거래계획</t>
        </is>
      </c>
      <c r="E22" s="18" t="inlineStr"/>
      <c r="F22" s="18" t="inlineStr">
        <is>
          <t>20260410002240.html</t>
        </is>
      </c>
      <c r="G22" s="18" t="inlineStr">
        <is>
          <t>20260410002240</t>
        </is>
      </c>
      <c r="H22" s="19" t="inlineStr">
        <is>
          <t>열기</t>
        </is>
      </c>
    </row>
    <row r="23">
      <c r="A23" s="18" t="inlineStr">
        <is>
          <t>2026-04-10</t>
        </is>
      </c>
      <c r="B23" s="18" t="inlineStr">
        <is>
          <t>주식등의대량보유상황보고서(일반)</t>
        </is>
      </c>
      <c r="C23" s="18" t="inlineStr">
        <is>
          <t>김보은</t>
        </is>
      </c>
      <c r="D23" s="18" t="inlineStr">
        <is>
          <t>5% 대량보유</t>
        </is>
      </c>
      <c r="E23" s="18" t="inlineStr"/>
      <c r="F23" s="18" t="inlineStr">
        <is>
          <t>20260410002196.html</t>
        </is>
      </c>
      <c r="G23" s="18" t="inlineStr">
        <is>
          <t>20260410002196</t>
        </is>
      </c>
      <c r="H23" s="19" t="inlineStr">
        <is>
          <t>열기</t>
        </is>
      </c>
    </row>
    <row r="24">
      <c r="A24" s="18" t="inlineStr">
        <is>
          <t>2026-03-30</t>
        </is>
      </c>
      <c r="B24" s="18" t="inlineStr">
        <is>
          <t>주식등의대량보유상황보고서(일반)</t>
        </is>
      </c>
      <c r="C24" s="18" t="inlineStr">
        <is>
          <t>김보은</t>
        </is>
      </c>
      <c r="D24" s="18" t="inlineStr">
        <is>
          <t>5% 대량보유</t>
        </is>
      </c>
      <c r="E24" s="18" t="inlineStr"/>
      <c r="F24" s="18" t="inlineStr">
        <is>
          <t>20260330001792.html</t>
        </is>
      </c>
      <c r="G24" s="18" t="inlineStr">
        <is>
          <t>20260330001792</t>
        </is>
      </c>
      <c r="H24" s="19" t="inlineStr">
        <is>
          <t>열기</t>
        </is>
      </c>
    </row>
    <row r="25">
      <c r="A25" s="18" t="inlineStr">
        <is>
          <t>2026-03-26</t>
        </is>
      </c>
      <c r="B25" s="18" t="inlineStr">
        <is>
          <t>정기주주총회결과</t>
        </is>
      </c>
      <c r="C25" s="18" t="inlineStr">
        <is>
          <t>라온텍</t>
        </is>
      </c>
      <c r="D25" s="18" t="inlineStr">
        <is>
          <t>경영권/주총</t>
        </is>
      </c>
      <c r="E25" s="18" t="inlineStr"/>
      <c r="F25" s="18" t="inlineStr">
        <is>
          <t>20260326900748.html</t>
        </is>
      </c>
      <c r="G25" s="18" t="inlineStr">
        <is>
          <t>20260326900748</t>
        </is>
      </c>
      <c r="H25" s="19" t="inlineStr">
        <is>
          <t>열기</t>
        </is>
      </c>
    </row>
    <row r="26">
      <c r="A26" s="18" t="inlineStr">
        <is>
          <t>2026-03-23</t>
        </is>
      </c>
      <c r="B26" s="18" t="inlineStr">
        <is>
          <t>[기재정정]단일판매ㆍ공급계약체결</t>
        </is>
      </c>
      <c r="C26" s="18" t="inlineStr">
        <is>
          <t>라온텍</t>
        </is>
      </c>
      <c r="D26" s="18" t="inlineStr">
        <is>
          <t>공급계약</t>
        </is>
      </c>
      <c r="E26" s="18" t="inlineStr">
        <is>
          <t>정정</t>
        </is>
      </c>
      <c r="F26" s="18" t="inlineStr">
        <is>
          <t>20260323901335.html</t>
        </is>
      </c>
      <c r="G26" s="18" t="inlineStr">
        <is>
          <t>20260323901335</t>
        </is>
      </c>
      <c r="H26" s="19" t="inlineStr">
        <is>
          <t>열기</t>
        </is>
      </c>
    </row>
    <row r="27">
      <c r="A27" s="18" t="inlineStr">
        <is>
          <t>2026-03-18</t>
        </is>
      </c>
      <c r="B27" s="18" t="inlineStr">
        <is>
          <t>감사보고서제출</t>
        </is>
      </c>
      <c r="C27" s="18" t="inlineStr">
        <is>
          <t>라온텍</t>
        </is>
      </c>
      <c r="D27" s="18" t="inlineStr">
        <is>
          <t>감사보고서</t>
        </is>
      </c>
      <c r="E27" s="18" t="inlineStr"/>
      <c r="F27" s="18" t="inlineStr">
        <is>
          <t>20260318901736.html</t>
        </is>
      </c>
      <c r="G27" s="18" t="inlineStr">
        <is>
          <t>20260318901736</t>
        </is>
      </c>
      <c r="H27" s="19" t="inlineStr">
        <is>
          <t>열기</t>
        </is>
      </c>
    </row>
    <row r="28">
      <c r="A28" s="18" t="inlineStr">
        <is>
          <t>2026-03-18</t>
        </is>
      </c>
      <c r="B28" s="18" t="inlineStr">
        <is>
          <t>사업보고서 (2025.12)</t>
        </is>
      </c>
      <c r="C28" s="18" t="inlineStr">
        <is>
          <t>라온텍</t>
        </is>
      </c>
      <c r="D28" s="18" t="inlineStr">
        <is>
          <t>정기보고서</t>
        </is>
      </c>
      <c r="E28" s="18" t="inlineStr"/>
      <c r="F28" s="18" t="inlineStr">
        <is>
          <t>20260318001644.html</t>
        </is>
      </c>
      <c r="G28" s="18" t="inlineStr">
        <is>
          <t>20260318001644</t>
        </is>
      </c>
      <c r="H28" s="19" t="inlineStr">
        <is>
          <t>열기</t>
        </is>
      </c>
    </row>
    <row r="29">
      <c r="A29" s="18" t="inlineStr">
        <is>
          <t>2026-03-13</t>
        </is>
      </c>
      <c r="B29" s="18" t="inlineStr">
        <is>
          <t>[첨부정정]의결권대리행사권유참고서류</t>
        </is>
      </c>
      <c r="C29" s="18" t="inlineStr">
        <is>
          <t>라온텍</t>
        </is>
      </c>
      <c r="D29" s="18" t="inlineStr">
        <is>
          <t>경영권/주총</t>
        </is>
      </c>
      <c r="E29" s="18" t="inlineStr">
        <is>
          <t>정정</t>
        </is>
      </c>
      <c r="F29" s="18" t="inlineStr">
        <is>
          <t>원문 없음(첨부만 정정)</t>
        </is>
      </c>
      <c r="G29" s="18" t="inlineStr">
        <is>
          <t>20260313001131</t>
        </is>
      </c>
      <c r="H29" s="19" t="inlineStr">
        <is>
          <t>열기</t>
        </is>
      </c>
    </row>
    <row r="30">
      <c r="A30" s="18" t="inlineStr">
        <is>
          <t>2026-03-09</t>
        </is>
      </c>
      <c r="B30" s="18" t="inlineStr">
        <is>
          <t>의결권대리행사권유참고서류</t>
        </is>
      </c>
      <c r="C30" s="18" t="inlineStr">
        <is>
          <t>라온텍</t>
        </is>
      </c>
      <c r="D30" s="18" t="inlineStr">
        <is>
          <t>경영권/주총</t>
        </is>
      </c>
      <c r="E30" s="18" t="inlineStr"/>
      <c r="F30" s="18" t="inlineStr">
        <is>
          <t>20260309001735.html</t>
        </is>
      </c>
      <c r="G30" s="18" t="inlineStr">
        <is>
          <t>20260309001735</t>
        </is>
      </c>
      <c r="H30" s="19" t="inlineStr">
        <is>
          <t>열기</t>
        </is>
      </c>
    </row>
    <row r="31">
      <c r="A31" s="18" t="inlineStr">
        <is>
          <t>2026-03-09</t>
        </is>
      </c>
      <c r="B31" s="18" t="inlineStr">
        <is>
          <t>주주총회소집공고</t>
        </is>
      </c>
      <c r="C31" s="18" t="inlineStr">
        <is>
          <t>라온텍</t>
        </is>
      </c>
      <c r="D31" s="18" t="inlineStr">
        <is>
          <t>경영권/주총</t>
        </is>
      </c>
      <c r="E31" s="18" t="inlineStr"/>
      <c r="F31" s="18" t="inlineStr">
        <is>
          <t>20260309001692.html</t>
        </is>
      </c>
      <c r="G31" s="18" t="inlineStr">
        <is>
          <t>20260309001692</t>
        </is>
      </c>
      <c r="H31" s="19" t="inlineStr">
        <is>
          <t>열기</t>
        </is>
      </c>
    </row>
    <row r="32">
      <c r="A32" s="18" t="inlineStr">
        <is>
          <t>2026-03-06</t>
        </is>
      </c>
      <c r="B32" s="20" t="inlineStr">
        <is>
          <t>[기재정정]투자판단관련주요경영사항              ([국책과제 선정] 초소형 XR글래스용 480 프레임레이트 제어부 내장형 0.2인치 LCoS마이크로디스플레이 기술 개발)</t>
        </is>
      </c>
      <c r="C32" s="18" t="inlineStr">
        <is>
          <t>라온텍</t>
        </is>
      </c>
      <c r="D32" s="18" t="inlineStr">
        <is>
          <t>국책과제/자율공시</t>
        </is>
      </c>
      <c r="E32" s="18" t="inlineStr">
        <is>
          <t>정정</t>
        </is>
      </c>
      <c r="F32" s="18" t="inlineStr">
        <is>
          <t>20260306901535.html</t>
        </is>
      </c>
      <c r="G32" s="18" t="inlineStr">
        <is>
          <t>20260306901535</t>
        </is>
      </c>
      <c r="H32" s="19" t="inlineStr">
        <is>
          <t>열기</t>
        </is>
      </c>
    </row>
    <row r="33">
      <c r="A33" s="18" t="inlineStr">
        <is>
          <t>2026-02-25</t>
        </is>
      </c>
      <c r="B33" s="18" t="inlineStr">
        <is>
          <t>주주총회소집결의</t>
        </is>
      </c>
      <c r="C33" s="18" t="inlineStr">
        <is>
          <t>라온텍</t>
        </is>
      </c>
      <c r="D33" s="18" t="inlineStr">
        <is>
          <t>경영권/주총</t>
        </is>
      </c>
      <c r="E33" s="18" t="inlineStr"/>
      <c r="F33" s="18" t="inlineStr">
        <is>
          <t>20260225900641.html</t>
        </is>
      </c>
      <c r="G33" s="18" t="inlineStr">
        <is>
          <t>20260225900641</t>
        </is>
      </c>
      <c r="H33" s="19" t="inlineStr">
        <is>
          <t>열기</t>
        </is>
      </c>
    </row>
    <row r="34">
      <c r="A34" s="18" t="inlineStr">
        <is>
          <t>2026-02-11</t>
        </is>
      </c>
      <c r="B34" s="18" t="inlineStr">
        <is>
          <t>기업설명회(IR)개최</t>
        </is>
      </c>
      <c r="C34" s="18" t="inlineStr">
        <is>
          <t>라온텍</t>
        </is>
      </c>
      <c r="D34" s="18" t="inlineStr">
        <is>
          <t>IR</t>
        </is>
      </c>
      <c r="E34" s="18" t="inlineStr"/>
      <c r="F34" s="18" t="inlineStr">
        <is>
          <t>20260211900921.html</t>
        </is>
      </c>
      <c r="G34" s="18" t="inlineStr">
        <is>
          <t>20260211900921</t>
        </is>
      </c>
      <c r="H34" s="19" t="inlineStr">
        <is>
          <t>열기</t>
        </is>
      </c>
    </row>
    <row r="35">
      <c r="A35" s="18" t="inlineStr">
        <is>
          <t>2026-02-06</t>
        </is>
      </c>
      <c r="B35" s="18" t="inlineStr">
        <is>
          <t>임원ㆍ주요주주특정증권등소유상황보고서</t>
        </is>
      </c>
      <c r="C35" s="18" t="inlineStr">
        <is>
          <t>조성재</t>
        </is>
      </c>
      <c r="D35" s="18" t="inlineStr">
        <is>
          <t>임원 소유상황/거래계획</t>
        </is>
      </c>
      <c r="E35" s="18" t="inlineStr"/>
      <c r="F35" s="18" t="inlineStr">
        <is>
          <t>20260206002115.html</t>
        </is>
      </c>
      <c r="G35" s="18" t="inlineStr">
        <is>
          <t>20260206002115</t>
        </is>
      </c>
      <c r="H35" s="19" t="inlineStr">
        <is>
          <t>열기</t>
        </is>
      </c>
    </row>
    <row r="36">
      <c r="A36" s="18" t="inlineStr">
        <is>
          <t>2026-02-06</t>
        </is>
      </c>
      <c r="B36" s="18" t="inlineStr">
        <is>
          <t>임원ㆍ주요주주특정증권등소유상황보고서</t>
        </is>
      </c>
      <c r="C36" s="18" t="inlineStr">
        <is>
          <t>정민수</t>
        </is>
      </c>
      <c r="D36" s="18" t="inlineStr">
        <is>
          <t>임원 소유상황/거래계획</t>
        </is>
      </c>
      <c r="E36" s="18" t="inlineStr"/>
      <c r="F36" s="18" t="inlineStr">
        <is>
          <t>20260206002106.html</t>
        </is>
      </c>
      <c r="G36" s="18" t="inlineStr">
        <is>
          <t>20260206002106</t>
        </is>
      </c>
      <c r="H36" s="19" t="inlineStr">
        <is>
          <t>열기</t>
        </is>
      </c>
    </row>
    <row r="37">
      <c r="A37" s="18" t="inlineStr">
        <is>
          <t>2026-02-06</t>
        </is>
      </c>
      <c r="B37" s="18" t="inlineStr">
        <is>
          <t>주식등의대량보유상황보고서(일반)</t>
        </is>
      </c>
      <c r="C37" s="18" t="inlineStr">
        <is>
          <t>김보은</t>
        </is>
      </c>
      <c r="D37" s="18" t="inlineStr">
        <is>
          <t>5% 대량보유</t>
        </is>
      </c>
      <c r="E37" s="18" t="inlineStr"/>
      <c r="F37" s="18" t="inlineStr">
        <is>
          <t>20260206002095.html</t>
        </is>
      </c>
      <c r="G37" s="18" t="inlineStr">
        <is>
          <t>20260206002095</t>
        </is>
      </c>
      <c r="H37" s="19" t="inlineStr">
        <is>
          <t>열기</t>
        </is>
      </c>
    </row>
    <row r="38">
      <c r="A38" s="18" t="inlineStr">
        <is>
          <t>2026-02-04</t>
        </is>
      </c>
      <c r="B38" s="18" t="inlineStr">
        <is>
          <t>단일판매ㆍ공급계약체결</t>
        </is>
      </c>
      <c r="C38" s="18" t="inlineStr">
        <is>
          <t>라온텍</t>
        </is>
      </c>
      <c r="D38" s="18" t="inlineStr">
        <is>
          <t>공급계약</t>
        </is>
      </c>
      <c r="E38" s="18" t="inlineStr"/>
      <c r="F38" s="18" t="inlineStr">
        <is>
          <t>20260204900420.html</t>
        </is>
      </c>
      <c r="G38" s="18" t="inlineStr">
        <is>
          <t>20260204900420</t>
        </is>
      </c>
      <c r="H38" s="19" t="inlineStr">
        <is>
          <t>열기</t>
        </is>
      </c>
    </row>
    <row r="39">
      <c r="A39" s="18" t="inlineStr">
        <is>
          <t>2025-12-23</t>
        </is>
      </c>
      <c r="B39" s="18" t="inlineStr">
        <is>
          <t>[기재정정]단일판매ㆍ공급계약체결</t>
        </is>
      </c>
      <c r="C39" s="18" t="inlineStr">
        <is>
          <t>라온텍</t>
        </is>
      </c>
      <c r="D39" s="18" t="inlineStr">
        <is>
          <t>공급계약</t>
        </is>
      </c>
      <c r="E39" s="18" t="inlineStr">
        <is>
          <t>정정</t>
        </is>
      </c>
      <c r="F39" s="18" t="inlineStr">
        <is>
          <t>20251223900681.html</t>
        </is>
      </c>
      <c r="G39" s="18" t="inlineStr">
        <is>
          <t>20251223900681</t>
        </is>
      </c>
      <c r="H39" s="19" t="inlineStr">
        <is>
          <t>열기</t>
        </is>
      </c>
    </row>
    <row r="40">
      <c r="A40" s="18" t="inlineStr">
        <is>
          <t>2025-12-15</t>
        </is>
      </c>
      <c r="B40" s="18" t="inlineStr">
        <is>
          <t>주주명부폐쇄기간또는기준일설정</t>
        </is>
      </c>
      <c r="C40" s="18" t="inlineStr">
        <is>
          <t>라온텍</t>
        </is>
      </c>
      <c r="D40" s="18" t="inlineStr">
        <is>
          <t>경영권/주총</t>
        </is>
      </c>
      <c r="E40" s="18" t="inlineStr"/>
      <c r="F40" s="18" t="inlineStr">
        <is>
          <t>20251215900611.html</t>
        </is>
      </c>
      <c r="G40" s="18" t="inlineStr">
        <is>
          <t>20251215900611</t>
        </is>
      </c>
      <c r="H40" s="19" t="inlineStr">
        <is>
          <t>열기</t>
        </is>
      </c>
    </row>
    <row r="41">
      <c r="A41" s="18" t="inlineStr">
        <is>
          <t>2025-12-08</t>
        </is>
      </c>
      <c r="B41" s="18" t="inlineStr">
        <is>
          <t>임원ㆍ주요주주특정증권등소유상황보고서</t>
        </is>
      </c>
      <c r="C41" s="18" t="inlineStr">
        <is>
          <t>이광수</t>
        </is>
      </c>
      <c r="D41" s="18" t="inlineStr">
        <is>
          <t>임원 소유상황/거래계획</t>
        </is>
      </c>
      <c r="E41" s="18" t="inlineStr"/>
      <c r="F41" s="18" t="inlineStr">
        <is>
          <t>20251208000061.html</t>
        </is>
      </c>
      <c r="G41" s="18" t="inlineStr">
        <is>
          <t>20251208000061</t>
        </is>
      </c>
      <c r="H41" s="19" t="inlineStr">
        <is>
          <t>열기</t>
        </is>
      </c>
    </row>
    <row r="42">
      <c r="A42" s="18" t="inlineStr">
        <is>
          <t>2025-12-04</t>
        </is>
      </c>
      <c r="B42" s="18" t="inlineStr">
        <is>
          <t>[기재정정]임원ㆍ주요주주특정증권등소유상황보고서</t>
        </is>
      </c>
      <c r="C42" s="18" t="inlineStr">
        <is>
          <t>한성준</t>
        </is>
      </c>
      <c r="D42" s="18" t="inlineStr">
        <is>
          <t>임원 소유상황/거래계획</t>
        </is>
      </c>
      <c r="E42" s="18" t="inlineStr">
        <is>
          <t>정정</t>
        </is>
      </c>
      <c r="F42" s="18" t="inlineStr">
        <is>
          <t>20251204000324.html</t>
        </is>
      </c>
      <c r="G42" s="18" t="inlineStr">
        <is>
          <t>20251204000324</t>
        </is>
      </c>
      <c r="H42" s="19" t="inlineStr">
        <is>
          <t>열기</t>
        </is>
      </c>
    </row>
    <row r="43">
      <c r="A43" s="18" t="inlineStr">
        <is>
          <t>2025-12-04</t>
        </is>
      </c>
      <c r="B43" s="18" t="inlineStr">
        <is>
          <t>[기재정정]임원ㆍ주요주주특정증권등소유상황보고서</t>
        </is>
      </c>
      <c r="C43" s="18" t="inlineStr">
        <is>
          <t>김민석</t>
        </is>
      </c>
      <c r="D43" s="18" t="inlineStr">
        <is>
          <t>임원 소유상황/거래계획</t>
        </is>
      </c>
      <c r="E43" s="18" t="inlineStr">
        <is>
          <t>정정</t>
        </is>
      </c>
      <c r="F43" s="18" t="inlineStr">
        <is>
          <t>20251204000323.html</t>
        </is>
      </c>
      <c r="G43" s="18" t="inlineStr">
        <is>
          <t>20251204000323</t>
        </is>
      </c>
      <c r="H43" s="19" t="inlineStr">
        <is>
          <t>열기</t>
        </is>
      </c>
    </row>
    <row r="44">
      <c r="A44" s="18" t="inlineStr">
        <is>
          <t>2025-12-04</t>
        </is>
      </c>
      <c r="B44" s="18" t="inlineStr">
        <is>
          <t>[기재정정]임원ㆍ주요주주특정증권등소유상황보고서</t>
        </is>
      </c>
      <c r="C44" s="18" t="inlineStr">
        <is>
          <t>정민수</t>
        </is>
      </c>
      <c r="D44" s="18" t="inlineStr">
        <is>
          <t>임원 소유상황/거래계획</t>
        </is>
      </c>
      <c r="E44" s="18" t="inlineStr">
        <is>
          <t>정정</t>
        </is>
      </c>
      <c r="F44" s="18" t="inlineStr">
        <is>
          <t>20251204000321.html</t>
        </is>
      </c>
      <c r="G44" s="18" t="inlineStr">
        <is>
          <t>20251204000321</t>
        </is>
      </c>
      <c r="H44" s="19" t="inlineStr">
        <is>
          <t>열기</t>
        </is>
      </c>
    </row>
    <row r="45">
      <c r="A45" s="18" t="inlineStr">
        <is>
          <t>2025-12-03</t>
        </is>
      </c>
      <c r="B45" s="18" t="inlineStr">
        <is>
          <t>임원ㆍ주요주주특정증권등소유상황보고서</t>
        </is>
      </c>
      <c r="C45" s="18" t="inlineStr">
        <is>
          <t>조성재</t>
        </is>
      </c>
      <c r="D45" s="18" t="inlineStr">
        <is>
          <t>임원 소유상황/거래계획</t>
        </is>
      </c>
      <c r="E45" s="18" t="inlineStr"/>
      <c r="F45" s="18" t="inlineStr">
        <is>
          <t>20251203000353.html</t>
        </is>
      </c>
      <c r="G45" s="18" t="inlineStr">
        <is>
          <t>20251203000353</t>
        </is>
      </c>
      <c r="H45" s="19" t="inlineStr">
        <is>
          <t>열기</t>
        </is>
      </c>
    </row>
    <row r="46">
      <c r="A46" s="18" t="inlineStr">
        <is>
          <t>2025-12-03</t>
        </is>
      </c>
      <c r="B46" s="18" t="inlineStr">
        <is>
          <t>임원ㆍ주요주주특정증권등소유상황보고서</t>
        </is>
      </c>
      <c r="C46" s="18" t="inlineStr">
        <is>
          <t>이광수</t>
        </is>
      </c>
      <c r="D46" s="18" t="inlineStr">
        <is>
          <t>임원 소유상황/거래계획</t>
        </is>
      </c>
      <c r="E46" s="18" t="inlineStr"/>
      <c r="F46" s="18" t="inlineStr">
        <is>
          <t>20251203000349.html</t>
        </is>
      </c>
      <c r="G46" s="18" t="inlineStr">
        <is>
          <t>20251203000349</t>
        </is>
      </c>
      <c r="H46" s="19" t="inlineStr">
        <is>
          <t>열기</t>
        </is>
      </c>
    </row>
    <row r="47">
      <c r="A47" s="18" t="inlineStr">
        <is>
          <t>2025-12-03</t>
        </is>
      </c>
      <c r="B47" s="18" t="inlineStr">
        <is>
          <t>임원ㆍ주요주주특정증권등소유상황보고서</t>
        </is>
      </c>
      <c r="C47" s="18" t="inlineStr">
        <is>
          <t>한성준</t>
        </is>
      </c>
      <c r="D47" s="18" t="inlineStr">
        <is>
          <t>임원 소유상황/거래계획</t>
        </is>
      </c>
      <c r="E47" s="18" t="inlineStr"/>
      <c r="F47" s="18" t="inlineStr">
        <is>
          <t>20251203000347.html</t>
        </is>
      </c>
      <c r="G47" s="18" t="inlineStr">
        <is>
          <t>20251203000347</t>
        </is>
      </c>
      <c r="H47" s="19" t="inlineStr">
        <is>
          <t>열기</t>
        </is>
      </c>
    </row>
    <row r="48">
      <c r="A48" s="18" t="inlineStr">
        <is>
          <t>2025-12-03</t>
        </is>
      </c>
      <c r="B48" s="18" t="inlineStr">
        <is>
          <t>임원ㆍ주요주주특정증권등소유상황보고서</t>
        </is>
      </c>
      <c r="C48" s="18" t="inlineStr">
        <is>
          <t>김민석</t>
        </is>
      </c>
      <c r="D48" s="18" t="inlineStr">
        <is>
          <t>임원 소유상황/거래계획</t>
        </is>
      </c>
      <c r="E48" s="18" t="inlineStr"/>
      <c r="F48" s="18" t="inlineStr">
        <is>
          <t>20251203000342.html</t>
        </is>
      </c>
      <c r="G48" s="18" t="inlineStr">
        <is>
          <t>20251203000342</t>
        </is>
      </c>
      <c r="H48" s="19" t="inlineStr">
        <is>
          <t>열기</t>
        </is>
      </c>
    </row>
    <row r="49">
      <c r="A49" s="18" t="inlineStr">
        <is>
          <t>2025-12-03</t>
        </is>
      </c>
      <c r="B49" s="18" t="inlineStr">
        <is>
          <t>임원ㆍ주요주주특정증권등소유상황보고서</t>
        </is>
      </c>
      <c r="C49" s="18" t="inlineStr">
        <is>
          <t>정민수</t>
        </is>
      </c>
      <c r="D49" s="18" t="inlineStr">
        <is>
          <t>임원 소유상황/거래계획</t>
        </is>
      </c>
      <c r="E49" s="18" t="inlineStr"/>
      <c r="F49" s="18" t="inlineStr">
        <is>
          <t>20251203000335.html</t>
        </is>
      </c>
      <c r="G49" s="18" t="inlineStr">
        <is>
          <t>20251203000335</t>
        </is>
      </c>
      <c r="H49" s="19" t="inlineStr">
        <is>
          <t>열기</t>
        </is>
      </c>
    </row>
    <row r="50">
      <c r="A50" s="18" t="inlineStr">
        <is>
          <t>2025-12-03</t>
        </is>
      </c>
      <c r="B50" s="18" t="inlineStr">
        <is>
          <t>주식등의대량보유상황보고서(일반)</t>
        </is>
      </c>
      <c r="C50" s="18" t="inlineStr">
        <is>
          <t>김보은</t>
        </is>
      </c>
      <c r="D50" s="18" t="inlineStr">
        <is>
          <t>5% 대량보유</t>
        </is>
      </c>
      <c r="E50" s="18" t="inlineStr"/>
      <c r="F50" s="18" t="inlineStr">
        <is>
          <t>20251203000326.html</t>
        </is>
      </c>
      <c r="G50" s="18" t="inlineStr">
        <is>
          <t>20251203000326</t>
        </is>
      </c>
      <c r="H50" s="19" t="inlineStr">
        <is>
          <t>열기</t>
        </is>
      </c>
    </row>
    <row r="51">
      <c r="A51" s="18" t="inlineStr">
        <is>
          <t>2025-11-25</t>
        </is>
      </c>
      <c r="B51" s="18" t="inlineStr">
        <is>
          <t>[기재정정]단일판매ㆍ공급계약체결</t>
        </is>
      </c>
      <c r="C51" s="18" t="inlineStr">
        <is>
          <t>라온텍</t>
        </is>
      </c>
      <c r="D51" s="18" t="inlineStr">
        <is>
          <t>공급계약</t>
        </is>
      </c>
      <c r="E51" s="18" t="inlineStr">
        <is>
          <t>정정</t>
        </is>
      </c>
      <c r="F51" s="18" t="inlineStr">
        <is>
          <t>20251125900455.html</t>
        </is>
      </c>
      <c r="G51" s="18" t="inlineStr">
        <is>
          <t>20251125900455</t>
        </is>
      </c>
      <c r="H51" s="19" t="inlineStr">
        <is>
          <t>열기</t>
        </is>
      </c>
    </row>
    <row r="52">
      <c r="A52" s="18" t="inlineStr">
        <is>
          <t>2025-11-14</t>
        </is>
      </c>
      <c r="B52" s="18" t="inlineStr">
        <is>
          <t>분기보고서 (2025.09)</t>
        </is>
      </c>
      <c r="C52" s="18" t="inlineStr">
        <is>
          <t>라온텍</t>
        </is>
      </c>
      <c r="D52" s="18" t="inlineStr">
        <is>
          <t>정기보고서</t>
        </is>
      </c>
      <c r="E52" s="18" t="inlineStr"/>
      <c r="F52" s="18" t="inlineStr">
        <is>
          <t>20251114002884.html</t>
        </is>
      </c>
      <c r="G52" s="18" t="inlineStr">
        <is>
          <t>20251114002884</t>
        </is>
      </c>
      <c r="H52" s="19" t="inlineStr">
        <is>
          <t>열기</t>
        </is>
      </c>
    </row>
    <row r="53">
      <c r="A53" s="18" t="inlineStr">
        <is>
          <t>2025-10-17</t>
        </is>
      </c>
      <c r="B53" s="18" t="inlineStr">
        <is>
          <t>임원ㆍ주요주주특정증권등소유상황보고서</t>
        </is>
      </c>
      <c r="C53" s="18" t="inlineStr">
        <is>
          <t>한성준</t>
        </is>
      </c>
      <c r="D53" s="18" t="inlineStr">
        <is>
          <t>임원 소유상황/거래계획</t>
        </is>
      </c>
      <c r="E53" s="18" t="inlineStr"/>
      <c r="F53" s="18" t="inlineStr">
        <is>
          <t>20251017000488.html</t>
        </is>
      </c>
      <c r="G53" s="18" t="inlineStr">
        <is>
          <t>20251017000488</t>
        </is>
      </c>
      <c r="H53" s="19" t="inlineStr">
        <is>
          <t>열기</t>
        </is>
      </c>
    </row>
    <row r="54">
      <c r="A54" s="18" t="inlineStr">
        <is>
          <t>2025-10-02</t>
        </is>
      </c>
      <c r="B54" s="18" t="inlineStr">
        <is>
          <t>주식등의대량보유상황보고서(일반)</t>
        </is>
      </c>
      <c r="C54" s="18" t="inlineStr">
        <is>
          <t>김보은</t>
        </is>
      </c>
      <c r="D54" s="18" t="inlineStr">
        <is>
          <t>5% 대량보유</t>
        </is>
      </c>
      <c r="E54" s="18" t="inlineStr"/>
      <c r="F54" s="18" t="inlineStr">
        <is>
          <t>20251002000588.html</t>
        </is>
      </c>
      <c r="G54" s="18" t="inlineStr">
        <is>
          <t>20251002000588</t>
        </is>
      </c>
      <c r="H54" s="19" t="inlineStr">
        <is>
          <t>열기</t>
        </is>
      </c>
    </row>
    <row r="55">
      <c r="A55" s="18" t="inlineStr">
        <is>
          <t>2025-10-02</t>
        </is>
      </c>
      <c r="B55" s="18" t="inlineStr">
        <is>
          <t>임원ㆍ주요주주특정증권등소유상황보고서</t>
        </is>
      </c>
      <c r="C55" s="18" t="inlineStr">
        <is>
          <t>김민석</t>
        </is>
      </c>
      <c r="D55" s="18" t="inlineStr">
        <is>
          <t>임원 소유상황/거래계획</t>
        </is>
      </c>
      <c r="E55" s="18" t="inlineStr"/>
      <c r="F55" s="18" t="inlineStr">
        <is>
          <t>20251002000579.html</t>
        </is>
      </c>
      <c r="G55" s="18" t="inlineStr">
        <is>
          <t>20251002000579</t>
        </is>
      </c>
      <c r="H55" s="19" t="inlineStr">
        <is>
          <t>열기</t>
        </is>
      </c>
    </row>
    <row r="56">
      <c r="A56" s="18" t="inlineStr">
        <is>
          <t>2025-10-02</t>
        </is>
      </c>
      <c r="B56" s="18" t="inlineStr">
        <is>
          <t>임원ㆍ주요주주특정증권등소유상황보고서</t>
        </is>
      </c>
      <c r="C56" s="18" t="inlineStr">
        <is>
          <t>이광수</t>
        </is>
      </c>
      <c r="D56" s="18" t="inlineStr">
        <is>
          <t>임원 소유상황/거래계획</t>
        </is>
      </c>
      <c r="E56" s="18" t="inlineStr"/>
      <c r="F56" s="18" t="inlineStr">
        <is>
          <t>20251002000575.html</t>
        </is>
      </c>
      <c r="G56" s="18" t="inlineStr">
        <is>
          <t>20251002000575</t>
        </is>
      </c>
      <c r="H56" s="19" t="inlineStr">
        <is>
          <t>열기</t>
        </is>
      </c>
    </row>
    <row r="57">
      <c r="A57" s="18" t="inlineStr">
        <is>
          <t>2025-09-17</t>
        </is>
      </c>
      <c r="B57" s="18" t="inlineStr">
        <is>
          <t>[기재정정]단일판매ㆍ공급계약체결</t>
        </is>
      </c>
      <c r="C57" s="18" t="inlineStr">
        <is>
          <t>라온텍</t>
        </is>
      </c>
      <c r="D57" s="18" t="inlineStr">
        <is>
          <t>공급계약</t>
        </is>
      </c>
      <c r="E57" s="18" t="inlineStr">
        <is>
          <t>정정</t>
        </is>
      </c>
      <c r="F57" s="18" t="inlineStr">
        <is>
          <t>20250917900278.html</t>
        </is>
      </c>
      <c r="G57" s="18" t="inlineStr">
        <is>
          <t>20250917900278</t>
        </is>
      </c>
      <c r="H57" s="19" t="inlineStr">
        <is>
          <t>열기</t>
        </is>
      </c>
    </row>
    <row r="58">
      <c r="A58" s="18" t="inlineStr">
        <is>
          <t>2025-09-10</t>
        </is>
      </c>
      <c r="B58" s="20" t="inlineStr">
        <is>
          <t>투자판단관련주요경영사항              ([국책과제 선정] 4K급 고해상도 LEDoS 패널을 위한 CMOS 및 구동 회로 내장 백플레인 설계 기술 개발)</t>
        </is>
      </c>
      <c r="C58" s="18" t="inlineStr">
        <is>
          <t>라온텍</t>
        </is>
      </c>
      <c r="D58" s="18" t="inlineStr">
        <is>
          <t>국책과제/자율공시</t>
        </is>
      </c>
      <c r="E58" s="18" t="inlineStr"/>
      <c r="F58" s="18" t="inlineStr">
        <is>
          <t>20250910900149.html</t>
        </is>
      </c>
      <c r="G58" s="18" t="inlineStr">
        <is>
          <t>20250910900149</t>
        </is>
      </c>
      <c r="H58" s="19" t="inlineStr">
        <is>
          <t>열기</t>
        </is>
      </c>
    </row>
    <row r="59">
      <c r="A59" s="18" t="inlineStr">
        <is>
          <t>2025-09-08</t>
        </is>
      </c>
      <c r="B59" s="18" t="inlineStr">
        <is>
          <t>[기재정정]단일판매ㆍ공급계약체결</t>
        </is>
      </c>
      <c r="C59" s="18" t="inlineStr">
        <is>
          <t>라온텍</t>
        </is>
      </c>
      <c r="D59" s="18" t="inlineStr">
        <is>
          <t>공급계약</t>
        </is>
      </c>
      <c r="E59" s="18" t="inlineStr">
        <is>
          <t>정정</t>
        </is>
      </c>
      <c r="F59" s="18" t="inlineStr">
        <is>
          <t>20250908900323.html</t>
        </is>
      </c>
      <c r="G59" s="18" t="inlineStr">
        <is>
          <t>20250908900323</t>
        </is>
      </c>
      <c r="H59" s="19" t="inlineStr">
        <is>
          <t>열기</t>
        </is>
      </c>
    </row>
    <row r="60">
      <c r="A60" s="18" t="inlineStr">
        <is>
          <t>2025-08-26</t>
        </is>
      </c>
      <c r="B60" s="18" t="inlineStr">
        <is>
          <t>증권발행결과(자율공시)              (제2회차 CB)</t>
        </is>
      </c>
      <c r="C60" s="18" t="inlineStr">
        <is>
          <t>라온텍</t>
        </is>
      </c>
      <c r="D60" s="18" t="inlineStr">
        <is>
          <t>증권신고/합병(스팩)</t>
        </is>
      </c>
      <c r="E60" s="18" t="inlineStr"/>
      <c r="F60" s="18" t="inlineStr">
        <is>
          <t>20250826900250.html</t>
        </is>
      </c>
      <c r="G60" s="18" t="inlineStr">
        <is>
          <t>20250826900250</t>
        </is>
      </c>
      <c r="H60" s="19" t="inlineStr">
        <is>
          <t>열기</t>
        </is>
      </c>
    </row>
    <row r="61">
      <c r="A61" s="18" t="inlineStr">
        <is>
          <t>2025-08-26</t>
        </is>
      </c>
      <c r="B61" s="18" t="inlineStr">
        <is>
          <t>주식등의대량보유상황보고서(약식)</t>
        </is>
      </c>
      <c r="C61" s="18" t="inlineStr">
        <is>
          <t>대신증권</t>
        </is>
      </c>
      <c r="D61" s="18" t="inlineStr">
        <is>
          <t>5% 대량보유</t>
        </is>
      </c>
      <c r="E61" s="18" t="inlineStr"/>
      <c r="F61" s="18" t="inlineStr">
        <is>
          <t>20250826000386.html</t>
        </is>
      </c>
      <c r="G61" s="18" t="inlineStr">
        <is>
          <t>20250826000386</t>
        </is>
      </c>
      <c r="H61" s="19" t="inlineStr">
        <is>
          <t>열기</t>
        </is>
      </c>
    </row>
    <row r="62">
      <c r="A62" s="18" t="inlineStr">
        <is>
          <t>2025-08-18</t>
        </is>
      </c>
      <c r="B62" s="18" t="inlineStr">
        <is>
          <t>주요사항보고서(전환사채권발행결정)</t>
        </is>
      </c>
      <c r="C62" s="18" t="inlineStr">
        <is>
          <t>라온텍</t>
        </is>
      </c>
      <c r="D62" s="18" t="inlineStr">
        <is>
          <t>자금조달/CB</t>
        </is>
      </c>
      <c r="E62" s="18" t="inlineStr"/>
      <c r="F62" s="18" t="inlineStr">
        <is>
          <t>20250818000222.html</t>
        </is>
      </c>
      <c r="G62" s="18" t="inlineStr">
        <is>
          <t>20250818000222</t>
        </is>
      </c>
      <c r="H62" s="19" t="inlineStr">
        <is>
          <t>열기</t>
        </is>
      </c>
    </row>
    <row r="63">
      <c r="A63" s="18" t="inlineStr">
        <is>
          <t>2025-08-14</t>
        </is>
      </c>
      <c r="B63" s="18" t="inlineStr">
        <is>
          <t>반기보고서 (2025.06)</t>
        </is>
      </c>
      <c r="C63" s="18" t="inlineStr">
        <is>
          <t>라온텍</t>
        </is>
      </c>
      <c r="D63" s="18" t="inlineStr">
        <is>
          <t>정기보고서</t>
        </is>
      </c>
      <c r="E63" s="18" t="inlineStr"/>
      <c r="F63" s="18" t="inlineStr">
        <is>
          <t>20250814004163.html</t>
        </is>
      </c>
      <c r="G63" s="18" t="inlineStr">
        <is>
          <t>20250814004163</t>
        </is>
      </c>
      <c r="H63" s="19" t="inlineStr">
        <is>
          <t>열기</t>
        </is>
      </c>
    </row>
    <row r="64">
      <c r="A64" s="18" t="inlineStr">
        <is>
          <t>2025-08-13</t>
        </is>
      </c>
      <c r="B64" s="18" t="inlineStr">
        <is>
          <t>[기재정정]사업보고서 (2024.12)</t>
        </is>
      </c>
      <c r="C64" s="18" t="inlineStr">
        <is>
          <t>라온텍</t>
        </is>
      </c>
      <c r="D64" s="18" t="inlineStr">
        <is>
          <t>정기보고서</t>
        </is>
      </c>
      <c r="E64" s="18" t="inlineStr">
        <is>
          <t>정정</t>
        </is>
      </c>
      <c r="F64" s="18" t="inlineStr">
        <is>
          <t>20250813001420.html</t>
        </is>
      </c>
      <c r="G64" s="18" t="inlineStr">
        <is>
          <t>20250813001420</t>
        </is>
      </c>
      <c r="H64" s="19" t="inlineStr">
        <is>
          <t>열기</t>
        </is>
      </c>
    </row>
    <row r="65">
      <c r="A65" s="18" t="inlineStr">
        <is>
          <t>2025-07-25</t>
        </is>
      </c>
      <c r="B65" s="18" t="inlineStr">
        <is>
          <t>[기재정정]단일판매ㆍ공급계약체결</t>
        </is>
      </c>
      <c r="C65" s="18" t="inlineStr">
        <is>
          <t>라온텍</t>
        </is>
      </c>
      <c r="D65" s="18" t="inlineStr">
        <is>
          <t>공급계약</t>
        </is>
      </c>
      <c r="E65" s="18" t="inlineStr">
        <is>
          <t>정정</t>
        </is>
      </c>
      <c r="F65" s="18" t="inlineStr">
        <is>
          <t>20250725900619.html</t>
        </is>
      </c>
      <c r="G65" s="18" t="inlineStr">
        <is>
          <t>20250725900619</t>
        </is>
      </c>
      <c r="H65" s="19" t="inlineStr">
        <is>
          <t>열기</t>
        </is>
      </c>
    </row>
    <row r="66">
      <c r="A66" s="18" t="inlineStr">
        <is>
          <t>2025-05-15</t>
        </is>
      </c>
      <c r="B66" s="18" t="inlineStr">
        <is>
          <t>분기보고서 (2025.03)</t>
        </is>
      </c>
      <c r="C66" s="18" t="inlineStr">
        <is>
          <t>라온텍</t>
        </is>
      </c>
      <c r="D66" s="18" t="inlineStr">
        <is>
          <t>정기보고서</t>
        </is>
      </c>
      <c r="E66" s="18" t="inlineStr"/>
      <c r="F66" s="18" t="inlineStr">
        <is>
          <t>20250515002783.html</t>
        </is>
      </c>
      <c r="G66" s="18" t="inlineStr">
        <is>
          <t>20250515002783</t>
        </is>
      </c>
      <c r="H66" s="19" t="inlineStr">
        <is>
          <t>열기</t>
        </is>
      </c>
    </row>
    <row r="67">
      <c r="A67" s="18" t="inlineStr">
        <is>
          <t>2025-05-09</t>
        </is>
      </c>
      <c r="B67" s="20" t="inlineStr">
        <is>
          <t>[기재정정]투자판단관련주요경영사항              ([국책과제 선정] 초소형 XR글래스용 480 프레임레이트 제어부 내장형 0.2인치 LCoS마이크로디스플레이 기술 개발)</t>
        </is>
      </c>
      <c r="C67" s="18" t="inlineStr">
        <is>
          <t>라온텍</t>
        </is>
      </c>
      <c r="D67" s="18" t="inlineStr">
        <is>
          <t>국책과제/자율공시</t>
        </is>
      </c>
      <c r="E67" s="18" t="inlineStr">
        <is>
          <t>정정</t>
        </is>
      </c>
      <c r="F67" s="18" t="inlineStr">
        <is>
          <t>20250509900739.html</t>
        </is>
      </c>
      <c r="G67" s="18" t="inlineStr">
        <is>
          <t>20250509900739</t>
        </is>
      </c>
      <c r="H67" s="19" t="inlineStr">
        <is>
          <t>열기</t>
        </is>
      </c>
    </row>
    <row r="68">
      <c r="A68" s="18" t="inlineStr">
        <is>
          <t>2025-04-25</t>
        </is>
      </c>
      <c r="B68" s="18" t="inlineStr">
        <is>
          <t>[기재정정]단일판매ㆍ공급계약체결</t>
        </is>
      </c>
      <c r="C68" s="18" t="inlineStr">
        <is>
          <t>라온텍</t>
        </is>
      </c>
      <c r="D68" s="18" t="inlineStr">
        <is>
          <t>공급계약</t>
        </is>
      </c>
      <c r="E68" s="18" t="inlineStr">
        <is>
          <t>정정</t>
        </is>
      </c>
      <c r="F68" s="18" t="inlineStr">
        <is>
          <t>20250425900577.html</t>
        </is>
      </c>
      <c r="G68" s="18" t="inlineStr">
        <is>
          <t>20250425900577</t>
        </is>
      </c>
      <c r="H68" s="19" t="inlineStr">
        <is>
          <t>열기</t>
        </is>
      </c>
    </row>
    <row r="69">
      <c r="A69" s="18" t="inlineStr">
        <is>
          <t>2025-04-10</t>
        </is>
      </c>
      <c r="B69" s="18" t="inlineStr">
        <is>
          <t>[기재정정]임원ㆍ주요주주특정증권등소유상황보고서</t>
        </is>
      </c>
      <c r="C69" s="18" t="inlineStr">
        <is>
          <t>한성준</t>
        </is>
      </c>
      <c r="D69" s="18" t="inlineStr">
        <is>
          <t>임원 소유상황/거래계획</t>
        </is>
      </c>
      <c r="E69" s="18" t="inlineStr">
        <is>
          <t>정정</t>
        </is>
      </c>
      <c r="F69" s="18" t="inlineStr">
        <is>
          <t>20250410003121.html</t>
        </is>
      </c>
      <c r="G69" s="18" t="inlineStr">
        <is>
          <t>20250410003121</t>
        </is>
      </c>
      <c r="H69" s="19" t="inlineStr">
        <is>
          <t>열기</t>
        </is>
      </c>
    </row>
    <row r="70">
      <c r="A70" s="18" t="inlineStr">
        <is>
          <t>2025-04-10</t>
        </is>
      </c>
      <c r="B70" s="18" t="inlineStr">
        <is>
          <t>주식등의대량보유상황보고서(일반)</t>
        </is>
      </c>
      <c r="C70" s="18" t="inlineStr">
        <is>
          <t>김보은</t>
        </is>
      </c>
      <c r="D70" s="18" t="inlineStr">
        <is>
          <t>5% 대량보유</t>
        </is>
      </c>
      <c r="E70" s="18" t="inlineStr"/>
      <c r="F70" s="18" t="inlineStr">
        <is>
          <t>20250410003059.html</t>
        </is>
      </c>
      <c r="G70" s="18" t="inlineStr">
        <is>
          <t>20250410003059</t>
        </is>
      </c>
      <c r="H70" s="19" t="inlineStr">
        <is>
          <t>열기</t>
        </is>
      </c>
    </row>
    <row r="71">
      <c r="A71" s="18" t="inlineStr">
        <is>
          <t>2025-04-10</t>
        </is>
      </c>
      <c r="B71" s="18" t="inlineStr">
        <is>
          <t>임원ㆍ주요주주특정증권등소유상황보고서</t>
        </is>
      </c>
      <c r="C71" s="18" t="inlineStr">
        <is>
          <t>이정환</t>
        </is>
      </c>
      <c r="D71" s="18" t="inlineStr">
        <is>
          <t>임원 소유상황/거래계획</t>
        </is>
      </c>
      <c r="E71" s="18" t="inlineStr"/>
      <c r="F71" s="18" t="inlineStr">
        <is>
          <t>20250410002995.html</t>
        </is>
      </c>
      <c r="G71" s="18" t="inlineStr">
        <is>
          <t>20250410002995</t>
        </is>
      </c>
      <c r="H71" s="19" t="inlineStr">
        <is>
          <t>열기</t>
        </is>
      </c>
    </row>
    <row r="72">
      <c r="A72" s="18" t="inlineStr">
        <is>
          <t>2025-04-10</t>
        </is>
      </c>
      <c r="B72" s="18" t="inlineStr">
        <is>
          <t>임원ㆍ주요주주특정증권등소유상황보고서</t>
        </is>
      </c>
      <c r="C72" s="18" t="inlineStr">
        <is>
          <t>조성재</t>
        </is>
      </c>
      <c r="D72" s="18" t="inlineStr">
        <is>
          <t>임원 소유상황/거래계획</t>
        </is>
      </c>
      <c r="E72" s="18" t="inlineStr"/>
      <c r="F72" s="18" t="inlineStr">
        <is>
          <t>20250410002952.html</t>
        </is>
      </c>
      <c r="G72" s="18" t="inlineStr">
        <is>
          <t>20250410002952</t>
        </is>
      </c>
      <c r="H72" s="19" t="inlineStr">
        <is>
          <t>열기</t>
        </is>
      </c>
    </row>
    <row r="73">
      <c r="A73" s="18" t="inlineStr">
        <is>
          <t>2025-04-10</t>
        </is>
      </c>
      <c r="B73" s="18" t="inlineStr">
        <is>
          <t>임원ㆍ주요주주특정증권등소유상황보고서</t>
        </is>
      </c>
      <c r="C73" s="18" t="inlineStr">
        <is>
          <t>한성준</t>
        </is>
      </c>
      <c r="D73" s="18" t="inlineStr">
        <is>
          <t>임원 소유상황/거래계획</t>
        </is>
      </c>
      <c r="E73" s="18" t="inlineStr"/>
      <c r="F73" s="18" t="inlineStr">
        <is>
          <t>20250410002910.html</t>
        </is>
      </c>
      <c r="G73" s="18" t="inlineStr">
        <is>
          <t>20250410002910</t>
        </is>
      </c>
      <c r="H73" s="19" t="inlineStr">
        <is>
          <t>열기</t>
        </is>
      </c>
    </row>
    <row r="74">
      <c r="A74" s="18" t="inlineStr">
        <is>
          <t>2025-04-10</t>
        </is>
      </c>
      <c r="B74" s="18" t="inlineStr">
        <is>
          <t>임원ㆍ주요주주특정증권등소유상황보고서</t>
        </is>
      </c>
      <c r="C74" s="18" t="inlineStr">
        <is>
          <t>김민석</t>
        </is>
      </c>
      <c r="D74" s="18" t="inlineStr">
        <is>
          <t>임원 소유상황/거래계획</t>
        </is>
      </c>
      <c r="E74" s="18" t="inlineStr"/>
      <c r="F74" s="18" t="inlineStr">
        <is>
          <t>20250410002864.html</t>
        </is>
      </c>
      <c r="G74" s="18" t="inlineStr">
        <is>
          <t>20250410002864</t>
        </is>
      </c>
      <c r="H74" s="19" t="inlineStr">
        <is>
          <t>열기</t>
        </is>
      </c>
    </row>
    <row r="75">
      <c r="A75" s="18" t="inlineStr">
        <is>
          <t>2025-04-08</t>
        </is>
      </c>
      <c r="B75" s="18" t="inlineStr">
        <is>
          <t>임원ㆍ주요주주특정증권등소유상황보고서</t>
        </is>
      </c>
      <c r="C75" s="18" t="inlineStr">
        <is>
          <t>조성재</t>
        </is>
      </c>
      <c r="D75" s="18" t="inlineStr">
        <is>
          <t>임원 소유상황/거래계획</t>
        </is>
      </c>
      <c r="E75" s="18" t="inlineStr"/>
      <c r="F75" s="18" t="inlineStr">
        <is>
          <t>20250408002367.html</t>
        </is>
      </c>
      <c r="G75" s="18" t="inlineStr">
        <is>
          <t>20250408002367</t>
        </is>
      </c>
      <c r="H75" s="19" t="inlineStr">
        <is>
          <t>열기</t>
        </is>
      </c>
    </row>
    <row r="76">
      <c r="A76" s="18" t="inlineStr">
        <is>
          <t>2025-03-31</t>
        </is>
      </c>
      <c r="B76" s="18" t="inlineStr">
        <is>
          <t>정기주주총회결과</t>
        </is>
      </c>
      <c r="C76" s="18" t="inlineStr">
        <is>
          <t>라온텍</t>
        </is>
      </c>
      <c r="D76" s="18" t="inlineStr">
        <is>
          <t>경영권/주총</t>
        </is>
      </c>
      <c r="E76" s="18" t="inlineStr"/>
      <c r="F76" s="18" t="inlineStr">
        <is>
          <t>20250331903040.html</t>
        </is>
      </c>
      <c r="G76" s="18" t="inlineStr">
        <is>
          <t>20250331903040</t>
        </is>
      </c>
      <c r="H76" s="19" t="inlineStr">
        <is>
          <t>열기</t>
        </is>
      </c>
    </row>
    <row r="77">
      <c r="A77" s="18" t="inlineStr">
        <is>
          <t>2025-03-31</t>
        </is>
      </c>
      <c r="B77" s="18" t="inlineStr">
        <is>
          <t>독립이사의선임ㆍ해임또는중도퇴임에관한신고</t>
        </is>
      </c>
      <c r="C77" s="18" t="inlineStr">
        <is>
          <t>라온텍</t>
        </is>
      </c>
      <c r="D77" s="18" t="inlineStr">
        <is>
          <t>경영권/주총</t>
        </is>
      </c>
      <c r="E77" s="18" t="inlineStr"/>
      <c r="F77" s="18" t="inlineStr">
        <is>
          <t>20250331003872.html</t>
        </is>
      </c>
      <c r="G77" s="18" t="inlineStr">
        <is>
          <t>20250331003872</t>
        </is>
      </c>
      <c r="H77" s="19" t="inlineStr">
        <is>
          <t>열기</t>
        </is>
      </c>
    </row>
    <row r="78">
      <c r="A78" s="18" t="inlineStr">
        <is>
          <t>2025-03-28</t>
        </is>
      </c>
      <c r="B78" s="18" t="inlineStr">
        <is>
          <t>주식등의대량보유상황보고서(일반)</t>
        </is>
      </c>
      <c r="C78" s="18" t="inlineStr">
        <is>
          <t>김보은</t>
        </is>
      </c>
      <c r="D78" s="18" t="inlineStr">
        <is>
          <t>5% 대량보유</t>
        </is>
      </c>
      <c r="E78" s="18" t="inlineStr"/>
      <c r="F78" s="18" t="inlineStr">
        <is>
          <t>20250328001762.html</t>
        </is>
      </c>
      <c r="G78" s="18" t="inlineStr">
        <is>
          <t>20250328001762</t>
        </is>
      </c>
      <c r="H78" s="19" t="inlineStr">
        <is>
          <t>열기</t>
        </is>
      </c>
    </row>
    <row r="79">
      <c r="A79" s="18" t="inlineStr">
        <is>
          <t>2025-03-28</t>
        </is>
      </c>
      <c r="B79" s="18" t="inlineStr">
        <is>
          <t>임원ㆍ주요주주특정증권등소유상황보고서</t>
        </is>
      </c>
      <c r="C79" s="18" t="inlineStr">
        <is>
          <t>김민석</t>
        </is>
      </c>
      <c r="D79" s="18" t="inlineStr">
        <is>
          <t>임원 소유상황/거래계획</t>
        </is>
      </c>
      <c r="E79" s="18" t="inlineStr"/>
      <c r="F79" s="18" t="inlineStr">
        <is>
          <t>20250328001708.html</t>
        </is>
      </c>
      <c r="G79" s="18" t="inlineStr">
        <is>
          <t>20250328001708</t>
        </is>
      </c>
      <c r="H79" s="19" t="inlineStr">
        <is>
          <t>열기</t>
        </is>
      </c>
    </row>
    <row r="80">
      <c r="A80" s="18" t="inlineStr">
        <is>
          <t>2025-03-28</t>
        </is>
      </c>
      <c r="B80" s="18" t="inlineStr">
        <is>
          <t>임원ㆍ주요주주특정증권등소유상황보고서</t>
        </is>
      </c>
      <c r="C80" s="18" t="inlineStr">
        <is>
          <t>정민수</t>
        </is>
      </c>
      <c r="D80" s="18" t="inlineStr">
        <is>
          <t>임원 소유상황/거래계획</t>
        </is>
      </c>
      <c r="E80" s="18" t="inlineStr"/>
      <c r="F80" s="18" t="inlineStr">
        <is>
          <t>20250328001663.html</t>
        </is>
      </c>
      <c r="G80" s="18" t="inlineStr">
        <is>
          <t>20250328001663</t>
        </is>
      </c>
      <c r="H80" s="19" t="inlineStr">
        <is>
          <t>열기</t>
        </is>
      </c>
    </row>
    <row r="81">
      <c r="A81" s="18" t="inlineStr">
        <is>
          <t>2025-03-27</t>
        </is>
      </c>
      <c r="B81" s="18" t="inlineStr">
        <is>
          <t>임원ㆍ주요주주특정증권등소유상황보고서</t>
        </is>
      </c>
      <c r="C81" s="18" t="inlineStr">
        <is>
          <t>이광수</t>
        </is>
      </c>
      <c r="D81" s="18" t="inlineStr">
        <is>
          <t>임원 소유상황/거래계획</t>
        </is>
      </c>
      <c r="E81" s="18" t="inlineStr"/>
      <c r="F81" s="18" t="inlineStr">
        <is>
          <t>20250327000671.html</t>
        </is>
      </c>
      <c r="G81" s="18" t="inlineStr">
        <is>
          <t>20250327000671</t>
        </is>
      </c>
      <c r="H81" s="19" t="inlineStr">
        <is>
          <t>열기</t>
        </is>
      </c>
    </row>
    <row r="82">
      <c r="A82" s="18" t="inlineStr">
        <is>
          <t>2025-03-24</t>
        </is>
      </c>
      <c r="B82" s="18" t="inlineStr">
        <is>
          <t>임원ㆍ주요주주특정증권등소유상황보고서</t>
        </is>
      </c>
      <c r="C82" s="18" t="inlineStr">
        <is>
          <t>한성준</t>
        </is>
      </c>
      <c r="D82" s="18" t="inlineStr">
        <is>
          <t>임원 소유상황/거래계획</t>
        </is>
      </c>
      <c r="E82" s="18" t="inlineStr"/>
      <c r="F82" s="18" t="inlineStr">
        <is>
          <t>20250324000502.html</t>
        </is>
      </c>
      <c r="G82" s="18" t="inlineStr">
        <is>
          <t>20250324000502</t>
        </is>
      </c>
      <c r="H82" s="19" t="inlineStr">
        <is>
          <t>열기</t>
        </is>
      </c>
    </row>
    <row r="83">
      <c r="A83" s="18" t="inlineStr">
        <is>
          <t>2025-03-21</t>
        </is>
      </c>
      <c r="B83" s="18" t="inlineStr">
        <is>
          <t>감사보고서제출</t>
        </is>
      </c>
      <c r="C83" s="18" t="inlineStr">
        <is>
          <t>라온텍</t>
        </is>
      </c>
      <c r="D83" s="18" t="inlineStr">
        <is>
          <t>감사보고서</t>
        </is>
      </c>
      <c r="E83" s="18" t="inlineStr"/>
      <c r="F83" s="18" t="inlineStr">
        <is>
          <t>20250321900826.html</t>
        </is>
      </c>
      <c r="G83" s="18" t="inlineStr">
        <is>
          <t>20250321900826</t>
        </is>
      </c>
      <c r="H83" s="19" t="inlineStr">
        <is>
          <t>열기</t>
        </is>
      </c>
    </row>
    <row r="84">
      <c r="A84" s="18" t="inlineStr">
        <is>
          <t>2025-03-21</t>
        </is>
      </c>
      <c r="B84" s="18" t="inlineStr">
        <is>
          <t>사업보고서 (2024.12)</t>
        </is>
      </c>
      <c r="C84" s="18" t="inlineStr">
        <is>
          <t>라온텍</t>
        </is>
      </c>
      <c r="D84" s="18" t="inlineStr">
        <is>
          <t>정기보고서</t>
        </is>
      </c>
      <c r="E84" s="18" t="inlineStr"/>
      <c r="F84" s="18" t="inlineStr">
        <is>
          <t>20250321001251.html</t>
        </is>
      </c>
      <c r="G84" s="18" t="inlineStr">
        <is>
          <t>20250321001251</t>
        </is>
      </c>
      <c r="H84" s="19" t="inlineStr">
        <is>
          <t>열기</t>
        </is>
      </c>
    </row>
    <row r="85">
      <c r="A85" s="18" t="inlineStr">
        <is>
          <t>2025-03-14</t>
        </is>
      </c>
      <c r="B85" s="18" t="inlineStr">
        <is>
          <t>[기재정정]의결권대리행사권유참고서류</t>
        </is>
      </c>
      <c r="C85" s="18" t="inlineStr">
        <is>
          <t>라온텍</t>
        </is>
      </c>
      <c r="D85" s="18" t="inlineStr">
        <is>
          <t>경영권/주총</t>
        </is>
      </c>
      <c r="E85" s="18" t="inlineStr">
        <is>
          <t>정정</t>
        </is>
      </c>
      <c r="F85" s="18" t="inlineStr">
        <is>
          <t>20250314001431.html</t>
        </is>
      </c>
      <c r="G85" s="18" t="inlineStr">
        <is>
          <t>20250314001431</t>
        </is>
      </c>
      <c r="H85" s="19" t="inlineStr">
        <is>
          <t>열기</t>
        </is>
      </c>
    </row>
    <row r="86">
      <c r="A86" s="18" t="inlineStr">
        <is>
          <t>2025-03-14</t>
        </is>
      </c>
      <c r="B86" s="18" t="inlineStr">
        <is>
          <t>[기재정정]주주총회소집공고</t>
        </is>
      </c>
      <c r="C86" s="18" t="inlineStr">
        <is>
          <t>라온텍</t>
        </is>
      </c>
      <c r="D86" s="18" t="inlineStr">
        <is>
          <t>경영권/주총</t>
        </is>
      </c>
      <c r="E86" s="18" t="inlineStr">
        <is>
          <t>정정</t>
        </is>
      </c>
      <c r="F86" s="18" t="inlineStr">
        <is>
          <t>20250314001410.html</t>
        </is>
      </c>
      <c r="G86" s="18" t="inlineStr">
        <is>
          <t>20250314001410</t>
        </is>
      </c>
      <c r="H86" s="19" t="inlineStr">
        <is>
          <t>열기</t>
        </is>
      </c>
    </row>
    <row r="87">
      <c r="A87" s="18" t="inlineStr">
        <is>
          <t>2025-03-13</t>
        </is>
      </c>
      <c r="B87" s="18" t="inlineStr">
        <is>
          <t>의결권대리행사권유참고서류</t>
        </is>
      </c>
      <c r="C87" s="18" t="inlineStr">
        <is>
          <t>라온텍</t>
        </is>
      </c>
      <c r="D87" s="18" t="inlineStr">
        <is>
          <t>경영권/주총</t>
        </is>
      </c>
      <c r="E87" s="18" t="inlineStr"/>
      <c r="F87" s="18" t="inlineStr">
        <is>
          <t>20250313001124.html</t>
        </is>
      </c>
      <c r="G87" s="18" t="inlineStr">
        <is>
          <t>20250313001124</t>
        </is>
      </c>
      <c r="H87" s="19" t="inlineStr">
        <is>
          <t>열기</t>
        </is>
      </c>
    </row>
    <row r="88">
      <c r="A88" s="18" t="inlineStr">
        <is>
          <t>2025-03-13</t>
        </is>
      </c>
      <c r="B88" s="18" t="inlineStr">
        <is>
          <t>주주총회소집공고</t>
        </is>
      </c>
      <c r="C88" s="18" t="inlineStr">
        <is>
          <t>라온텍</t>
        </is>
      </c>
      <c r="D88" s="18" t="inlineStr">
        <is>
          <t>경영권/주총</t>
        </is>
      </c>
      <c r="E88" s="18" t="inlineStr"/>
      <c r="F88" s="18" t="inlineStr">
        <is>
          <t>20250313001092.html</t>
        </is>
      </c>
      <c r="G88" s="18" t="inlineStr">
        <is>
          <t>20250313001092</t>
        </is>
      </c>
      <c r="H88" s="19" t="inlineStr">
        <is>
          <t>열기</t>
        </is>
      </c>
    </row>
    <row r="89">
      <c r="A89" s="18" t="inlineStr">
        <is>
          <t>2025-02-28</t>
        </is>
      </c>
      <c r="B89" s="18" t="inlineStr">
        <is>
          <t>주주총회소집결의</t>
        </is>
      </c>
      <c r="C89" s="18" t="inlineStr">
        <is>
          <t>라온텍</t>
        </is>
      </c>
      <c r="D89" s="18" t="inlineStr">
        <is>
          <t>경영권/주총</t>
        </is>
      </c>
      <c r="E89" s="18" t="inlineStr"/>
      <c r="F89" s="18" t="inlineStr">
        <is>
          <t>20250228901395.html</t>
        </is>
      </c>
      <c r="G89" s="18" t="inlineStr">
        <is>
          <t>20250228901395</t>
        </is>
      </c>
      <c r="H89" s="19" t="inlineStr">
        <is>
          <t>열기</t>
        </is>
      </c>
    </row>
    <row r="90">
      <c r="A90" s="18" t="inlineStr">
        <is>
          <t>2025-02-14</t>
        </is>
      </c>
      <c r="B90" s="18" t="inlineStr">
        <is>
          <t>매출액또는손익구조30%(대규모법인은15%)이상변동</t>
        </is>
      </c>
      <c r="C90" s="18" t="inlineStr">
        <is>
          <t>라온텍</t>
        </is>
      </c>
      <c r="D90" s="18" t="inlineStr">
        <is>
          <t>실적변동</t>
        </is>
      </c>
      <c r="E90" s="18" t="inlineStr"/>
      <c r="F90" s="18" t="inlineStr">
        <is>
          <t>20250214901264.html</t>
        </is>
      </c>
      <c r="G90" s="18" t="inlineStr">
        <is>
          <t>20250214901264</t>
        </is>
      </c>
      <c r="H90" s="19" t="inlineStr">
        <is>
          <t>열기</t>
        </is>
      </c>
    </row>
    <row r="91">
      <c r="A91" s="18" t="inlineStr">
        <is>
          <t>2024-12-19</t>
        </is>
      </c>
      <c r="B91" s="18" t="inlineStr">
        <is>
          <t>[기재정정]단일판매ㆍ공급계약체결</t>
        </is>
      </c>
      <c r="C91" s="18" t="inlineStr">
        <is>
          <t>라온텍</t>
        </is>
      </c>
      <c r="D91" s="18" t="inlineStr">
        <is>
          <t>공급계약</t>
        </is>
      </c>
      <c r="E91" s="18" t="inlineStr">
        <is>
          <t>정정</t>
        </is>
      </c>
      <c r="F91" s="18" t="inlineStr">
        <is>
          <t>20241219900127.html</t>
        </is>
      </c>
      <c r="G91" s="18" t="inlineStr">
        <is>
          <t>20241219900127</t>
        </is>
      </c>
      <c r="H91" s="19" t="inlineStr">
        <is>
          <t>열기</t>
        </is>
      </c>
    </row>
    <row r="92">
      <c r="A92" s="18" t="inlineStr">
        <is>
          <t>2024-12-11</t>
        </is>
      </c>
      <c r="B92" s="18" t="inlineStr">
        <is>
          <t>주주명부폐쇄기간또는기준일설정</t>
        </is>
      </c>
      <c r="C92" s="18" t="inlineStr">
        <is>
          <t>라온텍</t>
        </is>
      </c>
      <c r="D92" s="18" t="inlineStr">
        <is>
          <t>경영권/주총</t>
        </is>
      </c>
      <c r="E92" s="18" t="inlineStr"/>
      <c r="F92" s="18" t="inlineStr">
        <is>
          <t>20241211900362.html</t>
        </is>
      </c>
      <c r="G92" s="18" t="inlineStr">
        <is>
          <t>20241211900362</t>
        </is>
      </c>
      <c r="H92" s="19" t="inlineStr">
        <is>
          <t>열기</t>
        </is>
      </c>
    </row>
    <row r="93">
      <c r="A93" s="18" t="inlineStr">
        <is>
          <t>2024-12-11</t>
        </is>
      </c>
      <c r="B93" s="18" t="inlineStr">
        <is>
          <t>[기재정정]주식매수선택권부여에관한신고</t>
        </is>
      </c>
      <c r="C93" s="18" t="inlineStr">
        <is>
          <t>라온텍</t>
        </is>
      </c>
      <c r="D93" s="18" t="inlineStr">
        <is>
          <t>스톡옵션</t>
        </is>
      </c>
      <c r="E93" s="18" t="inlineStr">
        <is>
          <t>정정</t>
        </is>
      </c>
      <c r="F93" s="18" t="inlineStr">
        <is>
          <t>20241211000233.html</t>
        </is>
      </c>
      <c r="G93" s="18" t="inlineStr">
        <is>
          <t>20241211000233</t>
        </is>
      </c>
      <c r="H93" s="19" t="inlineStr">
        <is>
          <t>열기</t>
        </is>
      </c>
    </row>
    <row r="94">
      <c r="A94" s="18" t="inlineStr">
        <is>
          <t>2024-12-11</t>
        </is>
      </c>
      <c r="B94" s="18" t="inlineStr">
        <is>
          <t>주식등의대량보유상황보고서(일반)</t>
        </is>
      </c>
      <c r="C94" s="18" t="inlineStr">
        <is>
          <t>김보은</t>
        </is>
      </c>
      <c r="D94" s="18" t="inlineStr">
        <is>
          <t>5% 대량보유</t>
        </is>
      </c>
      <c r="E94" s="18" t="inlineStr"/>
      <c r="F94" s="18" t="inlineStr">
        <is>
          <t>20241211000166.html</t>
        </is>
      </c>
      <c r="G94" s="18" t="inlineStr">
        <is>
          <t>20241211000166</t>
        </is>
      </c>
      <c r="H94" s="19" t="inlineStr">
        <is>
          <t>열기</t>
        </is>
      </c>
    </row>
    <row r="95">
      <c r="A95" s="18" t="inlineStr">
        <is>
          <t>2024-11-07</t>
        </is>
      </c>
      <c r="B95" s="18" t="inlineStr">
        <is>
          <t>분기보고서 (2024.09)</t>
        </is>
      </c>
      <c r="C95" s="18" t="inlineStr">
        <is>
          <t>라온텍</t>
        </is>
      </c>
      <c r="D95" s="18" t="inlineStr">
        <is>
          <t>정기보고서</t>
        </is>
      </c>
      <c r="E95" s="18" t="inlineStr"/>
      <c r="F95" s="18" t="inlineStr">
        <is>
          <t>20241107000263.html</t>
        </is>
      </c>
      <c r="G95" s="18" t="inlineStr">
        <is>
          <t>20241107000263</t>
        </is>
      </c>
      <c r="H95" s="19" t="inlineStr">
        <is>
          <t>열기</t>
        </is>
      </c>
    </row>
    <row r="96">
      <c r="A96" s="18" t="inlineStr">
        <is>
          <t>2024-10-08</t>
        </is>
      </c>
      <c r="B96" s="18" t="inlineStr">
        <is>
          <t>기업설명회(IR)개최</t>
        </is>
      </c>
      <c r="C96" s="18" t="inlineStr">
        <is>
          <t>라온텍</t>
        </is>
      </c>
      <c r="D96" s="18" t="inlineStr">
        <is>
          <t>IR</t>
        </is>
      </c>
      <c r="E96" s="18" t="inlineStr"/>
      <c r="F96" s="18" t="inlineStr">
        <is>
          <t>20241008900317.html</t>
        </is>
      </c>
      <c r="G96" s="18" t="inlineStr">
        <is>
          <t>20241008900317</t>
        </is>
      </c>
      <c r="H96" s="19" t="inlineStr">
        <is>
          <t>열기</t>
        </is>
      </c>
    </row>
    <row r="97">
      <c r="A97" s="18" t="inlineStr">
        <is>
          <t>2024-09-24</t>
        </is>
      </c>
      <c r="B97" s="18" t="inlineStr">
        <is>
          <t>[기재정정]단일판매ㆍ공급계약체결</t>
        </is>
      </c>
      <c r="C97" s="18" t="inlineStr">
        <is>
          <t>라온텍</t>
        </is>
      </c>
      <c r="D97" s="18" t="inlineStr">
        <is>
          <t>공급계약</t>
        </is>
      </c>
      <c r="E97" s="18" t="inlineStr">
        <is>
          <t>정정</t>
        </is>
      </c>
      <c r="F97" s="18" t="inlineStr">
        <is>
          <t>20240924900081.html</t>
        </is>
      </c>
      <c r="G97" s="18" t="inlineStr">
        <is>
          <t>20240924900081</t>
        </is>
      </c>
      <c r="H97" s="19" t="inlineStr">
        <is>
          <t>열기</t>
        </is>
      </c>
    </row>
    <row r="98">
      <c r="A98" s="18" t="inlineStr">
        <is>
          <t>2024-09-09</t>
        </is>
      </c>
      <c r="B98" s="18" t="inlineStr">
        <is>
          <t>임원ㆍ주요주주특정증권등소유상황보고서</t>
        </is>
      </c>
      <c r="C98" s="18" t="inlineStr">
        <is>
          <t>김보은</t>
        </is>
      </c>
      <c r="D98" s="18" t="inlineStr">
        <is>
          <t>임원 소유상황/거래계획</t>
        </is>
      </c>
      <c r="E98" s="18" t="inlineStr"/>
      <c r="F98" s="18" t="inlineStr">
        <is>
          <t>20240909000051.html</t>
        </is>
      </c>
      <c r="G98" s="18" t="inlineStr">
        <is>
          <t>20240909000051</t>
        </is>
      </c>
      <c r="H98" s="19" t="inlineStr">
        <is>
          <t>열기</t>
        </is>
      </c>
    </row>
    <row r="99">
      <c r="A99" s="18" t="inlineStr">
        <is>
          <t>2024-09-09</t>
        </is>
      </c>
      <c r="B99" s="18" t="inlineStr">
        <is>
          <t>주식등의대량보유상황보고서(일반)</t>
        </is>
      </c>
      <c r="C99" s="18" t="inlineStr">
        <is>
          <t>김보은</t>
        </is>
      </c>
      <c r="D99" s="18" t="inlineStr">
        <is>
          <t>5% 대량보유</t>
        </is>
      </c>
      <c r="E99" s="18" t="inlineStr"/>
      <c r="F99" s="18" t="inlineStr">
        <is>
          <t>20240909000045.html</t>
        </is>
      </c>
      <c r="G99" s="18" t="inlineStr">
        <is>
          <t>20240909000045</t>
        </is>
      </c>
      <c r="H99" s="19" t="inlineStr">
        <is>
          <t>열기</t>
        </is>
      </c>
    </row>
    <row r="100">
      <c r="A100" s="18" t="inlineStr">
        <is>
          <t>2024-08-14</t>
        </is>
      </c>
      <c r="B100" s="18" t="inlineStr">
        <is>
          <t>반기보고서 (2024.06)</t>
        </is>
      </c>
      <c r="C100" s="18" t="inlineStr">
        <is>
          <t>라온텍</t>
        </is>
      </c>
      <c r="D100" s="18" t="inlineStr">
        <is>
          <t>정기보고서</t>
        </is>
      </c>
      <c r="E100" s="18" t="inlineStr"/>
      <c r="F100" s="18" t="inlineStr">
        <is>
          <t>20240814003600.html</t>
        </is>
      </c>
      <c r="G100" s="18" t="inlineStr">
        <is>
          <t>20240814003600</t>
        </is>
      </c>
      <c r="H100" s="19" t="inlineStr">
        <is>
          <t>열기</t>
        </is>
      </c>
    </row>
    <row r="101">
      <c r="A101" s="18" t="inlineStr">
        <is>
          <t>2024-07-30</t>
        </is>
      </c>
      <c r="B101" s="18" t="inlineStr">
        <is>
          <t>[기재정정]사업보고서 (2023.12)</t>
        </is>
      </c>
      <c r="C101" s="18" t="inlineStr">
        <is>
          <t>라온텍</t>
        </is>
      </c>
      <c r="D101" s="18" t="inlineStr">
        <is>
          <t>정기보고서</t>
        </is>
      </c>
      <c r="E101" s="18" t="inlineStr">
        <is>
          <t>정정</t>
        </is>
      </c>
      <c r="F101" s="18" t="inlineStr">
        <is>
          <t>20240730000215.html</t>
        </is>
      </c>
      <c r="G101" s="18" t="inlineStr">
        <is>
          <t>20240730000215</t>
        </is>
      </c>
      <c r="H101" s="19" t="inlineStr">
        <is>
          <t>열기</t>
        </is>
      </c>
    </row>
    <row r="102">
      <c r="A102" s="18" t="inlineStr">
        <is>
          <t>2024-07-19</t>
        </is>
      </c>
      <c r="B102" s="18" t="inlineStr">
        <is>
          <t>단일판매ㆍ공급계약체결</t>
        </is>
      </c>
      <c r="C102" s="18" t="inlineStr">
        <is>
          <t>라온텍</t>
        </is>
      </c>
      <c r="D102" s="18" t="inlineStr">
        <is>
          <t>공급계약</t>
        </is>
      </c>
      <c r="E102" s="18" t="inlineStr"/>
      <c r="F102" s="18" t="inlineStr">
        <is>
          <t>20240719900196.html</t>
        </is>
      </c>
      <c r="G102" s="18" t="inlineStr">
        <is>
          <t>20240719900196</t>
        </is>
      </c>
      <c r="H102" s="19" t="inlineStr">
        <is>
          <t>열기</t>
        </is>
      </c>
    </row>
    <row r="103">
      <c r="A103" s="18" t="inlineStr">
        <is>
          <t>2024-07-04</t>
        </is>
      </c>
      <c r="B103" s="20" t="inlineStr">
        <is>
          <t>기타경영사항(자율공시)              (화소 회로 및 이를 포함하는 마이크로 디스플레이 장치)</t>
        </is>
      </c>
      <c r="C103" s="18" t="inlineStr">
        <is>
          <t>라온텍</t>
        </is>
      </c>
      <c r="D103" s="18" t="inlineStr">
        <is>
          <t>국책과제/자율공시</t>
        </is>
      </c>
      <c r="E103" s="18" t="inlineStr"/>
      <c r="F103" s="18" t="inlineStr">
        <is>
          <t>20240704900401.html</t>
        </is>
      </c>
      <c r="G103" s="18" t="inlineStr">
        <is>
          <t>20240704900401</t>
        </is>
      </c>
      <c r="H103" s="19" t="inlineStr">
        <is>
          <t>열기</t>
        </is>
      </c>
    </row>
    <row r="104">
      <c r="A104" s="18" t="inlineStr">
        <is>
          <t>2024-05-14</t>
        </is>
      </c>
      <c r="B104" s="18" t="inlineStr">
        <is>
          <t>분기보고서 (2024.03)</t>
        </is>
      </c>
      <c r="C104" s="18" t="inlineStr">
        <is>
          <t>라온텍</t>
        </is>
      </c>
      <c r="D104" s="18" t="inlineStr">
        <is>
          <t>정기보고서</t>
        </is>
      </c>
      <c r="E104" s="18" t="inlineStr"/>
      <c r="F104" s="18" t="inlineStr">
        <is>
          <t>20240514001453.html</t>
        </is>
      </c>
      <c r="G104" s="18" t="inlineStr">
        <is>
          <t>20240514001453</t>
        </is>
      </c>
      <c r="H104" s="19" t="inlineStr">
        <is>
          <t>열기</t>
        </is>
      </c>
    </row>
    <row r="105">
      <c r="A105" s="18" t="inlineStr">
        <is>
          <t>2024-04-11</t>
        </is>
      </c>
      <c r="B105" s="18" t="inlineStr">
        <is>
          <t>주식등의대량보유상황보고서(일반)</t>
        </is>
      </c>
      <c r="C105" s="18" t="inlineStr">
        <is>
          <t>김보은</t>
        </is>
      </c>
      <c r="D105" s="18" t="inlineStr">
        <is>
          <t>5% 대량보유</t>
        </is>
      </c>
      <c r="E105" s="18" t="inlineStr"/>
      <c r="F105" s="18" t="inlineStr">
        <is>
          <t>20240411004148.html</t>
        </is>
      </c>
      <c r="G105" s="18" t="inlineStr">
        <is>
          <t>20240411004148</t>
        </is>
      </c>
      <c r="H105" s="19" t="inlineStr">
        <is>
          <t>열기</t>
        </is>
      </c>
    </row>
    <row r="106">
      <c r="A106" s="18" t="inlineStr">
        <is>
          <t>2024-04-11</t>
        </is>
      </c>
      <c r="B106" s="18" t="inlineStr">
        <is>
          <t>임원ㆍ주요주주특정증권등소유상황보고서</t>
        </is>
      </c>
      <c r="C106" s="18" t="inlineStr">
        <is>
          <t>이정환</t>
        </is>
      </c>
      <c r="D106" s="18" t="inlineStr">
        <is>
          <t>임원 소유상황/거래계획</t>
        </is>
      </c>
      <c r="E106" s="18" t="inlineStr"/>
      <c r="F106" s="18" t="inlineStr">
        <is>
          <t>20240411004047.html</t>
        </is>
      </c>
      <c r="G106" s="18" t="inlineStr">
        <is>
          <t>20240411004047</t>
        </is>
      </c>
      <c r="H106" s="19" t="inlineStr">
        <is>
          <t>열기</t>
        </is>
      </c>
    </row>
    <row r="107">
      <c r="A107" s="18" t="inlineStr">
        <is>
          <t>2024-04-11</t>
        </is>
      </c>
      <c r="B107" s="18" t="inlineStr">
        <is>
          <t>임원ㆍ주요주주특정증권등소유상황보고서</t>
        </is>
      </c>
      <c r="C107" s="18" t="inlineStr">
        <is>
          <t>조성재</t>
        </is>
      </c>
      <c r="D107" s="18" t="inlineStr">
        <is>
          <t>임원 소유상황/거래계획</t>
        </is>
      </c>
      <c r="E107" s="18" t="inlineStr"/>
      <c r="F107" s="18" t="inlineStr">
        <is>
          <t>20240411004011.html</t>
        </is>
      </c>
      <c r="G107" s="18" t="inlineStr">
        <is>
          <t>20240411004011</t>
        </is>
      </c>
      <c r="H107" s="19" t="inlineStr">
        <is>
          <t>열기</t>
        </is>
      </c>
    </row>
    <row r="108">
      <c r="A108" s="18" t="inlineStr">
        <is>
          <t>2024-04-11</t>
        </is>
      </c>
      <c r="B108" s="18" t="inlineStr">
        <is>
          <t>임원ㆍ주요주주특정증권등소유상황보고서</t>
        </is>
      </c>
      <c r="C108" s="18" t="inlineStr">
        <is>
          <t>이광수</t>
        </is>
      </c>
      <c r="D108" s="18" t="inlineStr">
        <is>
          <t>임원 소유상황/거래계획</t>
        </is>
      </c>
      <c r="E108" s="18" t="inlineStr"/>
      <c r="F108" s="18" t="inlineStr">
        <is>
          <t>20240411003976.html</t>
        </is>
      </c>
      <c r="G108" s="18" t="inlineStr">
        <is>
          <t>20240411003976</t>
        </is>
      </c>
      <c r="H108" s="19" t="inlineStr">
        <is>
          <t>열기</t>
        </is>
      </c>
    </row>
    <row r="109">
      <c r="A109" s="18" t="inlineStr">
        <is>
          <t>2024-04-11</t>
        </is>
      </c>
      <c r="B109" s="18" t="inlineStr">
        <is>
          <t>임원ㆍ주요주주특정증권등소유상황보고서</t>
        </is>
      </c>
      <c r="C109" s="18" t="inlineStr">
        <is>
          <t>한성준</t>
        </is>
      </c>
      <c r="D109" s="18" t="inlineStr">
        <is>
          <t>임원 소유상황/거래계획</t>
        </is>
      </c>
      <c r="E109" s="18" t="inlineStr"/>
      <c r="F109" s="18" t="inlineStr">
        <is>
          <t>20240411003945.html</t>
        </is>
      </c>
      <c r="G109" s="18" t="inlineStr">
        <is>
          <t>20240411003945</t>
        </is>
      </c>
      <c r="H109" s="19" t="inlineStr">
        <is>
          <t>열기</t>
        </is>
      </c>
    </row>
    <row r="110">
      <c r="A110" s="18" t="inlineStr">
        <is>
          <t>2024-04-11</t>
        </is>
      </c>
      <c r="B110" s="18" t="inlineStr">
        <is>
          <t>임원ㆍ주요주주특정증권등소유상황보고서</t>
        </is>
      </c>
      <c r="C110" s="18" t="inlineStr">
        <is>
          <t>김민석</t>
        </is>
      </c>
      <c r="D110" s="18" t="inlineStr">
        <is>
          <t>임원 소유상황/거래계획</t>
        </is>
      </c>
      <c r="E110" s="18" t="inlineStr"/>
      <c r="F110" s="18" t="inlineStr">
        <is>
          <t>20240411003897.html</t>
        </is>
      </c>
      <c r="G110" s="18" t="inlineStr">
        <is>
          <t>20240411003897</t>
        </is>
      </c>
      <c r="H110" s="19" t="inlineStr">
        <is>
          <t>열기</t>
        </is>
      </c>
    </row>
    <row r="111">
      <c r="A111" s="18" t="inlineStr">
        <is>
          <t>2024-04-11</t>
        </is>
      </c>
      <c r="B111" s="18" t="inlineStr">
        <is>
          <t>임원ㆍ주요주주특정증권등소유상황보고서</t>
        </is>
      </c>
      <c r="C111" s="18" t="inlineStr">
        <is>
          <t>정민수</t>
        </is>
      </c>
      <c r="D111" s="18" t="inlineStr">
        <is>
          <t>임원 소유상황/거래계획</t>
        </is>
      </c>
      <c r="E111" s="18" t="inlineStr"/>
      <c r="F111" s="18" t="inlineStr">
        <is>
          <t>20240411003844.html</t>
        </is>
      </c>
      <c r="G111" s="18" t="inlineStr">
        <is>
          <t>20240411003844</t>
        </is>
      </c>
      <c r="H111" s="19" t="inlineStr">
        <is>
          <t>열기</t>
        </is>
      </c>
    </row>
    <row r="112">
      <c r="A112" s="18" t="inlineStr">
        <is>
          <t>2024-04-09</t>
        </is>
      </c>
      <c r="B112" s="18" t="inlineStr">
        <is>
          <t>단일판매ㆍ공급계약체결</t>
        </is>
      </c>
      <c r="C112" s="18" t="inlineStr">
        <is>
          <t>라온텍</t>
        </is>
      </c>
      <c r="D112" s="18" t="inlineStr">
        <is>
          <t>공급계약</t>
        </is>
      </c>
      <c r="E112" s="18" t="inlineStr"/>
      <c r="F112" s="18" t="inlineStr">
        <is>
          <t>20240409900152.html</t>
        </is>
      </c>
      <c r="G112" s="18" t="inlineStr">
        <is>
          <t>20240409900152</t>
        </is>
      </c>
      <c r="H112" s="19" t="inlineStr">
        <is>
          <t>열기</t>
        </is>
      </c>
    </row>
    <row r="113">
      <c r="A113" s="18" t="inlineStr">
        <is>
          <t>2024-04-08</t>
        </is>
      </c>
      <c r="B113" s="18" t="inlineStr">
        <is>
          <t>주식매수선택권행사</t>
        </is>
      </c>
      <c r="C113" s="18" t="inlineStr">
        <is>
          <t>라온텍</t>
        </is>
      </c>
      <c r="D113" s="18" t="inlineStr">
        <is>
          <t>스톡옵션</t>
        </is>
      </c>
      <c r="E113" s="18" t="inlineStr"/>
      <c r="F113" s="18" t="inlineStr">
        <is>
          <t>20240408900499.html</t>
        </is>
      </c>
      <c r="G113" s="18" t="inlineStr">
        <is>
          <t>20240408900499</t>
        </is>
      </c>
      <c r="H113" s="19" t="inlineStr">
        <is>
          <t>열기</t>
        </is>
      </c>
    </row>
    <row r="114">
      <c r="A114" s="18" t="inlineStr">
        <is>
          <t>2024-04-01</t>
        </is>
      </c>
      <c r="B114" s="20" t="inlineStr">
        <is>
          <t>[기재정정]투자판단관련주요경영사항              ([국책과제 선정] 초소형 XR글래스용 480 프레임레이트 제어부 내장형 0.2인치 LCoS마이크로디스플레이 기술 개발)</t>
        </is>
      </c>
      <c r="C114" s="18" t="inlineStr">
        <is>
          <t>라온텍</t>
        </is>
      </c>
      <c r="D114" s="18" t="inlineStr">
        <is>
          <t>국책과제/자율공시</t>
        </is>
      </c>
      <c r="E114" s="18" t="inlineStr">
        <is>
          <t>정정</t>
        </is>
      </c>
      <c r="F114" s="18" t="inlineStr">
        <is>
          <t>20240401900406.html</t>
        </is>
      </c>
      <c r="G114" s="18" t="inlineStr">
        <is>
          <t>20240401900406</t>
        </is>
      </c>
      <c r="H114" s="19" t="inlineStr">
        <is>
          <t>열기</t>
        </is>
      </c>
    </row>
    <row r="115">
      <c r="A115" s="18" t="inlineStr">
        <is>
          <t>2024-03-26</t>
        </is>
      </c>
      <c r="B115" s="18" t="inlineStr">
        <is>
          <t>정기주주총회결과</t>
        </is>
      </c>
      <c r="C115" s="18" t="inlineStr">
        <is>
          <t>라온텍</t>
        </is>
      </c>
      <c r="D115" s="18" t="inlineStr">
        <is>
          <t>경영권/주총</t>
        </is>
      </c>
      <c r="E115" s="18" t="inlineStr"/>
      <c r="F115" s="18" t="inlineStr">
        <is>
          <t>20240326900245.html</t>
        </is>
      </c>
      <c r="G115" s="18" t="inlineStr">
        <is>
          <t>20240326900245</t>
        </is>
      </c>
      <c r="H115" s="19" t="inlineStr">
        <is>
          <t>열기</t>
        </is>
      </c>
    </row>
    <row r="116">
      <c r="A116" s="18" t="inlineStr">
        <is>
          <t>2024-03-18</t>
        </is>
      </c>
      <c r="B116" s="18" t="inlineStr">
        <is>
          <t>감사보고서제출</t>
        </is>
      </c>
      <c r="C116" s="18" t="inlineStr">
        <is>
          <t>라온텍</t>
        </is>
      </c>
      <c r="D116" s="18" t="inlineStr">
        <is>
          <t>감사보고서</t>
        </is>
      </c>
      <c r="E116" s="18" t="inlineStr"/>
      <c r="F116" s="18" t="inlineStr">
        <is>
          <t>20240318900354.html</t>
        </is>
      </c>
      <c r="G116" s="18" t="inlineStr">
        <is>
          <t>20240318900354</t>
        </is>
      </c>
      <c r="H116" s="19" t="inlineStr">
        <is>
          <t>열기</t>
        </is>
      </c>
    </row>
    <row r="117">
      <c r="A117" s="18" t="inlineStr">
        <is>
          <t>2024-03-18</t>
        </is>
      </c>
      <c r="B117" s="18" t="inlineStr">
        <is>
          <t>사업보고서 (2023.12)</t>
        </is>
      </c>
      <c r="C117" s="18" t="inlineStr">
        <is>
          <t>라온텍</t>
        </is>
      </c>
      <c r="D117" s="18" t="inlineStr">
        <is>
          <t>정기보고서</t>
        </is>
      </c>
      <c r="E117" s="18" t="inlineStr"/>
      <c r="F117" s="18" t="inlineStr">
        <is>
          <t>20240318000600.html</t>
        </is>
      </c>
      <c r="G117" s="18" t="inlineStr">
        <is>
          <t>20240318000600</t>
        </is>
      </c>
      <c r="H117" s="19" t="inlineStr">
        <is>
          <t>열기</t>
        </is>
      </c>
    </row>
    <row r="118">
      <c r="A118" s="18" t="inlineStr">
        <is>
          <t>2024-03-13</t>
        </is>
      </c>
      <c r="B118" s="18" t="inlineStr">
        <is>
          <t>임원ㆍ주요주주특정증권등소유상황보고서</t>
        </is>
      </c>
      <c r="C118" s="18" t="inlineStr">
        <is>
          <t>이정환</t>
        </is>
      </c>
      <c r="D118" s="18" t="inlineStr">
        <is>
          <t>임원 소유상황/거래계획</t>
        </is>
      </c>
      <c r="E118" s="18" t="inlineStr"/>
      <c r="F118" s="18" t="inlineStr">
        <is>
          <t>20240313000580.html</t>
        </is>
      </c>
      <c r="G118" s="18" t="inlineStr">
        <is>
          <t>20240313000580</t>
        </is>
      </c>
      <c r="H118" s="19" t="inlineStr">
        <is>
          <t>열기</t>
        </is>
      </c>
    </row>
    <row r="119">
      <c r="A119" s="18" t="inlineStr">
        <is>
          <t>2024-03-12</t>
        </is>
      </c>
      <c r="B119" s="18" t="inlineStr">
        <is>
          <t>[첨부정정]의결권대리행사권유참고서류</t>
        </is>
      </c>
      <c r="C119" s="18" t="inlineStr">
        <is>
          <t>라온텍</t>
        </is>
      </c>
      <c r="D119" s="18" t="inlineStr">
        <is>
          <t>경영권/주총</t>
        </is>
      </c>
      <c r="E119" s="18" t="inlineStr">
        <is>
          <t>정정</t>
        </is>
      </c>
      <c r="F119" s="18" t="inlineStr">
        <is>
          <t>원문 없음(첨부만 정정)</t>
        </is>
      </c>
      <c r="G119" s="18" t="inlineStr">
        <is>
          <t>20240312000472</t>
        </is>
      </c>
      <c r="H119" s="19" t="inlineStr">
        <is>
          <t>열기</t>
        </is>
      </c>
    </row>
    <row r="120">
      <c r="A120" s="18" t="inlineStr">
        <is>
          <t>2024-03-11</t>
        </is>
      </c>
      <c r="B120" s="18" t="inlineStr">
        <is>
          <t>[기재정정]매출액또는손익구조30%(대규모법인은15%)이상변동</t>
        </is>
      </c>
      <c r="C120" s="18" t="inlineStr">
        <is>
          <t>라온텍</t>
        </is>
      </c>
      <c r="D120" s="18" t="inlineStr">
        <is>
          <t>실적변동</t>
        </is>
      </c>
      <c r="E120" s="18" t="inlineStr">
        <is>
          <t>정정</t>
        </is>
      </c>
      <c r="F120" s="18" t="inlineStr">
        <is>
          <t>20240311900891.html</t>
        </is>
      </c>
      <c r="G120" s="18" t="inlineStr">
        <is>
          <t>20240311900891</t>
        </is>
      </c>
      <c r="H120" s="19" t="inlineStr">
        <is>
          <t>열기</t>
        </is>
      </c>
    </row>
    <row r="121">
      <c r="A121" s="18" t="inlineStr">
        <is>
          <t>2024-03-11</t>
        </is>
      </c>
      <c r="B121" s="18" t="inlineStr">
        <is>
          <t>의결권대리행사권유참고서류</t>
        </is>
      </c>
      <c r="C121" s="18" t="inlineStr">
        <is>
          <t>라온텍</t>
        </is>
      </c>
      <c r="D121" s="18" t="inlineStr">
        <is>
          <t>경영권/주총</t>
        </is>
      </c>
      <c r="E121" s="18" t="inlineStr"/>
      <c r="F121" s="18" t="inlineStr">
        <is>
          <t>20240311000382.html</t>
        </is>
      </c>
      <c r="G121" s="18" t="inlineStr">
        <is>
          <t>20240311000382</t>
        </is>
      </c>
      <c r="H121" s="19" t="inlineStr">
        <is>
          <t>열기</t>
        </is>
      </c>
    </row>
    <row r="122">
      <c r="A122" s="18" t="inlineStr">
        <is>
          <t>2024-03-11</t>
        </is>
      </c>
      <c r="B122" s="18" t="inlineStr">
        <is>
          <t>주주총회소집공고</t>
        </is>
      </c>
      <c r="C122" s="18" t="inlineStr">
        <is>
          <t>라온텍</t>
        </is>
      </c>
      <c r="D122" s="18" t="inlineStr">
        <is>
          <t>경영권/주총</t>
        </is>
      </c>
      <c r="E122" s="18" t="inlineStr"/>
      <c r="F122" s="18" t="inlineStr">
        <is>
          <t>20240311000357.html</t>
        </is>
      </c>
      <c r="G122" s="18" t="inlineStr">
        <is>
          <t>20240311000357</t>
        </is>
      </c>
      <c r="H122" s="19" t="inlineStr">
        <is>
          <t>열기</t>
        </is>
      </c>
    </row>
    <row r="123">
      <c r="A123" s="18" t="inlineStr">
        <is>
          <t>2024-02-26</t>
        </is>
      </c>
      <c r="B123" s="18" t="inlineStr">
        <is>
          <t>주주총회소집결의</t>
        </is>
      </c>
      <c r="C123" s="18" t="inlineStr">
        <is>
          <t>라온텍</t>
        </is>
      </c>
      <c r="D123" s="18" t="inlineStr">
        <is>
          <t>경영권/주총</t>
        </is>
      </c>
      <c r="E123" s="18" t="inlineStr"/>
      <c r="F123" s="18" t="inlineStr">
        <is>
          <t>20240226900928.html</t>
        </is>
      </c>
      <c r="G123" s="18" t="inlineStr">
        <is>
          <t>20240226900928</t>
        </is>
      </c>
      <c r="H123" s="19" t="inlineStr">
        <is>
          <t>열기</t>
        </is>
      </c>
    </row>
    <row r="124">
      <c r="A124" s="18" t="inlineStr">
        <is>
          <t>2024-02-26</t>
        </is>
      </c>
      <c r="B124" s="18" t="inlineStr">
        <is>
          <t>주식매수선택권부여에관한신고</t>
        </is>
      </c>
      <c r="C124" s="18" t="inlineStr">
        <is>
          <t>라온텍</t>
        </is>
      </c>
      <c r="D124" s="18" t="inlineStr">
        <is>
          <t>스톡옵션</t>
        </is>
      </c>
      <c r="E124" s="18" t="inlineStr"/>
      <c r="F124" s="18" t="inlineStr">
        <is>
          <t>20240226005740.html</t>
        </is>
      </c>
      <c r="G124" s="18" t="inlineStr">
        <is>
          <t>20240226005740</t>
        </is>
      </c>
      <c r="H124" s="19" t="inlineStr">
        <is>
          <t>열기</t>
        </is>
      </c>
    </row>
    <row r="125">
      <c r="A125" s="18" t="inlineStr">
        <is>
          <t>2024-02-08</t>
        </is>
      </c>
      <c r="B125" s="18" t="inlineStr">
        <is>
          <t>매출액또는손익구조30%(대규모법인은15%)이상변동</t>
        </is>
      </c>
      <c r="C125" s="18" t="inlineStr">
        <is>
          <t>라온텍</t>
        </is>
      </c>
      <c r="D125" s="18" t="inlineStr">
        <is>
          <t>실적변동</t>
        </is>
      </c>
      <c r="E125" s="18" t="inlineStr"/>
      <c r="F125" s="18" t="inlineStr">
        <is>
          <t>20240208900913.html</t>
        </is>
      </c>
      <c r="G125" s="18" t="inlineStr">
        <is>
          <t>20240208900913</t>
        </is>
      </c>
      <c r="H125" s="19" t="inlineStr">
        <is>
          <t>열기</t>
        </is>
      </c>
    </row>
    <row r="126">
      <c r="A126" s="18" t="inlineStr">
        <is>
          <t>2023-12-29</t>
        </is>
      </c>
      <c r="B126" s="18" t="inlineStr">
        <is>
          <t>임원ㆍ주요주주특정증권등소유상황보고서</t>
        </is>
      </c>
      <c r="C126" s="18" t="inlineStr">
        <is>
          <t>한성준</t>
        </is>
      </c>
      <c r="D126" s="18" t="inlineStr">
        <is>
          <t>임원 소유상황/거래계획</t>
        </is>
      </c>
      <c r="E126" s="18" t="inlineStr"/>
      <c r="F126" s="18" t="inlineStr">
        <is>
          <t>20231229000425.html</t>
        </is>
      </c>
      <c r="G126" s="18" t="inlineStr">
        <is>
          <t>20231229000425</t>
        </is>
      </c>
      <c r="H126" s="19" t="inlineStr">
        <is>
          <t>열기</t>
        </is>
      </c>
    </row>
    <row r="127">
      <c r="A127" s="18" t="inlineStr">
        <is>
          <t>2023-12-29</t>
        </is>
      </c>
      <c r="B127" s="18" t="inlineStr">
        <is>
          <t>임원ㆍ주요주주특정증권등소유상황보고서</t>
        </is>
      </c>
      <c r="C127" s="18" t="inlineStr">
        <is>
          <t>이광수</t>
        </is>
      </c>
      <c r="D127" s="18" t="inlineStr">
        <is>
          <t>임원 소유상황/거래계획</t>
        </is>
      </c>
      <c r="E127" s="18" t="inlineStr"/>
      <c r="F127" s="18" t="inlineStr">
        <is>
          <t>20231229000408.html</t>
        </is>
      </c>
      <c r="G127" s="18" t="inlineStr">
        <is>
          <t>20231229000408</t>
        </is>
      </c>
      <c r="H127" s="19" t="inlineStr">
        <is>
          <t>열기</t>
        </is>
      </c>
    </row>
    <row r="128">
      <c r="A128" s="18" t="inlineStr">
        <is>
          <t>2023-12-29</t>
        </is>
      </c>
      <c r="B128" s="18" t="inlineStr">
        <is>
          <t>임원ㆍ주요주주특정증권등소유상황보고서</t>
        </is>
      </c>
      <c r="C128" s="18" t="inlineStr">
        <is>
          <t>김민석</t>
        </is>
      </c>
      <c r="D128" s="18" t="inlineStr">
        <is>
          <t>임원 소유상황/거래계획</t>
        </is>
      </c>
      <c r="E128" s="18" t="inlineStr"/>
      <c r="F128" s="18" t="inlineStr">
        <is>
          <t>20231229000392.html</t>
        </is>
      </c>
      <c r="G128" s="18" t="inlineStr">
        <is>
          <t>20231229000392</t>
        </is>
      </c>
      <c r="H128" s="19" t="inlineStr">
        <is>
          <t>열기</t>
        </is>
      </c>
    </row>
    <row r="129">
      <c r="A129" s="18" t="inlineStr">
        <is>
          <t>2023-12-29</t>
        </is>
      </c>
      <c r="B129" s="18" t="inlineStr">
        <is>
          <t>주식등의대량보유상황보고서(일반)</t>
        </is>
      </c>
      <c r="C129" s="18" t="inlineStr">
        <is>
          <t>김보은</t>
        </is>
      </c>
      <c r="D129" s="18" t="inlineStr">
        <is>
          <t>5% 대량보유</t>
        </is>
      </c>
      <c r="E129" s="18" t="inlineStr"/>
      <c r="F129" s="18" t="inlineStr">
        <is>
          <t>20231229000372.html</t>
        </is>
      </c>
      <c r="G129" s="18" t="inlineStr">
        <is>
          <t>20231229000372</t>
        </is>
      </c>
      <c r="H129" s="19" t="inlineStr">
        <is>
          <t>열기</t>
        </is>
      </c>
    </row>
    <row r="130">
      <c r="A130" s="18" t="inlineStr">
        <is>
          <t>2023-12-18</t>
        </is>
      </c>
      <c r="B130" s="18" t="inlineStr">
        <is>
          <t>단일판매ㆍ공급계약체결</t>
        </is>
      </c>
      <c r="C130" s="18" t="inlineStr">
        <is>
          <t>라온텍</t>
        </is>
      </c>
      <c r="D130" s="18" t="inlineStr">
        <is>
          <t>공급계약</t>
        </is>
      </c>
      <c r="E130" s="18" t="inlineStr"/>
      <c r="F130" s="18" t="inlineStr">
        <is>
          <t>20231218900221.html</t>
        </is>
      </c>
      <c r="G130" s="18" t="inlineStr">
        <is>
          <t>20231218900221</t>
        </is>
      </c>
      <c r="H130" s="19" t="inlineStr">
        <is>
          <t>열기</t>
        </is>
      </c>
    </row>
    <row r="131">
      <c r="A131" s="18" t="inlineStr">
        <is>
          <t>2023-12-12</t>
        </is>
      </c>
      <c r="B131" s="18" t="inlineStr">
        <is>
          <t>주주명부폐쇄기간또는기준일설정</t>
        </is>
      </c>
      <c r="C131" s="18" t="inlineStr">
        <is>
          <t>라온텍</t>
        </is>
      </c>
      <c r="D131" s="18" t="inlineStr">
        <is>
          <t>경영권/주총</t>
        </is>
      </c>
      <c r="E131" s="18" t="inlineStr"/>
      <c r="F131" s="18" t="inlineStr">
        <is>
          <t>20231212900271.html</t>
        </is>
      </c>
      <c r="G131" s="18" t="inlineStr">
        <is>
          <t>20231212900271</t>
        </is>
      </c>
      <c r="H131" s="19" t="inlineStr">
        <is>
          <t>열기</t>
        </is>
      </c>
    </row>
    <row r="132">
      <c r="A132" s="18" t="inlineStr">
        <is>
          <t>2023-11-14</t>
        </is>
      </c>
      <c r="B132" s="18" t="inlineStr">
        <is>
          <t>분기보고서 (2023.09)</t>
        </is>
      </c>
      <c r="C132" s="18" t="inlineStr">
        <is>
          <t>라온텍</t>
        </is>
      </c>
      <c r="D132" s="18" t="inlineStr">
        <is>
          <t>정기보고서</t>
        </is>
      </c>
      <c r="E132" s="18" t="inlineStr"/>
      <c r="F132" s="18" t="inlineStr">
        <is>
          <t>20231114002072.html</t>
        </is>
      </c>
      <c r="G132" s="18" t="inlineStr">
        <is>
          <t>20231114002072</t>
        </is>
      </c>
      <c r="H132" s="19" t="inlineStr">
        <is>
          <t>열기</t>
        </is>
      </c>
    </row>
    <row r="133">
      <c r="A133" s="18" t="inlineStr">
        <is>
          <t>2023-09-19</t>
        </is>
      </c>
      <c r="B133" s="18" t="inlineStr">
        <is>
          <t>단일판매ㆍ공급계약체결</t>
        </is>
      </c>
      <c r="C133" s="18" t="inlineStr">
        <is>
          <t>라온텍</t>
        </is>
      </c>
      <c r="D133" s="18" t="inlineStr">
        <is>
          <t>공급계약</t>
        </is>
      </c>
      <c r="E133" s="18" t="inlineStr"/>
      <c r="F133" s="18" t="inlineStr">
        <is>
          <t>20230919900135.html</t>
        </is>
      </c>
      <c r="G133" s="18" t="inlineStr">
        <is>
          <t>20230919900135</t>
        </is>
      </c>
      <c r="H133" s="19" t="inlineStr">
        <is>
          <t>열기</t>
        </is>
      </c>
    </row>
    <row r="134">
      <c r="A134" s="18" t="inlineStr">
        <is>
          <t>2023-09-06</t>
        </is>
      </c>
      <c r="B134" s="20" t="inlineStr">
        <is>
          <t>투자판단관련주요경영사항([국책과제 선정] 초소형 XR글래스용 480 프레임레이트 제어부 내장형 0.2인치 LCoS마이크로디스플레이 기술 개발)</t>
        </is>
      </c>
      <c r="C134" s="18" t="inlineStr">
        <is>
          <t>라온텍</t>
        </is>
      </c>
      <c r="D134" s="18" t="inlineStr">
        <is>
          <t>국책과제/자율공시</t>
        </is>
      </c>
      <c r="E134" s="18" t="inlineStr"/>
      <c r="F134" s="18" t="inlineStr">
        <is>
          <t>20230906900371.html</t>
        </is>
      </c>
      <c r="G134" s="18" t="inlineStr">
        <is>
          <t>20230906900371</t>
        </is>
      </c>
      <c r="H134" s="19" t="inlineStr">
        <is>
          <t>열기</t>
        </is>
      </c>
    </row>
    <row r="135">
      <c r="A135" s="18" t="inlineStr">
        <is>
          <t>2023-08-11</t>
        </is>
      </c>
      <c r="B135" s="18" t="inlineStr">
        <is>
          <t>기업설명회(IR)개최</t>
        </is>
      </c>
      <c r="C135" s="18" t="inlineStr">
        <is>
          <t>라온텍</t>
        </is>
      </c>
      <c r="D135" s="18" t="inlineStr">
        <is>
          <t>IR</t>
        </is>
      </c>
      <c r="E135" s="18" t="inlineStr"/>
      <c r="F135" s="18" t="inlineStr">
        <is>
          <t>20230811900439.html</t>
        </is>
      </c>
      <c r="G135" s="18" t="inlineStr">
        <is>
          <t>20230811900439</t>
        </is>
      </c>
      <c r="H135" s="19" t="inlineStr">
        <is>
          <t>열기</t>
        </is>
      </c>
    </row>
    <row r="136">
      <c r="A136" s="18" t="inlineStr">
        <is>
          <t>2023-08-11</t>
        </is>
      </c>
      <c r="B136" s="18" t="inlineStr">
        <is>
          <t>반기보고서 (2023.06)</t>
        </is>
      </c>
      <c r="C136" s="18" t="inlineStr">
        <is>
          <t>라온텍</t>
        </is>
      </c>
      <c r="D136" s="18" t="inlineStr">
        <is>
          <t>정기보고서</t>
        </is>
      </c>
      <c r="E136" s="18" t="inlineStr"/>
      <c r="F136" s="18" t="inlineStr">
        <is>
          <t>20230811002047.html</t>
        </is>
      </c>
      <c r="G136" s="18" t="inlineStr">
        <is>
          <t>20230811002047</t>
        </is>
      </c>
      <c r="H136" s="19" t="inlineStr">
        <is>
          <t>열기</t>
        </is>
      </c>
    </row>
    <row r="137">
      <c r="A137" s="18" t="inlineStr">
        <is>
          <t>2023-07-21</t>
        </is>
      </c>
      <c r="B137" s="18" t="inlineStr">
        <is>
          <t>[기재정정]사업보고서 (2022.12)</t>
        </is>
      </c>
      <c r="C137" s="18" t="inlineStr">
        <is>
          <t>라온텍</t>
        </is>
      </c>
      <c r="D137" s="18" t="inlineStr">
        <is>
          <t>정기보고서</t>
        </is>
      </c>
      <c r="E137" s="18" t="inlineStr">
        <is>
          <t>정정</t>
        </is>
      </c>
      <c r="F137" s="18" t="inlineStr">
        <is>
          <t>20230721000496.html</t>
        </is>
      </c>
      <c r="G137" s="18" t="inlineStr">
        <is>
          <t>20230721000496</t>
        </is>
      </c>
      <c r="H137" s="19" t="inlineStr">
        <is>
          <t>열기</t>
        </is>
      </c>
    </row>
    <row r="138">
      <c r="A138" s="18" t="inlineStr">
        <is>
          <t>2023-07-05</t>
        </is>
      </c>
      <c r="B138" s="18" t="inlineStr">
        <is>
          <t>본점소재지변경</t>
        </is>
      </c>
      <c r="C138" s="18" t="inlineStr">
        <is>
          <t>라온텍</t>
        </is>
      </c>
      <c r="D138" s="18" t="inlineStr">
        <is>
          <t>기타</t>
        </is>
      </c>
      <c r="E138" s="18" t="inlineStr"/>
      <c r="F138" s="18" t="inlineStr">
        <is>
          <t>20230705900112.html</t>
        </is>
      </c>
      <c r="G138" s="18" t="inlineStr">
        <is>
          <t>20230705900112</t>
        </is>
      </c>
      <c r="H138" s="19" t="inlineStr">
        <is>
          <t>열기</t>
        </is>
      </c>
    </row>
    <row r="139">
      <c r="A139" s="18" t="inlineStr">
        <is>
          <t>2023-06-13</t>
        </is>
      </c>
      <c r="B139" s="18" t="inlineStr">
        <is>
          <t>전환청구권행사(제1회차)</t>
        </is>
      </c>
      <c r="C139" s="18" t="inlineStr">
        <is>
          <t>라온텍</t>
        </is>
      </c>
      <c r="D139" s="18" t="inlineStr">
        <is>
          <t>CB 전환청구</t>
        </is>
      </c>
      <c r="E139" s="18" t="inlineStr"/>
      <c r="F139" s="18" t="inlineStr">
        <is>
          <t>20230613900313.html</t>
        </is>
      </c>
      <c r="G139" s="18" t="inlineStr">
        <is>
          <t>20230613900313</t>
        </is>
      </c>
      <c r="H139" s="19" t="inlineStr">
        <is>
          <t>열기</t>
        </is>
      </c>
    </row>
    <row r="140">
      <c r="A140" s="18" t="inlineStr">
        <is>
          <t>2023-05-15</t>
        </is>
      </c>
      <c r="B140" s="18" t="inlineStr">
        <is>
          <t>분기보고서 (2023.03)</t>
        </is>
      </c>
      <c r="C140" s="18" t="inlineStr">
        <is>
          <t>라온텍</t>
        </is>
      </c>
      <c r="D140" s="18" t="inlineStr">
        <is>
          <t>정기보고서</t>
        </is>
      </c>
      <c r="E140" s="18" t="inlineStr"/>
      <c r="F140" s="18" t="inlineStr">
        <is>
          <t>20230515001079.html</t>
        </is>
      </c>
      <c r="G140" s="18" t="inlineStr">
        <is>
          <t>20230515001079</t>
        </is>
      </c>
      <c r="H140" s="19" t="inlineStr">
        <is>
          <t>열기</t>
        </is>
      </c>
    </row>
    <row r="141">
      <c r="A141" s="18" t="inlineStr">
        <is>
          <t>2023-05-15</t>
        </is>
      </c>
      <c r="B141" s="18" t="inlineStr">
        <is>
          <t>[기재정정]주식등의대량보유상황보고서(약식)</t>
        </is>
      </c>
      <c r="C141" s="18" t="inlineStr">
        <is>
          <t>대신-코너스톤 신기술투자조합 제1호</t>
        </is>
      </c>
      <c r="D141" s="18" t="inlineStr">
        <is>
          <t>5% 대량보유</t>
        </is>
      </c>
      <c r="E141" s="18" t="inlineStr">
        <is>
          <t>정정</t>
        </is>
      </c>
      <c r="F141" s="18" t="inlineStr">
        <is>
          <t>20230515000951.html</t>
        </is>
      </c>
      <c r="G141" s="18" t="inlineStr">
        <is>
          <t>20230515000951</t>
        </is>
      </c>
      <c r="H141" s="19" t="inlineStr">
        <is>
          <t>열기</t>
        </is>
      </c>
    </row>
    <row r="142">
      <c r="A142" s="18" t="inlineStr">
        <is>
          <t>2023-05-10</t>
        </is>
      </c>
      <c r="B142" s="18" t="inlineStr">
        <is>
          <t>주식등의대량보유상황보고서(약식)</t>
        </is>
      </c>
      <c r="C142" s="18" t="inlineStr">
        <is>
          <t>대신-코너스톤 신기술투자조합 제1호</t>
        </is>
      </c>
      <c r="D142" s="18" t="inlineStr">
        <is>
          <t>5% 대량보유</t>
        </is>
      </c>
      <c r="E142" s="18" t="inlineStr"/>
      <c r="F142" s="18" t="inlineStr">
        <is>
          <t>20230510000363.html</t>
        </is>
      </c>
      <c r="G142" s="18" t="inlineStr">
        <is>
          <t>20230510000363</t>
        </is>
      </c>
      <c r="H142" s="19" t="inlineStr">
        <is>
          <t>열기</t>
        </is>
      </c>
    </row>
    <row r="143">
      <c r="A143" s="18" t="inlineStr">
        <is>
          <t>2023-03-31</t>
        </is>
      </c>
      <c r="B143" s="18" t="inlineStr">
        <is>
          <t>정기주주총회결과</t>
        </is>
      </c>
      <c r="C143" s="18" t="inlineStr">
        <is>
          <t>라온텍</t>
        </is>
      </c>
      <c r="D143" s="18" t="inlineStr">
        <is>
          <t>경영권/주총</t>
        </is>
      </c>
      <c r="E143" s="18" t="inlineStr"/>
      <c r="F143" s="18" t="inlineStr">
        <is>
          <t>20230331900593.html</t>
        </is>
      </c>
      <c r="G143" s="18" t="inlineStr">
        <is>
          <t>20230331900593</t>
        </is>
      </c>
      <c r="H143" s="19" t="inlineStr">
        <is>
          <t>열기</t>
        </is>
      </c>
    </row>
    <row r="144">
      <c r="A144" s="18" t="inlineStr">
        <is>
          <t>2023-03-23</t>
        </is>
      </c>
      <c r="B144" s="18" t="inlineStr">
        <is>
          <t>감사보고서제출</t>
        </is>
      </c>
      <c r="C144" s="18" t="inlineStr">
        <is>
          <t>라온텍</t>
        </is>
      </c>
      <c r="D144" s="18" t="inlineStr">
        <is>
          <t>감사보고서</t>
        </is>
      </c>
      <c r="E144" s="18" t="inlineStr"/>
      <c r="F144" s="18" t="inlineStr">
        <is>
          <t>20230323900201.html</t>
        </is>
      </c>
      <c r="G144" s="18" t="inlineStr">
        <is>
          <t>20230323900201</t>
        </is>
      </c>
      <c r="H144" s="19" t="inlineStr">
        <is>
          <t>열기</t>
        </is>
      </c>
    </row>
    <row r="145">
      <c r="A145" s="18" t="inlineStr">
        <is>
          <t>2023-03-23</t>
        </is>
      </c>
      <c r="B145" s="18" t="inlineStr">
        <is>
          <t>사업보고서 (2022.12)</t>
        </is>
      </c>
      <c r="C145" s="18" t="inlineStr">
        <is>
          <t>라온텍</t>
        </is>
      </c>
      <c r="D145" s="18" t="inlineStr">
        <is>
          <t>정기보고서</t>
        </is>
      </c>
      <c r="E145" s="18" t="inlineStr"/>
      <c r="F145" s="18" t="inlineStr">
        <is>
          <t>20230323000609.html</t>
        </is>
      </c>
      <c r="G145" s="18" t="inlineStr">
        <is>
          <t>20230323000609</t>
        </is>
      </c>
      <c r="H145" s="19" t="inlineStr">
        <is>
          <t>열기</t>
        </is>
      </c>
    </row>
    <row r="146">
      <c r="A146" s="18" t="inlineStr">
        <is>
          <t>2023-03-21</t>
        </is>
      </c>
      <c r="B146" s="18" t="inlineStr">
        <is>
          <t>임원ㆍ주요주주특정증권등소유상황보고서</t>
        </is>
      </c>
      <c r="C146" s="18" t="inlineStr">
        <is>
          <t>조성재</t>
        </is>
      </c>
      <c r="D146" s="18" t="inlineStr">
        <is>
          <t>임원 소유상황/거래계획</t>
        </is>
      </c>
      <c r="E146" s="18" t="inlineStr"/>
      <c r="F146" s="18" t="inlineStr">
        <is>
          <t>20230321001435.html</t>
        </is>
      </c>
      <c r="G146" s="18" t="inlineStr">
        <is>
          <t>20230321001435</t>
        </is>
      </c>
      <c r="H146" s="19" t="inlineStr">
        <is>
          <t>열기</t>
        </is>
      </c>
    </row>
    <row r="147">
      <c r="A147" s="18" t="inlineStr">
        <is>
          <t>2023-03-21</t>
        </is>
      </c>
      <c r="B147" s="18" t="inlineStr">
        <is>
          <t>임원ㆍ주요주주특정증권등소유상황보고서</t>
        </is>
      </c>
      <c r="C147" s="18" t="inlineStr">
        <is>
          <t>이광수</t>
        </is>
      </c>
      <c r="D147" s="18" t="inlineStr">
        <is>
          <t>임원 소유상황/거래계획</t>
        </is>
      </c>
      <c r="E147" s="18" t="inlineStr"/>
      <c r="F147" s="18" t="inlineStr">
        <is>
          <t>20230321001404.html</t>
        </is>
      </c>
      <c r="G147" s="18" t="inlineStr">
        <is>
          <t>20230321001404</t>
        </is>
      </c>
      <c r="H147" s="19" t="inlineStr">
        <is>
          <t>열기</t>
        </is>
      </c>
    </row>
    <row r="148">
      <c r="A148" s="18" t="inlineStr">
        <is>
          <t>2023-03-21</t>
        </is>
      </c>
      <c r="B148" s="18" t="inlineStr">
        <is>
          <t>임원ㆍ주요주주특정증권등소유상황보고서</t>
        </is>
      </c>
      <c r="C148" s="18" t="inlineStr">
        <is>
          <t>김민석</t>
        </is>
      </c>
      <c r="D148" s="18" t="inlineStr">
        <is>
          <t>임원 소유상황/거래계획</t>
        </is>
      </c>
      <c r="E148" s="18" t="inlineStr"/>
      <c r="F148" s="18" t="inlineStr">
        <is>
          <t>20230321001371.html</t>
        </is>
      </c>
      <c r="G148" s="18" t="inlineStr">
        <is>
          <t>20230321001371</t>
        </is>
      </c>
      <c r="H148" s="19" t="inlineStr">
        <is>
          <t>열기</t>
        </is>
      </c>
    </row>
    <row r="149">
      <c r="A149" s="18" t="inlineStr">
        <is>
          <t>2023-03-21</t>
        </is>
      </c>
      <c r="B149" s="18" t="inlineStr">
        <is>
          <t>임원ㆍ주요주주특정증권등소유상황보고서</t>
        </is>
      </c>
      <c r="C149" s="18" t="inlineStr">
        <is>
          <t>정민수</t>
        </is>
      </c>
      <c r="D149" s="18" t="inlineStr">
        <is>
          <t>임원 소유상황/거래계획</t>
        </is>
      </c>
      <c r="E149" s="18" t="inlineStr"/>
      <c r="F149" s="18" t="inlineStr">
        <is>
          <t>20230321001343.html</t>
        </is>
      </c>
      <c r="G149" s="18" t="inlineStr">
        <is>
          <t>20230321001343</t>
        </is>
      </c>
      <c r="H149" s="19" t="inlineStr">
        <is>
          <t>열기</t>
        </is>
      </c>
    </row>
    <row r="150">
      <c r="A150" s="18" t="inlineStr">
        <is>
          <t>2023-03-21</t>
        </is>
      </c>
      <c r="B150" s="18" t="inlineStr">
        <is>
          <t>주식등의대량보유상황보고서(일반)</t>
        </is>
      </c>
      <c r="C150" s="18" t="inlineStr">
        <is>
          <t>김보은</t>
        </is>
      </c>
      <c r="D150" s="18" t="inlineStr">
        <is>
          <t>5% 대량보유</t>
        </is>
      </c>
      <c r="E150" s="18" t="inlineStr"/>
      <c r="F150" s="18" t="inlineStr">
        <is>
          <t>20230321001303.html</t>
        </is>
      </c>
      <c r="G150" s="18" t="inlineStr">
        <is>
          <t>20230321001303</t>
        </is>
      </c>
      <c r="H150" s="19" t="inlineStr">
        <is>
          <t>열기</t>
        </is>
      </c>
    </row>
    <row r="151">
      <c r="A151" s="18" t="inlineStr">
        <is>
          <t>2023-03-20</t>
        </is>
      </c>
      <c r="B151" s="18" t="inlineStr">
        <is>
          <t>[기재정정]주식등의대량보유상황보고서(약식)</t>
        </is>
      </c>
      <c r="C151" s="18" t="inlineStr">
        <is>
          <t>대신-코너스톤 신기술투자조합 제1호</t>
        </is>
      </c>
      <c r="D151" s="18" t="inlineStr">
        <is>
          <t>5% 대량보유</t>
        </is>
      </c>
      <c r="E151" s="18" t="inlineStr">
        <is>
          <t>정정</t>
        </is>
      </c>
      <c r="F151" s="18" t="inlineStr">
        <is>
          <t>20230320000646.html</t>
        </is>
      </c>
      <c r="G151" s="18" t="inlineStr">
        <is>
          <t>20230320000646</t>
        </is>
      </c>
      <c r="H151" s="19" t="inlineStr">
        <is>
          <t>열기</t>
        </is>
      </c>
    </row>
    <row r="152">
      <c r="A152" s="18" t="inlineStr">
        <is>
          <t>2023-03-17</t>
        </is>
      </c>
      <c r="B152" s="18" t="inlineStr">
        <is>
          <t>[기재정정]주식등의대량보유상황보고서(약식)</t>
        </is>
      </c>
      <c r="C152" s="18" t="inlineStr">
        <is>
          <t>대신-코너스톤 신기술투자조합 제1호</t>
        </is>
      </c>
      <c r="D152" s="18" t="inlineStr">
        <is>
          <t>5% 대량보유</t>
        </is>
      </c>
      <c r="E152" s="18" t="inlineStr">
        <is>
          <t>정정</t>
        </is>
      </c>
      <c r="F152" s="18" t="inlineStr">
        <is>
          <t>20230317000369.html</t>
        </is>
      </c>
      <c r="G152" s="18" t="inlineStr">
        <is>
          <t>20230317000369</t>
        </is>
      </c>
      <c r="H152" s="19" t="inlineStr">
        <is>
          <t>열기</t>
        </is>
      </c>
    </row>
    <row r="153">
      <c r="A153" s="18" t="inlineStr">
        <is>
          <t>2023-03-16</t>
        </is>
      </c>
      <c r="B153" s="18" t="inlineStr">
        <is>
          <t>주식등의대량보유상황보고서(약식)</t>
        </is>
      </c>
      <c r="C153" s="18" t="inlineStr">
        <is>
          <t>대신-코너스톤 신기술투자조합 제1호</t>
        </is>
      </c>
      <c r="D153" s="18" t="inlineStr">
        <is>
          <t>5% 대량보유</t>
        </is>
      </c>
      <c r="E153" s="18" t="inlineStr"/>
      <c r="F153" s="18" t="inlineStr">
        <is>
          <t>20230316001088.html</t>
        </is>
      </c>
      <c r="G153" s="18" t="inlineStr">
        <is>
          <t>20230316001088</t>
        </is>
      </c>
      <c r="H153" s="19" t="inlineStr">
        <is>
          <t>열기</t>
        </is>
      </c>
    </row>
    <row r="154">
      <c r="A154" s="18" t="inlineStr">
        <is>
          <t>2023-03-15</t>
        </is>
      </c>
      <c r="B154" s="18" t="inlineStr">
        <is>
          <t>주식등의대량보유상황보고서(약식)</t>
        </is>
      </c>
      <c r="C154" s="18" t="inlineStr">
        <is>
          <t>동문파트너즈</t>
        </is>
      </c>
      <c r="D154" s="18" t="inlineStr">
        <is>
          <t>5% 대량보유</t>
        </is>
      </c>
      <c r="E154" s="18" t="inlineStr"/>
      <c r="F154" s="18" t="inlineStr">
        <is>
          <t>20230315001406.html</t>
        </is>
      </c>
      <c r="G154" s="18" t="inlineStr">
        <is>
          <t>20230315001406</t>
        </is>
      </c>
      <c r="H154" s="19" t="inlineStr">
        <is>
          <t>열기</t>
        </is>
      </c>
    </row>
    <row r="155">
      <c r="A155" s="18" t="inlineStr">
        <is>
          <t>2023-03-15</t>
        </is>
      </c>
      <c r="B155" s="18" t="inlineStr">
        <is>
          <t>임원ㆍ주요주주특정증권등소유상황보고서</t>
        </is>
      </c>
      <c r="C155" s="18" t="inlineStr">
        <is>
          <t>조성재</t>
        </is>
      </c>
      <c r="D155" s="18" t="inlineStr">
        <is>
          <t>임원 소유상황/거래계획</t>
        </is>
      </c>
      <c r="E155" s="18" t="inlineStr"/>
      <c r="F155" s="18" t="inlineStr">
        <is>
          <t>20230315000757.html</t>
        </is>
      </c>
      <c r="G155" s="18" t="inlineStr">
        <is>
          <t>20230315000757</t>
        </is>
      </c>
      <c r="H155" s="19" t="inlineStr">
        <is>
          <t>열기</t>
        </is>
      </c>
    </row>
    <row r="156">
      <c r="A156" s="18" t="inlineStr">
        <is>
          <t>2023-03-15</t>
        </is>
      </c>
      <c r="B156" s="18" t="inlineStr">
        <is>
          <t>임원ㆍ주요주주특정증권등소유상황보고서</t>
        </is>
      </c>
      <c r="C156" s="18" t="inlineStr">
        <is>
          <t>이광수</t>
        </is>
      </c>
      <c r="D156" s="18" t="inlineStr">
        <is>
          <t>임원 소유상황/거래계획</t>
        </is>
      </c>
      <c r="E156" s="18" t="inlineStr"/>
      <c r="F156" s="18" t="inlineStr">
        <is>
          <t>20230315000731.html</t>
        </is>
      </c>
      <c r="G156" s="18" t="inlineStr">
        <is>
          <t>20230315000731</t>
        </is>
      </c>
      <c r="H156" s="19" t="inlineStr">
        <is>
          <t>열기</t>
        </is>
      </c>
    </row>
    <row r="157">
      <c r="A157" s="18" t="inlineStr">
        <is>
          <t>2023-03-15</t>
        </is>
      </c>
      <c r="B157" s="18" t="inlineStr">
        <is>
          <t>임원ㆍ주요주주특정증권등소유상황보고서</t>
        </is>
      </c>
      <c r="C157" s="18" t="inlineStr">
        <is>
          <t>한성준</t>
        </is>
      </c>
      <c r="D157" s="18" t="inlineStr">
        <is>
          <t>임원 소유상황/거래계획</t>
        </is>
      </c>
      <c r="E157" s="18" t="inlineStr"/>
      <c r="F157" s="18" t="inlineStr">
        <is>
          <t>20230315000714.html</t>
        </is>
      </c>
      <c r="G157" s="18" t="inlineStr">
        <is>
          <t>20230315000714</t>
        </is>
      </c>
      <c r="H157" s="19" t="inlineStr">
        <is>
          <t>열기</t>
        </is>
      </c>
    </row>
    <row r="158">
      <c r="A158" s="18" t="inlineStr">
        <is>
          <t>2023-03-15</t>
        </is>
      </c>
      <c r="B158" s="18" t="inlineStr">
        <is>
          <t>임원ㆍ주요주주특정증권등소유상황보고서</t>
        </is>
      </c>
      <c r="C158" s="18" t="inlineStr">
        <is>
          <t>김선욱</t>
        </is>
      </c>
      <c r="D158" s="18" t="inlineStr">
        <is>
          <t>임원 소유상황/거래계획</t>
        </is>
      </c>
      <c r="E158" s="18" t="inlineStr"/>
      <c r="F158" s="18" t="inlineStr">
        <is>
          <t>20230315000679.html</t>
        </is>
      </c>
      <c r="G158" s="18" t="inlineStr">
        <is>
          <t>20230315000679</t>
        </is>
      </c>
      <c r="H158" s="19" t="inlineStr">
        <is>
          <t>열기</t>
        </is>
      </c>
    </row>
    <row r="159">
      <c r="A159" s="18" t="inlineStr">
        <is>
          <t>2023-03-15</t>
        </is>
      </c>
      <c r="B159" s="18" t="inlineStr">
        <is>
          <t>임원ㆍ주요주주특정증권등소유상황보고서</t>
        </is>
      </c>
      <c r="C159" s="18" t="inlineStr">
        <is>
          <t>김민석</t>
        </is>
      </c>
      <c r="D159" s="18" t="inlineStr">
        <is>
          <t>임원 소유상황/거래계획</t>
        </is>
      </c>
      <c r="E159" s="18" t="inlineStr"/>
      <c r="F159" s="18" t="inlineStr">
        <is>
          <t>20230315000653.html</t>
        </is>
      </c>
      <c r="G159" s="18" t="inlineStr">
        <is>
          <t>20230315000653</t>
        </is>
      </c>
      <c r="H159" s="19" t="inlineStr">
        <is>
          <t>열기</t>
        </is>
      </c>
    </row>
    <row r="160">
      <c r="A160" s="18" t="inlineStr">
        <is>
          <t>2023-03-15</t>
        </is>
      </c>
      <c r="B160" s="18" t="inlineStr">
        <is>
          <t>임원ㆍ주요주주특정증권등소유상황보고서</t>
        </is>
      </c>
      <c r="C160" s="18" t="inlineStr">
        <is>
          <t>정민수</t>
        </is>
      </c>
      <c r="D160" s="18" t="inlineStr">
        <is>
          <t>임원 소유상황/거래계획</t>
        </is>
      </c>
      <c r="E160" s="18" t="inlineStr"/>
      <c r="F160" s="18" t="inlineStr">
        <is>
          <t>20230315000623.html</t>
        </is>
      </c>
      <c r="G160" s="18" t="inlineStr">
        <is>
          <t>20230315000623</t>
        </is>
      </c>
      <c r="H160" s="19" t="inlineStr">
        <is>
          <t>열기</t>
        </is>
      </c>
    </row>
    <row r="161">
      <c r="A161" s="18" t="inlineStr">
        <is>
          <t>2023-03-15</t>
        </is>
      </c>
      <c r="B161" s="18" t="inlineStr">
        <is>
          <t>임원ㆍ주요주주특정증권등소유상황보고서</t>
        </is>
      </c>
      <c r="C161" s="18" t="inlineStr">
        <is>
          <t>김보은</t>
        </is>
      </c>
      <c r="D161" s="18" t="inlineStr">
        <is>
          <t>임원 소유상황/거래계획</t>
        </is>
      </c>
      <c r="E161" s="18" t="inlineStr"/>
      <c r="F161" s="18" t="inlineStr">
        <is>
          <t>20230315000498.html</t>
        </is>
      </c>
      <c r="G161" s="18" t="inlineStr">
        <is>
          <t>20230315000498</t>
        </is>
      </c>
      <c r="H161" s="19" t="inlineStr">
        <is>
          <t>열기</t>
        </is>
      </c>
    </row>
    <row r="162">
      <c r="A162" s="18" t="inlineStr">
        <is>
          <t>2023-03-14</t>
        </is>
      </c>
      <c r="B162" s="18" t="inlineStr">
        <is>
          <t>주식등의대량보유상황보고서(일반)</t>
        </is>
      </c>
      <c r="C162" s="18" t="inlineStr">
        <is>
          <t>김보은</t>
        </is>
      </c>
      <c r="D162" s="18" t="inlineStr">
        <is>
          <t>5% 대량보유</t>
        </is>
      </c>
      <c r="E162" s="18" t="inlineStr"/>
      <c r="F162" s="18" t="inlineStr">
        <is>
          <t>20230314000834.html</t>
        </is>
      </c>
      <c r="G162" s="18" t="inlineStr">
        <is>
          <t>20230314000834</t>
        </is>
      </c>
      <c r="H162" s="19" t="inlineStr">
        <is>
          <t>열기</t>
        </is>
      </c>
    </row>
    <row r="163">
      <c r="A163" s="18" t="inlineStr">
        <is>
          <t>2023-02-21</t>
        </is>
      </c>
      <c r="B163" s="18" t="inlineStr">
        <is>
          <t>증권발행실적보고서(합병등)</t>
        </is>
      </c>
      <c r="C163" s="18" t="inlineStr">
        <is>
          <t>라온텍</t>
        </is>
      </c>
      <c r="D163" s="18" t="inlineStr">
        <is>
          <t>증권신고/합병(스팩)</t>
        </is>
      </c>
      <c r="E163" s="18" t="inlineStr"/>
      <c r="F163" s="18" t="inlineStr">
        <is>
          <t>20230221000674.html</t>
        </is>
      </c>
      <c r="G163" s="18" t="inlineStr">
        <is>
          <t>20230221000674</t>
        </is>
      </c>
      <c r="H163" s="19" t="inlineStr">
        <is>
          <t>열기</t>
        </is>
      </c>
    </row>
    <row r="164">
      <c r="A164" s="18" t="inlineStr">
        <is>
          <t>2022-12-19</t>
        </is>
      </c>
      <c r="B164" s="18" t="inlineStr">
        <is>
          <t>투자설명서</t>
        </is>
      </c>
      <c r="C164" s="18" t="inlineStr">
        <is>
          <t>라온텍</t>
        </is>
      </c>
      <c r="D164" s="18" t="inlineStr">
        <is>
          <t>증권신고/합병(스팩)</t>
        </is>
      </c>
      <c r="E164" s="18" t="inlineStr"/>
      <c r="F164" s="18" t="inlineStr">
        <is>
          <t>20221219000067.html</t>
        </is>
      </c>
      <c r="G164" s="18" t="inlineStr">
        <is>
          <t>20221219000067</t>
        </is>
      </c>
      <c r="H164" s="19" t="inlineStr">
        <is>
          <t>열기</t>
        </is>
      </c>
    </row>
    <row r="165">
      <c r="A165" s="18" t="inlineStr">
        <is>
          <t>2022-12-07</t>
        </is>
      </c>
      <c r="B165" s="18" t="inlineStr">
        <is>
          <t>[기재정정]증권신고서(합병)</t>
        </is>
      </c>
      <c r="C165" s="18" t="inlineStr">
        <is>
          <t>라온텍</t>
        </is>
      </c>
      <c r="D165" s="18" t="inlineStr">
        <is>
          <t>증권신고/합병(스팩)</t>
        </is>
      </c>
      <c r="E165" s="18" t="inlineStr">
        <is>
          <t>정정</t>
        </is>
      </c>
      <c r="F165" s="18" t="inlineStr">
        <is>
          <t>20221207000147.html</t>
        </is>
      </c>
      <c r="G165" s="18" t="inlineStr">
        <is>
          <t>20221207000147</t>
        </is>
      </c>
      <c r="H165" s="19" t="inlineStr">
        <is>
          <t>열기</t>
        </is>
      </c>
    </row>
    <row r="166">
      <c r="A166" s="18" t="inlineStr">
        <is>
          <t>2022-11-28</t>
        </is>
      </c>
      <c r="B166" s="18" t="inlineStr">
        <is>
          <t>[기재정정]증권신고서(합병)</t>
        </is>
      </c>
      <c r="C166" s="18" t="inlineStr">
        <is>
          <t>라온텍</t>
        </is>
      </c>
      <c r="D166" s="18" t="inlineStr">
        <is>
          <t>증권신고/합병(스팩)</t>
        </is>
      </c>
      <c r="E166" s="18" t="inlineStr">
        <is>
          <t>정정</t>
        </is>
      </c>
      <c r="F166" s="18" t="inlineStr">
        <is>
          <t>20221128000182.html</t>
        </is>
      </c>
      <c r="G166" s="18" t="inlineStr">
        <is>
          <t>20221128000182</t>
        </is>
      </c>
      <c r="H166" s="19" t="inlineStr">
        <is>
          <t>열기</t>
        </is>
      </c>
    </row>
    <row r="167">
      <c r="A167" s="18" t="inlineStr">
        <is>
          <t>2022-11-17</t>
        </is>
      </c>
      <c r="B167" s="18" t="inlineStr">
        <is>
          <t>[기재정정]증권신고서(합병)</t>
        </is>
      </c>
      <c r="C167" s="18" t="inlineStr">
        <is>
          <t>라온텍</t>
        </is>
      </c>
      <c r="D167" s="18" t="inlineStr">
        <is>
          <t>증권신고/합병(스팩)</t>
        </is>
      </c>
      <c r="E167" s="18" t="inlineStr">
        <is>
          <t>정정</t>
        </is>
      </c>
      <c r="F167" s="18" t="inlineStr">
        <is>
          <t>20221117000285.html</t>
        </is>
      </c>
      <c r="G167" s="18" t="inlineStr">
        <is>
          <t>20221117000285</t>
        </is>
      </c>
      <c r="H167" s="19" t="inlineStr">
        <is>
          <t>열기</t>
        </is>
      </c>
    </row>
    <row r="168">
      <c r="A168" s="18" t="inlineStr">
        <is>
          <t>2022-11-09</t>
        </is>
      </c>
      <c r="B168" s="18" t="inlineStr">
        <is>
          <t>[첨부추가]증권신고서(합병)</t>
        </is>
      </c>
      <c r="C168" s="18" t="inlineStr">
        <is>
          <t>라온텍</t>
        </is>
      </c>
      <c r="D168" s="18" t="inlineStr">
        <is>
          <t>증권신고/합병(스팩)</t>
        </is>
      </c>
      <c r="E168" s="18" t="inlineStr"/>
      <c r="F168" s="18" t="inlineStr">
        <is>
          <t>20221109000305.html</t>
        </is>
      </c>
      <c r="G168" s="18" t="inlineStr">
        <is>
          <t>20221109000305</t>
        </is>
      </c>
      <c r="H168" s="19" t="inlineStr">
        <is>
          <t>열기</t>
        </is>
      </c>
    </row>
    <row r="169">
      <c r="A169" s="18" t="inlineStr">
        <is>
          <t>2022-04-01</t>
        </is>
      </c>
      <c r="B169" s="18" t="inlineStr">
        <is>
          <t>감사보고서 (2021.12)</t>
        </is>
      </c>
      <c r="C169" s="18" t="inlineStr">
        <is>
          <t>삼덕회계법인</t>
        </is>
      </c>
      <c r="D169" s="18" t="inlineStr">
        <is>
          <t>감사보고서</t>
        </is>
      </c>
      <c r="E169" s="18" t="inlineStr"/>
      <c r="F169" s="18" t="inlineStr">
        <is>
          <t>20220401002184.html</t>
        </is>
      </c>
      <c r="G169" s="18" t="inlineStr">
        <is>
          <t>20220401002184</t>
        </is>
      </c>
      <c r="H169" s="19" t="inlineStr">
        <is>
          <t>열기</t>
        </is>
      </c>
    </row>
    <row r="170">
      <c r="A170" s="18" t="inlineStr">
        <is>
          <t>2014-04-07</t>
        </is>
      </c>
      <c r="B170" s="18" t="inlineStr">
        <is>
          <t>감사보고서 (2013.12)</t>
        </is>
      </c>
      <c r="C170" s="18" t="inlineStr">
        <is>
          <t>대주회계법인</t>
        </is>
      </c>
      <c r="D170" s="18" t="inlineStr">
        <is>
          <t>감사보고서</t>
        </is>
      </c>
      <c r="E170" s="18" t="inlineStr"/>
      <c r="F170" s="18" t="inlineStr">
        <is>
          <t>20140407000479.html</t>
        </is>
      </c>
      <c r="G170" s="18" t="inlineStr">
        <is>
          <t>20140407000479</t>
        </is>
      </c>
      <c r="H170" s="19" t="inlineStr">
        <is>
          <t>열기</t>
        </is>
      </c>
    </row>
  </sheetData>
  <autoFilter ref="A1:H170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6" customWidth="1" min="4" max="4"/>
    <col width="16" customWidth="1" min="5" max="5"/>
    <col width="12" customWidth="1" min="6" max="6"/>
    <col width="16" customWidth="1" min="7" max="7"/>
    <col width="16" customWidth="1" min="8" max="8"/>
    <col width="16" customWidth="1" min="9" max="9"/>
    <col width="14" customWidth="1" min="10" max="10"/>
    <col width="12" customWidth="1" min="11" max="11"/>
    <col width="22" customWidth="1" min="12" max="12"/>
  </cols>
  <sheetData>
    <row r="1" ht="30" customHeight="1">
      <c r="A1" s="17" t="inlineStr">
        <is>
          <t>기간</t>
        </is>
      </c>
      <c r="B1" s="17" t="inlineStr">
        <is>
          <t>구분</t>
        </is>
      </c>
      <c r="C1" s="17" t="inlineStr">
        <is>
          <t>매출액</t>
        </is>
      </c>
      <c r="D1" s="17" t="inlineStr">
        <is>
          <t>영업이익</t>
        </is>
      </c>
      <c r="E1" s="17" t="inlineStr">
        <is>
          <t>당기순이익</t>
        </is>
      </c>
      <c r="F1" s="17" t="inlineStr">
        <is>
          <t>영업이익률(%)</t>
        </is>
      </c>
      <c r="G1" s="17" t="inlineStr">
        <is>
          <t>자산총계</t>
        </is>
      </c>
      <c r="H1" s="17" t="inlineStr">
        <is>
          <t>부채총계</t>
        </is>
      </c>
      <c r="I1" s="17" t="inlineStr">
        <is>
          <t>자본총계</t>
        </is>
      </c>
      <c r="J1" s="17" t="inlineStr">
        <is>
          <t>자본금</t>
        </is>
      </c>
      <c r="K1" s="17" t="inlineStr">
        <is>
          <t>부채비율(%)</t>
        </is>
      </c>
      <c r="L1" s="17" t="inlineStr">
        <is>
          <t>비고</t>
        </is>
      </c>
    </row>
    <row r="2">
      <c r="A2" s="18" t="inlineStr">
        <is>
          <t>2022 연간</t>
        </is>
      </c>
      <c r="B2" s="18" t="inlineStr">
        <is>
          <t>연간</t>
        </is>
      </c>
      <c r="C2" s="21" t="n">
        <v>10916365390</v>
      </c>
      <c r="D2" s="21" t="n">
        <v>322444701</v>
      </c>
      <c r="E2" s="21" t="n">
        <v>585383430</v>
      </c>
      <c r="F2" s="21" t="n">
        <v>3</v>
      </c>
      <c r="G2" s="21" t="n">
        <v>12590366968</v>
      </c>
      <c r="H2" s="21" t="n">
        <v>5107464437</v>
      </c>
      <c r="I2" s="21" t="n">
        <v>7482902531</v>
      </c>
      <c r="J2" s="21" t="n">
        <v>2496175000</v>
      </c>
      <c r="K2" s="21" t="n">
        <v>68.3</v>
      </c>
      <c r="L2" s="18" t="inlineStr">
        <is>
          <t>별도</t>
        </is>
      </c>
    </row>
    <row r="3">
      <c r="A3" s="18" t="inlineStr">
        <is>
          <t>2023Q1</t>
        </is>
      </c>
      <c r="B3" s="18" t="inlineStr">
        <is>
          <t>분기</t>
        </is>
      </c>
      <c r="C3" s="21" t="n">
        <v>2169001597</v>
      </c>
      <c r="D3" s="21" t="n">
        <v>-944821497</v>
      </c>
      <c r="E3" s="21" t="n">
        <v>-4740578405</v>
      </c>
      <c r="F3" s="21" t="n">
        <v>-43.6</v>
      </c>
      <c r="G3" s="21" t="n">
        <v>26516182395</v>
      </c>
      <c r="H3" s="21" t="n">
        <v>5573844351</v>
      </c>
      <c r="I3" s="21" t="n">
        <v>20942338044</v>
      </c>
      <c r="J3" s="21" t="n">
        <v>2863331600</v>
      </c>
      <c r="K3" s="21" t="n">
        <v>26.6</v>
      </c>
      <c r="L3" s="18" t="inlineStr">
        <is>
          <t>3개월 단독</t>
        </is>
      </c>
    </row>
    <row r="4">
      <c r="A4" s="18" t="inlineStr">
        <is>
          <t>2023Q2</t>
        </is>
      </c>
      <c r="B4" s="18" t="inlineStr">
        <is>
          <t>분기</t>
        </is>
      </c>
      <c r="C4" s="21" t="n">
        <v>2369914021</v>
      </c>
      <c r="D4" s="21" t="n">
        <v>-329904527</v>
      </c>
      <c r="E4" s="21" t="n">
        <v>-310995040</v>
      </c>
      <c r="F4" s="21" t="n">
        <v>-13.9</v>
      </c>
      <c r="G4" s="21" t="n">
        <v>36406533088</v>
      </c>
      <c r="H4" s="21" t="n">
        <v>14501068611</v>
      </c>
      <c r="I4" s="21" t="n">
        <v>21905464477</v>
      </c>
      <c r="J4" s="21" t="n">
        <v>2949655800</v>
      </c>
      <c r="K4" s="21" t="n">
        <v>66.2</v>
      </c>
      <c r="L4" s="18" t="inlineStr">
        <is>
          <t>3개월 단독</t>
        </is>
      </c>
    </row>
    <row r="5">
      <c r="A5" s="18" t="inlineStr">
        <is>
          <t>2023Q3</t>
        </is>
      </c>
      <c r="B5" s="18" t="inlineStr">
        <is>
          <t>분기</t>
        </is>
      </c>
      <c r="C5" s="21" t="n">
        <v>2297451040</v>
      </c>
      <c r="D5" s="21" t="n">
        <v>-1353636951</v>
      </c>
      <c r="E5" s="21" t="n">
        <v>-1261749522</v>
      </c>
      <c r="F5" s="21" t="n">
        <v>-58.9</v>
      </c>
      <c r="G5" s="21" t="n">
        <v>36246642223</v>
      </c>
      <c r="H5" s="21" t="n">
        <v>15383320921</v>
      </c>
      <c r="I5" s="21" t="n">
        <v>20863321302</v>
      </c>
      <c r="J5" s="21" t="n">
        <v>2949655800</v>
      </c>
      <c r="K5" s="21" t="n">
        <v>73.7</v>
      </c>
      <c r="L5" s="18" t="inlineStr">
        <is>
          <t>3개월 단독</t>
        </is>
      </c>
    </row>
    <row r="6">
      <c r="A6" s="18" t="inlineStr">
        <is>
          <t>2023Q4</t>
        </is>
      </c>
      <c r="B6" s="18" t="inlineStr">
        <is>
          <t>분기</t>
        </is>
      </c>
      <c r="C6" s="21" t="n">
        <v>3907672641</v>
      </c>
      <c r="D6" s="21" t="n">
        <v>475733781</v>
      </c>
      <c r="E6" s="21" t="n">
        <v>-764546572</v>
      </c>
      <c r="F6" s="21" t="n">
        <v>12.2</v>
      </c>
      <c r="G6" s="21" t="n">
        <v>35657768897</v>
      </c>
      <c r="H6" s="21" t="n">
        <v>14264937302</v>
      </c>
      <c r="I6" s="21" t="n">
        <v>21392831595</v>
      </c>
      <c r="J6" s="21" t="n">
        <v>2954655800</v>
      </c>
      <c r="K6" s="21" t="n">
        <v>66.7</v>
      </c>
      <c r="L6" s="18" t="inlineStr">
        <is>
          <t>연간-누적(1~3Q) 계산</t>
        </is>
      </c>
    </row>
    <row r="7">
      <c r="A7" s="18" t="inlineStr">
        <is>
          <t>2023 연간</t>
        </is>
      </c>
      <c r="B7" s="18" t="inlineStr">
        <is>
          <t>연간</t>
        </is>
      </c>
      <c r="C7" s="21" t="n">
        <v>10744039299</v>
      </c>
      <c r="D7" s="21" t="n">
        <v>-2152629194</v>
      </c>
      <c r="E7" s="21" t="n">
        <v>-7077869539</v>
      </c>
      <c r="F7" s="21" t="n">
        <v>-20</v>
      </c>
      <c r="G7" s="21" t="n">
        <v>35657768897</v>
      </c>
      <c r="H7" s="21" t="n">
        <v>14264937302</v>
      </c>
      <c r="I7" s="21" t="n">
        <v>21392831595</v>
      </c>
      <c r="J7" s="21" t="n">
        <v>2954655800</v>
      </c>
      <c r="K7" s="21" t="n">
        <v>66.7</v>
      </c>
      <c r="L7" s="18" t="inlineStr">
        <is>
          <t>별도</t>
        </is>
      </c>
    </row>
    <row r="8">
      <c r="A8" s="18" t="inlineStr">
        <is>
          <t>2024Q1</t>
        </is>
      </c>
      <c r="B8" s="18" t="inlineStr">
        <is>
          <t>분기</t>
        </is>
      </c>
      <c r="C8" s="21" t="n">
        <v>2746590109</v>
      </c>
      <c r="D8" s="21" t="n">
        <v>-646417304</v>
      </c>
      <c r="E8" s="21" t="n">
        <v>-492975590</v>
      </c>
      <c r="F8" s="21" t="n">
        <v>-23.5</v>
      </c>
      <c r="G8" s="21" t="n">
        <v>30085549235</v>
      </c>
      <c r="H8" s="21" t="n">
        <v>9039734092</v>
      </c>
      <c r="I8" s="21" t="n">
        <v>21045815143</v>
      </c>
      <c r="J8" s="21" t="n">
        <v>2954655800</v>
      </c>
      <c r="K8" s="21" t="n">
        <v>43</v>
      </c>
      <c r="L8" s="18" t="inlineStr">
        <is>
          <t>3개월 단독</t>
        </is>
      </c>
    </row>
    <row r="9">
      <c r="A9" s="18" t="inlineStr">
        <is>
          <t>2024Q2</t>
        </is>
      </c>
      <c r="B9" s="18" t="inlineStr">
        <is>
          <t>분기</t>
        </is>
      </c>
      <c r="C9" s="21" t="n">
        <v>1674093051</v>
      </c>
      <c r="D9" s="21" t="n">
        <v>-1705288263</v>
      </c>
      <c r="E9" s="21" t="n">
        <v>-1596061312</v>
      </c>
      <c r="F9" s="21" t="n">
        <v>-101.9</v>
      </c>
      <c r="G9" s="21" t="n">
        <v>31790984984</v>
      </c>
      <c r="H9" s="21" t="n">
        <v>11539937195</v>
      </c>
      <c r="I9" s="21" t="n">
        <v>20251047789</v>
      </c>
      <c r="J9" s="21" t="n">
        <v>3010843300</v>
      </c>
      <c r="K9" s="21" t="n">
        <v>57</v>
      </c>
      <c r="L9" s="18" t="inlineStr">
        <is>
          <t>3개월 단독</t>
        </is>
      </c>
    </row>
    <row r="10">
      <c r="A10" s="18" t="inlineStr">
        <is>
          <t>2024Q3</t>
        </is>
      </c>
      <c r="B10" s="18" t="inlineStr">
        <is>
          <t>분기</t>
        </is>
      </c>
      <c r="C10" s="21" t="n">
        <v>1514847791</v>
      </c>
      <c r="D10" s="21" t="n">
        <v>-2757629489</v>
      </c>
      <c r="E10" s="21" t="n">
        <v>-2801189902</v>
      </c>
      <c r="F10" s="21" t="n">
        <v>-182</v>
      </c>
      <c r="G10" s="21" t="n">
        <v>29333231855</v>
      </c>
      <c r="H10" s="21" t="n">
        <v>11745827215</v>
      </c>
      <c r="I10" s="21" t="n">
        <v>17587404640</v>
      </c>
      <c r="J10" s="21" t="n">
        <v>3010843300</v>
      </c>
      <c r="K10" s="21" t="n">
        <v>66.8</v>
      </c>
      <c r="L10" s="18" t="inlineStr">
        <is>
          <t>3개월 단독</t>
        </is>
      </c>
    </row>
    <row r="11">
      <c r="A11" s="18" t="inlineStr">
        <is>
          <t>2024Q4</t>
        </is>
      </c>
      <c r="B11" s="18" t="inlineStr">
        <is>
          <t>분기</t>
        </is>
      </c>
      <c r="C11" s="21" t="n">
        <v>2967384837</v>
      </c>
      <c r="D11" s="21" t="n">
        <v>-1879497347</v>
      </c>
      <c r="E11" s="21" t="n">
        <v>-1587537019</v>
      </c>
      <c r="F11" s="21" t="n">
        <v>-63.3</v>
      </c>
      <c r="G11" s="21" t="n">
        <v>28160758750</v>
      </c>
      <c r="H11" s="21" t="n">
        <v>12027021367</v>
      </c>
      <c r="I11" s="21" t="n">
        <v>16133737383</v>
      </c>
      <c r="J11" s="21" t="n">
        <v>3010843300</v>
      </c>
      <c r="K11" s="21" t="n">
        <v>74.5</v>
      </c>
      <c r="L11" s="18" t="inlineStr">
        <is>
          <t>연간-누적(1~3Q) 계산</t>
        </is>
      </c>
    </row>
    <row r="12">
      <c r="A12" s="18" t="inlineStr">
        <is>
          <t>2024 연간</t>
        </is>
      </c>
      <c r="B12" s="18" t="inlineStr">
        <is>
          <t>연간</t>
        </is>
      </c>
      <c r="C12" s="21" t="n">
        <v>8902915788</v>
      </c>
      <c r="D12" s="21" t="n">
        <v>-6988832403</v>
      </c>
      <c r="E12" s="21" t="n">
        <v>-6477763823</v>
      </c>
      <c r="F12" s="21" t="n">
        <v>-78.5</v>
      </c>
      <c r="G12" s="21" t="n">
        <v>28160758750</v>
      </c>
      <c r="H12" s="21" t="n">
        <v>12027021367</v>
      </c>
      <c r="I12" s="21" t="n">
        <v>16133737383</v>
      </c>
      <c r="J12" s="21" t="n">
        <v>3010843300</v>
      </c>
      <c r="K12" s="21" t="n">
        <v>74.5</v>
      </c>
      <c r="L12" s="18" t="inlineStr">
        <is>
          <t>별도</t>
        </is>
      </c>
    </row>
    <row r="13">
      <c r="A13" s="18" t="inlineStr">
        <is>
          <t>2025Q1</t>
        </is>
      </c>
      <c r="B13" s="18" t="inlineStr">
        <is>
          <t>분기</t>
        </is>
      </c>
      <c r="C13" s="21" t="n">
        <v>738540592</v>
      </c>
      <c r="D13" s="21" t="n">
        <v>-2606343822</v>
      </c>
      <c r="E13" s="21" t="n">
        <v>-2631261824</v>
      </c>
      <c r="F13" s="21" t="n">
        <v>-352.9</v>
      </c>
      <c r="G13" s="21" t="n">
        <v>28267031200</v>
      </c>
      <c r="H13" s="21" t="n">
        <v>14622049242</v>
      </c>
      <c r="I13" s="21" t="n">
        <v>13644981958</v>
      </c>
      <c r="J13" s="21" t="n">
        <v>3010843300</v>
      </c>
      <c r="K13" s="21" t="n">
        <v>107.2</v>
      </c>
      <c r="L13" s="18" t="inlineStr">
        <is>
          <t>3개월 단독</t>
        </is>
      </c>
    </row>
    <row r="14">
      <c r="A14" s="18" t="inlineStr">
        <is>
          <t>2025Q2</t>
        </is>
      </c>
      <c r="B14" s="18" t="inlineStr">
        <is>
          <t>분기</t>
        </is>
      </c>
      <c r="C14" s="21" t="n">
        <v>4206935690</v>
      </c>
      <c r="D14" s="21" t="n">
        <v>303316707</v>
      </c>
      <c r="E14" s="21" t="n">
        <v>137691561</v>
      </c>
      <c r="F14" s="21" t="n">
        <v>7.2</v>
      </c>
      <c r="G14" s="21" t="n">
        <v>27497770709</v>
      </c>
      <c r="H14" s="21" t="n">
        <v>13297206883</v>
      </c>
      <c r="I14" s="21" t="n">
        <v>14200563826</v>
      </c>
      <c r="J14" s="21" t="n">
        <v>3033755800</v>
      </c>
      <c r="K14" s="21" t="n">
        <v>93.59999999999999</v>
      </c>
      <c r="L14" s="18" t="inlineStr">
        <is>
          <t>3개월 단독</t>
        </is>
      </c>
    </row>
    <row r="15">
      <c r="A15" s="18" t="inlineStr">
        <is>
          <t>2025Q3</t>
        </is>
      </c>
      <c r="B15" s="18" t="inlineStr">
        <is>
          <t>분기</t>
        </is>
      </c>
      <c r="C15" s="21" t="n">
        <v>1782286360</v>
      </c>
      <c r="D15" s="21" t="n">
        <v>-1497105087</v>
      </c>
      <c r="E15" s="21" t="n">
        <v>-1625904177</v>
      </c>
      <c r="F15" s="21" t="n">
        <v>-84</v>
      </c>
      <c r="G15" s="21" t="n">
        <v>44727205637</v>
      </c>
      <c r="H15" s="21" t="n">
        <v>24249963399</v>
      </c>
      <c r="I15" s="21" t="n">
        <v>20477242238</v>
      </c>
      <c r="J15" s="21" t="n">
        <v>3033755800</v>
      </c>
      <c r="K15" s="21" t="n">
        <v>118.4</v>
      </c>
      <c r="L15" s="18" t="inlineStr">
        <is>
          <t>3개월 단독</t>
        </is>
      </c>
    </row>
    <row r="16">
      <c r="A16" s="18" t="inlineStr">
        <is>
          <t>2025Q4</t>
        </is>
      </c>
      <c r="B16" s="18" t="inlineStr">
        <is>
          <t>분기</t>
        </is>
      </c>
      <c r="C16" s="21" t="n">
        <v>2018505159</v>
      </c>
      <c r="D16" s="21" t="n">
        <v>-2010310606</v>
      </c>
      <c r="E16" s="21" t="n">
        <v>-2431927850</v>
      </c>
      <c r="F16" s="21" t="n">
        <v>-99.59999999999999</v>
      </c>
      <c r="G16" s="21" t="n">
        <v>41819222253</v>
      </c>
      <c r="H16" s="21" t="n">
        <v>25142296266</v>
      </c>
      <c r="I16" s="21" t="n">
        <v>16676925987</v>
      </c>
      <c r="J16" s="21" t="n">
        <v>3047930800</v>
      </c>
      <c r="K16" s="21" t="n">
        <v>150.8</v>
      </c>
      <c r="L16" s="18" t="inlineStr">
        <is>
          <t>연간-누적(1~3Q) 계산</t>
        </is>
      </c>
    </row>
    <row r="17">
      <c r="A17" s="18" t="inlineStr">
        <is>
          <t>2025 연간</t>
        </is>
      </c>
      <c r="B17" s="18" t="inlineStr">
        <is>
          <t>연간</t>
        </is>
      </c>
      <c r="C17" s="21" t="n">
        <v>8746267801</v>
      </c>
      <c r="D17" s="21" t="n">
        <v>-5810442808</v>
      </c>
      <c r="E17" s="21" t="n">
        <v>-6551402290</v>
      </c>
      <c r="F17" s="21" t="n">
        <v>-66.40000000000001</v>
      </c>
      <c r="G17" s="21" t="n">
        <v>41819222253</v>
      </c>
      <c r="H17" s="21" t="n">
        <v>25142296266</v>
      </c>
      <c r="I17" s="21" t="n">
        <v>16676925987</v>
      </c>
      <c r="J17" s="21" t="n">
        <v>3047930800</v>
      </c>
      <c r="K17" s="21" t="n">
        <v>150.8</v>
      </c>
      <c r="L17" s="18" t="inlineStr">
        <is>
          <t>별도</t>
        </is>
      </c>
    </row>
    <row r="18">
      <c r="A18" s="18" t="inlineStr">
        <is>
          <t>2026Q1</t>
        </is>
      </c>
      <c r="B18" s="18" t="inlineStr">
        <is>
          <t>분기</t>
        </is>
      </c>
      <c r="C18" s="21" t="n">
        <v>918416154</v>
      </c>
      <c r="D18" s="21" t="n">
        <v>-3318879479</v>
      </c>
      <c r="E18" s="21" t="n">
        <v>-3572675670</v>
      </c>
      <c r="F18" s="21" t="n">
        <v>-361.4</v>
      </c>
      <c r="G18" s="21" t="n">
        <v>40005347327</v>
      </c>
      <c r="H18" s="21" t="n">
        <v>26772202166</v>
      </c>
      <c r="I18" s="21" t="n">
        <v>13233145161</v>
      </c>
      <c r="J18" s="21" t="n">
        <v>3047930800</v>
      </c>
      <c r="K18" s="21" t="n">
        <v>202.3</v>
      </c>
      <c r="L18" s="18" t="inlineStr">
        <is>
          <t>3개월 단독</t>
        </is>
      </c>
    </row>
    <row r="19">
      <c r="A19" s="18" t="inlineStr">
        <is>
          <t>2026Q2</t>
        </is>
      </c>
      <c r="B19" s="18" t="inlineStr">
        <is>
          <t>분기</t>
        </is>
      </c>
      <c r="C19" s="21" t="n">
        <v>1461728849</v>
      </c>
      <c r="D19" s="21" t="n">
        <v>-2971913738</v>
      </c>
      <c r="E19" s="21" t="n">
        <v>-3271634494</v>
      </c>
      <c r="F19" s="21" t="n">
        <v>-203.3</v>
      </c>
      <c r="G19" s="21" t="n">
        <v>37357466620</v>
      </c>
      <c r="H19" s="21" t="n">
        <v>26792977495</v>
      </c>
      <c r="I19" s="21" t="n">
        <v>10564489125</v>
      </c>
      <c r="J19" s="21" t="n">
        <v>3077455800</v>
      </c>
      <c r="K19" s="21" t="n">
        <v>253.6</v>
      </c>
      <c r="L19" s="18" t="inlineStr">
        <is>
          <t>3개월 단독</t>
        </is>
      </c>
    </row>
    <row r="21">
      <c r="A21" s="22" t="inlineStr">
        <is>
          <t>출처: DART 단일회사 주요계정 API(fnlttSinglAcnt). 라온텍은 별도재무제표만 제출(연결 없음). 단위: 원. 분기값은 해당 3개월, Q4는 연간-누적 계산.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30" customHeight="1">
      <c r="A1" s="17" t="inlineStr">
        <is>
          <t>사업부문 | 매출유형 | 품목</t>
        </is>
      </c>
      <c r="B1" s="17" t="inlineStr">
        <is>
          <t>2026.06
누적</t>
        </is>
      </c>
      <c r="C1" s="17" t="inlineStr">
        <is>
          <t>2026.03
누적</t>
        </is>
      </c>
      <c r="D1" s="17" t="inlineStr">
        <is>
          <t>2025.12
연간</t>
        </is>
      </c>
      <c r="E1" s="17" t="inlineStr">
        <is>
          <t>2025.09
누적</t>
        </is>
      </c>
      <c r="F1" s="17" t="inlineStr">
        <is>
          <t>2025.06
누적</t>
        </is>
      </c>
      <c r="G1" s="17" t="inlineStr">
        <is>
          <t>2025.03
누적</t>
        </is>
      </c>
      <c r="H1" s="17" t="inlineStr">
        <is>
          <t>2024.12
연간</t>
        </is>
      </c>
      <c r="I1" s="17" t="inlineStr">
        <is>
          <t>2024.09
누적</t>
        </is>
      </c>
      <c r="J1" s="17" t="inlineStr">
        <is>
          <t>2024.06
누적</t>
        </is>
      </c>
      <c r="K1" s="17" t="inlineStr">
        <is>
          <t>2024.03
누적</t>
        </is>
      </c>
      <c r="L1" s="17" t="inlineStr">
        <is>
          <t>2023.12
연간</t>
        </is>
      </c>
      <c r="M1" s="17" t="inlineStr">
        <is>
          <t>2023.09
누적</t>
        </is>
      </c>
      <c r="N1" s="17" t="inlineStr">
        <is>
          <t>2023.06
누적</t>
        </is>
      </c>
      <c r="O1" s="17" t="inlineStr">
        <is>
          <t>2023.03
누적</t>
        </is>
      </c>
      <c r="P1" s="17" t="inlineStr">
        <is>
          <t>2022.12
연간</t>
        </is>
      </c>
    </row>
    <row r="2">
      <c r="A2" s="18" t="inlineStr">
        <is>
          <t>마이크로디스플레이 | 제품 | Panel 및 SoC</t>
        </is>
      </c>
      <c r="B2" s="21" t="n">
        <v>973</v>
      </c>
      <c r="C2" s="21" t="n">
        <v>457</v>
      </c>
      <c r="D2" s="21" t="n">
        <v>6184</v>
      </c>
      <c r="E2" s="21" t="n">
        <v>5005</v>
      </c>
      <c r="F2" s="21" t="n">
        <v>3868</v>
      </c>
      <c r="G2" s="21" t="n">
        <v>417</v>
      </c>
      <c r="H2" s="21" t="n">
        <v>4160</v>
      </c>
      <c r="I2" s="21" t="n">
        <v>2033</v>
      </c>
      <c r="J2" s="21" t="n">
        <v>1215</v>
      </c>
      <c r="K2" s="21" t="n">
        <v>1000</v>
      </c>
      <c r="L2" s="21" t="n">
        <v>6967</v>
      </c>
      <c r="M2" s="21" t="n">
        <v>1878</v>
      </c>
      <c r="N2" s="21" t="n">
        <v>420</v>
      </c>
      <c r="O2" s="21" t="n">
        <v>1551</v>
      </c>
      <c r="P2" s="21" t="n">
        <v>1711</v>
      </c>
    </row>
    <row r="3">
      <c r="A3" s="18" t="inlineStr">
        <is>
          <t>마이크로디스플레이 | 용역 | 개발계약</t>
        </is>
      </c>
      <c r="B3" s="21" t="n">
        <v>782</v>
      </c>
      <c r="C3" s="21" t="n">
        <v>183</v>
      </c>
      <c r="D3" s="21" t="n">
        <v>689</v>
      </c>
      <c r="E3" s="21" t="n">
        <v>515</v>
      </c>
      <c r="F3" s="21" t="n">
        <v>199</v>
      </c>
      <c r="G3" s="21" t="n">
        <v>100</v>
      </c>
      <c r="H3" s="21" t="n">
        <v>2691</v>
      </c>
      <c r="I3" s="21" t="n">
        <v>2527</v>
      </c>
      <c r="J3" s="21" t="n">
        <v>2233</v>
      </c>
      <c r="K3" s="21" t="n">
        <v>1241</v>
      </c>
      <c r="L3" s="21" t="n">
        <v>1597</v>
      </c>
      <c r="M3" s="21" t="n">
        <v>253</v>
      </c>
      <c r="N3" s="21" t="n">
        <v>253</v>
      </c>
      <c r="O3" s="21" t="n">
        <v>1861</v>
      </c>
      <c r="P3" s="21" t="n">
        <v>883</v>
      </c>
    </row>
    <row r="4">
      <c r="A4" s="18" t="inlineStr">
        <is>
          <t>마이크로디스플레이 | 소 계</t>
        </is>
      </c>
      <c r="B4" s="21" t="n">
        <v>1755</v>
      </c>
      <c r="C4" s="21" t="n">
        <v>640</v>
      </c>
      <c r="D4" s="21" t="n">
        <v>6873</v>
      </c>
      <c r="E4" s="21" t="n">
        <v>5520</v>
      </c>
      <c r="F4" s="21" t="n">
        <v>4067</v>
      </c>
      <c r="G4" s="21" t="n">
        <v>517</v>
      </c>
      <c r="H4" s="21" t="n">
        <v>6851</v>
      </c>
      <c r="I4" s="21" t="n">
        <v>4560</v>
      </c>
      <c r="J4" s="21" t="n">
        <v>3448</v>
      </c>
      <c r="K4" s="21" t="n">
        <v>2241</v>
      </c>
      <c r="L4" s="21" t="n">
        <v>8564</v>
      </c>
      <c r="M4" s="18" t="n"/>
      <c r="N4" s="18" t="n"/>
      <c r="O4" s="18" t="n"/>
      <c r="P4" s="18" t="n"/>
    </row>
    <row r="5">
      <c r="A5" s="18" t="inlineStr">
        <is>
          <t>모바일 TV | 제품 | RFIC &amp; SoC</t>
        </is>
      </c>
      <c r="B5" s="21" t="n">
        <v>563</v>
      </c>
      <c r="C5" s="21" t="n">
        <v>257</v>
      </c>
      <c r="D5" s="21" t="n">
        <v>1788</v>
      </c>
      <c r="E5" s="21" t="n">
        <v>1101</v>
      </c>
      <c r="F5" s="21" t="n">
        <v>803</v>
      </c>
      <c r="G5" s="21" t="n">
        <v>174</v>
      </c>
      <c r="H5" s="21" t="n">
        <v>1920</v>
      </c>
      <c r="I5" s="21" t="n">
        <v>1330</v>
      </c>
      <c r="J5" s="21" t="n">
        <v>952</v>
      </c>
      <c r="K5" s="21" t="n">
        <v>506</v>
      </c>
      <c r="L5" s="21" t="n">
        <v>2180</v>
      </c>
      <c r="M5" s="21" t="n">
        <v>1814</v>
      </c>
      <c r="N5" s="21" t="n">
        <v>976</v>
      </c>
      <c r="O5" s="21" t="n">
        <v>2311</v>
      </c>
      <c r="P5" s="21" t="n">
        <v>2612</v>
      </c>
    </row>
    <row r="6">
      <c r="A6" s="18" t="inlineStr">
        <is>
          <t>모바일 TV | 기타 | 상품판매 외</t>
        </is>
      </c>
      <c r="B6" s="21" t="n">
        <v>62</v>
      </c>
      <c r="C6" s="21" t="n">
        <v>21</v>
      </c>
      <c r="D6" s="21" t="n">
        <v>85</v>
      </c>
      <c r="E6" s="21" t="n">
        <v>107</v>
      </c>
      <c r="F6" s="21" t="n">
        <v>75</v>
      </c>
      <c r="G6" s="21" t="n">
        <v>48</v>
      </c>
      <c r="H6" s="21" t="n">
        <v>132</v>
      </c>
      <c r="I6" s="21" t="n">
        <v>45</v>
      </c>
      <c r="J6" s="21" t="n">
        <v>21</v>
      </c>
      <c r="K6" s="18" t="n"/>
      <c r="L6" s="18" t="n"/>
      <c r="M6" s="18" t="n"/>
      <c r="N6" s="18" t="n"/>
      <c r="O6" s="18" t="n"/>
      <c r="P6" s="18" t="n"/>
    </row>
    <row r="7">
      <c r="A7" s="18" t="inlineStr">
        <is>
          <t>모바일 TV | 소 계</t>
        </is>
      </c>
      <c r="B7" s="21" t="n">
        <v>625</v>
      </c>
      <c r="C7" s="21" t="n">
        <v>278</v>
      </c>
      <c r="D7" s="21" t="n">
        <v>1873</v>
      </c>
      <c r="E7" s="21" t="n">
        <v>1208</v>
      </c>
      <c r="F7" s="21" t="n">
        <v>878</v>
      </c>
      <c r="G7" s="21" t="n">
        <v>222</v>
      </c>
      <c r="H7" s="21" t="n">
        <v>2052</v>
      </c>
      <c r="I7" s="21" t="n">
        <v>1375</v>
      </c>
      <c r="J7" s="21" t="n">
        <v>973</v>
      </c>
      <c r="K7" s="21" t="n">
        <v>506</v>
      </c>
      <c r="L7" s="21" t="n">
        <v>2180</v>
      </c>
      <c r="M7" s="18" t="n"/>
      <c r="N7" s="18" t="n"/>
      <c r="O7" s="18" t="n"/>
      <c r="P7" s="18" t="n"/>
    </row>
    <row r="8">
      <c r="A8" s="18" t="inlineStr">
        <is>
          <t>합 계</t>
        </is>
      </c>
      <c r="B8" s="21" t="n">
        <v>2380</v>
      </c>
      <c r="C8" s="21" t="n">
        <v>918</v>
      </c>
      <c r="D8" s="21" t="n">
        <v>8746</v>
      </c>
      <c r="E8" s="21" t="n">
        <v>6728</v>
      </c>
      <c r="F8" s="21" t="n">
        <v>4945</v>
      </c>
      <c r="G8" s="21" t="n">
        <v>739</v>
      </c>
      <c r="H8" s="21" t="n">
        <v>8903</v>
      </c>
      <c r="I8" s="21" t="n">
        <v>5935</v>
      </c>
      <c r="J8" s="21" t="n">
        <v>4421</v>
      </c>
      <c r="K8" s="21" t="n">
        <v>2747</v>
      </c>
      <c r="L8" s="21" t="n">
        <v>10744</v>
      </c>
      <c r="M8" s="21" t="n">
        <v>3970</v>
      </c>
      <c r="N8" s="21" t="n">
        <v>1674</v>
      </c>
      <c r="O8" s="21" t="n">
        <v>5759</v>
      </c>
      <c r="P8" s="21" t="n">
        <v>5663</v>
      </c>
    </row>
    <row r="9">
      <c r="A9" s="18" t="inlineStr">
        <is>
          <t>모바일 TV | 상품 및 용역 | 개발계약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21" t="n">
        <v>0</v>
      </c>
      <c r="L9" s="21" t="n">
        <v>0</v>
      </c>
      <c r="M9" s="21" t="n">
        <v>25</v>
      </c>
      <c r="N9" s="18" t="n"/>
      <c r="O9" s="18" t="n"/>
      <c r="P9" s="18" t="n"/>
    </row>
    <row r="10">
      <c r="A10" s="18" t="inlineStr">
        <is>
          <t>모바일 TV | 상품 및 용역 | 상품판매외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21" t="n">
        <v>25</v>
      </c>
      <c r="O10" s="21" t="n">
        <v>36</v>
      </c>
      <c r="P10" s="21" t="n">
        <v>457</v>
      </c>
    </row>
    <row r="12">
      <c r="A12" s="22" t="inlineStr">
        <is>
          <t>출처: 각 정기보고서 'II. 사업의 내용 &gt; 매출 및 수주상황 &gt; 매출실적' 표의 당기 열(단위 백만원, 보고서 기준 누적). 열 헤더 = 보고서 기간 종료월.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6.666666666666666" customWidth="1" min="3" max="3"/>
    <col hidden="1" width="10" customWidth="1" min="4" max="4"/>
    <col hidden="1" width="10" customWidth="1" min="5" max="5"/>
    <col width="11.6" customWidth="1" min="6" max="6"/>
    <col width="23.6" customWidth="1" min="7" max="7"/>
    <col width="10.13333333333333" customWidth="1" min="8" max="8"/>
    <col width="6.933333333333334" customWidth="1" min="9" max="9"/>
    <col width="21.2" customWidth="1" min="10" max="10"/>
    <col width="6.933333333333334" customWidth="1" min="11" max="11"/>
    <col width="11.73333333333333" customWidth="1" min="12" max="12"/>
    <col width="6.666666666666666" customWidth="1" min="13" max="13"/>
    <col width="11.73333333333333" customWidth="1" min="14" max="14"/>
    <col width="11.73333333333333" customWidth="1" min="15" max="15"/>
    <col width="6.666666666666666" customWidth="1" min="16" max="16"/>
    <col width="30" customWidth="1" min="17" max="17"/>
    <col width="14" customWidth="1" min="18" max="18"/>
    <col width="14" customWidth="1" min="19" max="19"/>
    <col hidden="1" width="18.8" customWidth="1" min="20" max="20"/>
  </cols>
  <sheetData>
    <row r="1" ht="25" customHeight="1">
      <c r="A1" s="1" t="inlineStr">
        <is>
          <t>접수일자</t>
        </is>
      </c>
      <c r="B1" s="1" t="inlineStr">
        <is>
          <t>DART링크</t>
        </is>
      </c>
      <c r="C1" s="1" t="inlineStr">
        <is>
          <t>회사명</t>
        </is>
      </c>
      <c r="D1" s="1" t="inlineStr">
        <is>
          <t>시장구분</t>
        </is>
      </c>
      <c r="E1" s="1" t="inlineStr">
        <is>
          <t>종목코드</t>
        </is>
      </c>
      <c r="F1" s="1" t="inlineStr">
        <is>
          <t>유형</t>
        </is>
      </c>
      <c r="G1" s="1" t="inlineStr">
        <is>
          <t>공시명</t>
        </is>
      </c>
      <c r="H1" s="1" t="inlineStr">
        <is>
          <t>조달금액</t>
        </is>
      </c>
      <c r="I1" s="1" t="inlineStr">
        <is>
          <t>발행가/전환가</t>
        </is>
      </c>
      <c r="J1" s="1" t="inlineStr">
        <is>
          <t>신주종류</t>
        </is>
      </c>
      <c r="K1" s="1" t="inlineStr">
        <is>
          <t>신주발행수</t>
        </is>
      </c>
      <c r="L1" s="1" t="inlineStr">
        <is>
          <t>납입일</t>
        </is>
      </c>
      <c r="M1" s="1" t="inlineStr">
        <is>
          <t>상장예정일</t>
        </is>
      </c>
      <c r="N1" s="1" t="inlineStr">
        <is>
          <t>전환청구시작일</t>
        </is>
      </c>
      <c r="O1" s="1" t="inlineStr">
        <is>
          <t>전환청구종료일</t>
        </is>
      </c>
      <c r="P1" s="1" t="inlineStr">
        <is>
          <t>주식총수대비</t>
        </is>
      </c>
      <c r="Q1" s="1" t="inlineStr">
        <is>
          <t>조달목적</t>
        </is>
      </c>
      <c r="R1" s="1" t="inlineStr">
        <is>
          <t>콜옵션 청구일</t>
        </is>
      </c>
      <c r="S1" s="1" t="inlineStr">
        <is>
          <t>풋옵션 청구일</t>
        </is>
      </c>
      <c r="T1" s="1" t="inlineStr">
        <is>
          <t>접수번호</t>
        </is>
      </c>
    </row>
    <row r="2" ht="36" customHeight="1">
      <c r="A2" s="2" t="inlineStr">
        <is>
          <t>2025-08-18</t>
        </is>
      </c>
      <c r="B2" s="3">
        <f>HYPERLINK("https://dart.fss.or.kr/dsaf001/main.do?rcpNo=20250818000222", "공시열람")</f>
        <v/>
      </c>
      <c r="C2" s="4" t="inlineStr">
        <is>
          <t>라온텍</t>
        </is>
      </c>
      <c r="D2" s="2" t="inlineStr">
        <is>
          <t>코스닥</t>
        </is>
      </c>
      <c r="E2" s="2" t="inlineStr">
        <is>
          <t>418420</t>
        </is>
      </c>
      <c r="F2" s="5" t="inlineStr">
        <is>
          <t>전환사채(CB)</t>
        </is>
      </c>
      <c r="G2" s="4" t="inlineStr">
        <is>
          <t>주요사항보고서(전환사채권발행결정)</t>
        </is>
      </c>
      <c r="H2" s="6" t="n">
        <v>15000000000</v>
      </c>
      <c r="I2" s="6" t="n">
        <v>4906</v>
      </c>
      <c r="J2" s="2" t="inlineStr">
        <is>
          <t>주식회사 라온텍 기명식 보통주</t>
        </is>
      </c>
      <c r="K2" s="7" t="n">
        <v>3057480</v>
      </c>
      <c r="L2" s="2" t="inlineStr">
        <is>
          <t>2025년 08월 26일</t>
        </is>
      </c>
      <c r="M2" s="2" t="inlineStr">
        <is>
          <t>-</t>
        </is>
      </c>
      <c r="N2" s="2" t="inlineStr">
        <is>
          <t>2026년 08월 26일</t>
        </is>
      </c>
      <c r="O2" s="2" t="inlineStr">
        <is>
          <t>2030년 07월 26일</t>
        </is>
      </c>
      <c r="P2" s="8" t="n">
        <v>9.18</v>
      </c>
      <c r="Q2" s="9" t="inlineStr">
        <is>
          <t>-</t>
        </is>
      </c>
      <c r="R2" s="2" t="inlineStr">
        <is>
          <t>2026-08-26</t>
        </is>
      </c>
      <c r="S2" s="2" t="inlineStr">
        <is>
          <t>2027-06-27</t>
        </is>
      </c>
      <c r="T2" s="2" t="inlineStr">
        <is>
          <t>20250818000222</t>
        </is>
      </c>
    </row>
  </sheetData>
  <autoFilter ref="A1:T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hidden="1" width="10" customWidth="1" min="4" max="4"/>
    <col hidden="1" width="10" customWidth="1" min="5" max="5"/>
    <col width="14" customWidth="1" min="6" max="6"/>
    <col width="25" customWidth="1" min="7" max="7"/>
    <col width="30" customWidth="1" min="8" max="8"/>
    <col width="14" customWidth="1" min="9" max="9"/>
    <col width="14" customWidth="1" min="10" max="10"/>
    <col width="14" customWidth="1" min="11" max="11"/>
    <col width="10" customWidth="1" min="12" max="12"/>
    <col width="12.8" customWidth="1" min="13" max="13"/>
    <col width="20" customWidth="1" min="14" max="14"/>
    <col width="18" customWidth="1" min="15" max="15"/>
    <col width="18.8" customWidth="1" min="16" max="16"/>
  </cols>
  <sheetData>
    <row r="1" ht="25" customHeight="1">
      <c r="A1" s="1" t="inlineStr">
        <is>
          <t>접수일자</t>
        </is>
      </c>
      <c r="B1" s="1" t="inlineStr">
        <is>
          <t>DART링크</t>
        </is>
      </c>
      <c r="C1" s="1" t="inlineStr">
        <is>
          <t>회사명</t>
        </is>
      </c>
      <c r="D1" s="1" t="inlineStr">
        <is>
          <t>시장구분</t>
        </is>
      </c>
      <c r="E1" s="1" t="inlineStr">
        <is>
          <t>종목코드</t>
        </is>
      </c>
      <c r="F1" s="1" t="inlineStr">
        <is>
          <t>유형</t>
        </is>
      </c>
      <c r="G1" s="1" t="inlineStr">
        <is>
          <t>공시명</t>
        </is>
      </c>
      <c r="H1" s="1" t="inlineStr">
        <is>
          <t>계약내용</t>
        </is>
      </c>
      <c r="I1" s="1" t="inlineStr">
        <is>
          <t>시작일</t>
        </is>
      </c>
      <c r="J1" s="1" t="inlineStr">
        <is>
          <t>종료일</t>
        </is>
      </c>
      <c r="K1" s="1" t="inlineStr">
        <is>
          <t>수주금액</t>
        </is>
      </c>
      <c r="L1" s="1" t="inlineStr">
        <is>
          <t>수주잔고</t>
        </is>
      </c>
      <c r="M1" s="1" t="inlineStr">
        <is>
          <t>최근 매출액 대비</t>
        </is>
      </c>
      <c r="N1" s="1" t="inlineStr">
        <is>
          <t>수주상대방</t>
        </is>
      </c>
      <c r="O1" s="1" t="inlineStr">
        <is>
          <t>판매ㆍ공급지역</t>
        </is>
      </c>
      <c r="P1" s="1" t="inlineStr">
        <is>
          <t>접수번호</t>
        </is>
      </c>
    </row>
    <row r="2" ht="36" customHeight="1">
      <c r="A2" s="2" t="inlineStr">
        <is>
          <t>2026-09-01</t>
        </is>
      </c>
      <c r="B2" s="3">
        <f>HYPERLINK("https://dart.fss.or.kr/dsaf001/main.do?rcpNo=20260901900129", "공시열람")</f>
        <v/>
      </c>
      <c r="C2" s="4" t="inlineStr">
        <is>
          <t>라온텍</t>
        </is>
      </c>
      <c r="D2" s="2" t="inlineStr">
        <is>
          <t>코스닥</t>
        </is>
      </c>
      <c r="E2" s="2" t="inlineStr">
        <is>
          <t>418420</t>
        </is>
      </c>
      <c r="F2" s="2" t="inlineStr">
        <is>
          <t>단일판매공급계약체결</t>
        </is>
      </c>
      <c r="G2" s="4" t="inlineStr">
        <is>
          <t xml:space="preserve">단일판매ㆍ공급계약체결              </t>
        </is>
      </c>
      <c r="H2" s="9" t="inlineStr">
        <is>
          <t>광통신용 마이크로디스플레이 공급계약</t>
        </is>
      </c>
      <c r="I2" s="2" t="inlineStr">
        <is>
          <t>2026-08-31</t>
        </is>
      </c>
      <c r="J2" s="2" t="inlineStr">
        <is>
          <t>2027-07-31</t>
        </is>
      </c>
      <c r="K2" s="6" t="n">
        <v>1500385000</v>
      </c>
      <c r="L2" s="2" t="inlineStr">
        <is>
          <t>-</t>
        </is>
      </c>
      <c r="M2" s="10" t="n">
        <v>17.15</v>
      </c>
      <c r="N2" s="9" t="inlineStr">
        <is>
          <t>-</t>
        </is>
      </c>
      <c r="O2" s="9" t="inlineStr">
        <is>
          <t>해외</t>
        </is>
      </c>
      <c r="P2" s="2" t="inlineStr">
        <is>
          <t>20260901900129</t>
        </is>
      </c>
    </row>
    <row r="3" ht="36" customHeight="1">
      <c r="A3" s="2" t="inlineStr">
        <is>
          <t>2026-07-06</t>
        </is>
      </c>
      <c r="B3" s="3">
        <f>HYPERLINK("https://dart.fss.or.kr/dsaf001/main.do?rcpNo=20260706900374", "공시열람")</f>
        <v/>
      </c>
      <c r="C3" s="4" t="inlineStr">
        <is>
          <t>라온텍</t>
        </is>
      </c>
      <c r="D3" s="2" t="inlineStr">
        <is>
          <t>코스닥</t>
        </is>
      </c>
      <c r="E3" s="2" t="inlineStr">
        <is>
          <t>418420</t>
        </is>
      </c>
      <c r="F3" s="2" t="inlineStr">
        <is>
          <t>단일판매공급계약체결</t>
        </is>
      </c>
      <c r="G3" s="4" t="inlineStr">
        <is>
          <t xml:space="preserve">단일판매ㆍ공급계약체결              </t>
        </is>
      </c>
      <c r="H3" s="9" t="inlineStr">
        <is>
          <t>FLCoS 마이크로디스플레이 개발</t>
        </is>
      </c>
      <c r="I3" s="2" t="inlineStr">
        <is>
          <t>2026-07-01</t>
        </is>
      </c>
      <c r="J3" s="2" t="inlineStr">
        <is>
          <t>2027-09-01</t>
        </is>
      </c>
      <c r="K3" s="6" t="n">
        <v>4619100000</v>
      </c>
      <c r="L3" s="2" t="inlineStr">
        <is>
          <t>-</t>
        </is>
      </c>
      <c r="M3" s="10" t="n">
        <v>52.81</v>
      </c>
      <c r="N3" s="9" t="inlineStr">
        <is>
          <t>스마트글라스용 부품 회사</t>
        </is>
      </c>
      <c r="O3" s="9" t="inlineStr">
        <is>
          <t>해외</t>
        </is>
      </c>
      <c r="P3" s="2" t="inlineStr">
        <is>
          <t>20260706900374</t>
        </is>
      </c>
    </row>
    <row r="4" ht="36" customHeight="1">
      <c r="A4" s="2" t="inlineStr">
        <is>
          <t>2026-03-23 (원공시: 2026-02-04)</t>
        </is>
      </c>
      <c r="B4" s="3">
        <f>HYPERLINK("https://dart.fss.or.kr/dsaf001/main.do?rcpNo=20260323901335", "공시열람")</f>
        <v/>
      </c>
      <c r="C4" s="4" t="inlineStr">
        <is>
          <t>라온텍</t>
        </is>
      </c>
      <c r="D4" s="2" t="inlineStr">
        <is>
          <t>코스닥</t>
        </is>
      </c>
      <c r="E4" s="2" t="inlineStr">
        <is>
          <t>418420</t>
        </is>
      </c>
      <c r="F4" s="2" t="inlineStr">
        <is>
          <t>단일판매공급계약체결</t>
        </is>
      </c>
      <c r="G4" s="4" t="inlineStr">
        <is>
          <t>단일판매ㆍ공급계약체결               (정정: 20260323)</t>
        </is>
      </c>
      <c r="H4" s="9" t="inlineStr">
        <is>
          <t>자동차용 마이크로디스플레이 기술 개발</t>
        </is>
      </c>
      <c r="I4" s="2" t="inlineStr">
        <is>
          <t>2023-09-08</t>
        </is>
      </c>
      <c r="J4" s="2" t="inlineStr">
        <is>
          <t>2026-11-06</t>
        </is>
      </c>
      <c r="K4" s="6" t="n">
        <v>3845400000</v>
      </c>
      <c r="L4" s="2" t="inlineStr">
        <is>
          <t>-</t>
        </is>
      </c>
      <c r="M4" s="10" t="n">
        <v>35.22</v>
      </c>
      <c r="N4" s="9" t="inlineStr">
        <is>
          <t>자동차 부품 제조업체</t>
        </is>
      </c>
      <c r="O4" s="9" t="inlineStr">
        <is>
          <t>유럽</t>
        </is>
      </c>
      <c r="P4" s="2" t="inlineStr">
        <is>
          <t>20260323901335</t>
        </is>
      </c>
    </row>
    <row r="5" ht="36" customHeight="1">
      <c r="A5" s="2" t="inlineStr">
        <is>
          <t>2025-12-23 (원공시: 2024-07-19)</t>
        </is>
      </c>
      <c r="B5" s="3">
        <f>HYPERLINK("https://dart.fss.or.kr/dsaf001/main.do?rcpNo=20251223900681", "공시열람")</f>
        <v/>
      </c>
      <c r="C5" s="4" t="inlineStr">
        <is>
          <t>라온텍</t>
        </is>
      </c>
      <c r="D5" s="2" t="inlineStr">
        <is>
          <t>코스닥</t>
        </is>
      </c>
      <c r="E5" s="2" t="inlineStr">
        <is>
          <t>418420</t>
        </is>
      </c>
      <c r="F5" s="2" t="inlineStr">
        <is>
          <t>단일판매공급계약체결</t>
        </is>
      </c>
      <c r="G5" s="4" t="inlineStr">
        <is>
          <t>단일판매ㆍ공급계약체결               (정정: 20240924) (정정: 20241219) (정정: 20250425) (정정: 20250725) (정정: 20250908) (정정: 20250917) (정정: 20251125) (정정: 20251223)</t>
        </is>
      </c>
      <c r="H5" s="9" t="inlineStr">
        <is>
          <t>MicroLED 백플레인 웨이퍼 공급</t>
        </is>
      </c>
      <c r="I5" s="2" t="inlineStr">
        <is>
          <t>2024-07-18</t>
        </is>
      </c>
      <c r="J5" s="2" t="inlineStr">
        <is>
          <t>2025-12-31</t>
        </is>
      </c>
      <c r="K5" s="6" t="n">
        <v>2818260000</v>
      </c>
      <c r="L5" s="2" t="inlineStr">
        <is>
          <t>-</t>
        </is>
      </c>
      <c r="M5" s="10" t="n">
        <v>26.23</v>
      </c>
      <c r="N5" s="9" t="inlineStr">
        <is>
          <t>PlayNitride Display co., Ltd.</t>
        </is>
      </c>
      <c r="O5" s="9" t="inlineStr">
        <is>
          <t>대만</t>
        </is>
      </c>
      <c r="P5" s="2" t="inlineStr">
        <is>
          <t>20251223900681</t>
        </is>
      </c>
    </row>
    <row r="6" ht="36" customHeight="1">
      <c r="A6" s="2" t="inlineStr">
        <is>
          <t>2024-04-09</t>
        </is>
      </c>
      <c r="B6" s="3">
        <f>HYPERLINK("https://dart.fss.or.kr/dsaf001/main.do?rcpNo=20240409900152", "공시열람")</f>
        <v/>
      </c>
      <c r="C6" s="4" t="inlineStr">
        <is>
          <t>라온텍</t>
        </is>
      </c>
      <c r="D6" s="2" t="inlineStr">
        <is>
          <t>코스닥</t>
        </is>
      </c>
      <c r="E6" s="2" t="inlineStr">
        <is>
          <t>418420</t>
        </is>
      </c>
      <c r="F6" s="2" t="inlineStr">
        <is>
          <t>단일판매공급계약체결</t>
        </is>
      </c>
      <c r="G6" s="4" t="inlineStr">
        <is>
          <t xml:space="preserve">단일판매ㆍ공급계약체결              </t>
        </is>
      </c>
      <c r="H6" s="9" t="inlineStr">
        <is>
          <t>LCoS 백플레인 웨이퍼 공급</t>
        </is>
      </c>
      <c r="I6" s="2" t="inlineStr">
        <is>
          <t>2024-04-08</t>
        </is>
      </c>
      <c r="J6" s="2" t="inlineStr">
        <is>
          <t>2024-12-31</t>
        </is>
      </c>
      <c r="K6" s="6" t="n">
        <v>1268664300</v>
      </c>
      <c r="L6" s="2" t="inlineStr">
        <is>
          <t>-</t>
        </is>
      </c>
      <c r="M6" s="10" t="n">
        <v>11.81</v>
      </c>
      <c r="N6" s="9" t="inlineStr">
        <is>
          <t>자동차 부품 제조업체</t>
        </is>
      </c>
      <c r="O6" s="9" t="inlineStr">
        <is>
          <t>영국</t>
        </is>
      </c>
      <c r="P6" s="2" t="inlineStr">
        <is>
          <t>20240409900152</t>
        </is>
      </c>
    </row>
    <row r="7" ht="36" customHeight="1">
      <c r="A7" s="2" t="inlineStr">
        <is>
          <t>2023-12-18</t>
        </is>
      </c>
      <c r="B7" s="3">
        <f>HYPERLINK("https://dart.fss.or.kr/dsaf001/main.do?rcpNo=20231218900221", "공시열람")</f>
        <v/>
      </c>
      <c r="C7" s="4" t="inlineStr">
        <is>
          <t>라온텍</t>
        </is>
      </c>
      <c r="D7" s="2" t="inlineStr">
        <is>
          <t>코스닥</t>
        </is>
      </c>
      <c r="E7" s="2" t="inlineStr">
        <is>
          <t>418420</t>
        </is>
      </c>
      <c r="F7" s="2" t="inlineStr">
        <is>
          <t>단일판매공급계약체결</t>
        </is>
      </c>
      <c r="G7" s="4" t="inlineStr">
        <is>
          <t>단일판매ㆍ공급계약체결</t>
        </is>
      </c>
      <c r="H7" s="9" t="inlineStr">
        <is>
          <t>MicroLED 백플레인 웨이퍼 공급</t>
        </is>
      </c>
      <c r="I7" s="2" t="inlineStr">
        <is>
          <t>2023-12-15</t>
        </is>
      </c>
      <c r="J7" s="2" t="inlineStr">
        <is>
          <t>2024-01-28</t>
        </is>
      </c>
      <c r="K7" s="6" t="n">
        <v>1114216000</v>
      </c>
      <c r="L7" s="2" t="inlineStr">
        <is>
          <t>-</t>
        </is>
      </c>
      <c r="M7" s="10" t="n">
        <v>10.21</v>
      </c>
      <c r="N7" s="9" t="inlineStr">
        <is>
          <t>PlayNitride Display co., Ltd.</t>
        </is>
      </c>
      <c r="O7" s="9" t="inlineStr">
        <is>
          <t>대만</t>
        </is>
      </c>
      <c r="P7" s="2" t="inlineStr">
        <is>
          <t>20231218900221</t>
        </is>
      </c>
    </row>
    <row r="8" ht="36" customHeight="1">
      <c r="A8" s="2" t="inlineStr">
        <is>
          <t>2023-09-19</t>
        </is>
      </c>
      <c r="B8" s="3">
        <f>HYPERLINK("https://dart.fss.or.kr/dsaf001/main.do?rcpNo=20230919900135", "공시열람")</f>
        <v/>
      </c>
      <c r="C8" s="4" t="inlineStr">
        <is>
          <t>라온텍</t>
        </is>
      </c>
      <c r="D8" s="2" t="inlineStr">
        <is>
          <t>코스닥</t>
        </is>
      </c>
      <c r="E8" s="2" t="inlineStr">
        <is>
          <t>418420</t>
        </is>
      </c>
      <c r="F8" s="2" t="inlineStr">
        <is>
          <t>단일판매공급계약체결</t>
        </is>
      </c>
      <c r="G8" s="4" t="inlineStr">
        <is>
          <t>단일판매ㆍ공급계약체결</t>
        </is>
      </c>
      <c r="H8" s="9" t="inlineStr">
        <is>
          <t>자동차용 마이크로디스플레이 기술 개발</t>
        </is>
      </c>
      <c r="I8" s="2" t="inlineStr">
        <is>
          <t>2023-09-08</t>
        </is>
      </c>
      <c r="J8" s="2" t="inlineStr">
        <is>
          <t>2024-09-25</t>
        </is>
      </c>
      <c r="K8" s="6" t="n">
        <v>3845400000</v>
      </c>
      <c r="L8" s="2" t="inlineStr">
        <is>
          <t>-</t>
        </is>
      </c>
      <c r="M8" s="10" t="n">
        <v>35.22</v>
      </c>
      <c r="N8" s="9" t="inlineStr">
        <is>
          <t>자동차 부품 제조업체</t>
        </is>
      </c>
      <c r="O8" s="9" t="inlineStr">
        <is>
          <t>유럽</t>
        </is>
      </c>
      <c r="P8" s="2" t="inlineStr">
        <is>
          <t>20230919900135</t>
        </is>
      </c>
    </row>
  </sheetData>
  <autoFilter ref="A1:P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22"/>
  <cols>
    <col width="12" customWidth="1" min="1" max="1"/>
    <col width="16" customWidth="1" min="2" max="2"/>
    <col hidden="1" width="10" customWidth="1" min="3" max="3"/>
    <col hidden="1" width="10" customWidth="1" min="4" max="4"/>
    <col width="12" customWidth="1" min="5" max="5"/>
    <col width="12" customWidth="1" min="6" max="6"/>
    <col width="20" customWidth="1" min="7" max="7"/>
    <col width="14" customWidth="1" min="8" max="8"/>
    <col width="14" customWidth="1" min="9" max="9"/>
    <col width="14" customWidth="1" min="10" max="10"/>
    <col width="12" customWidth="1" min="11" max="11"/>
    <col width="16" customWidth="1" min="12" max="12"/>
    <col width="16" customWidth="1" min="13" max="13"/>
    <col width="10" customWidth="1" min="14" max="14"/>
    <col width="16" customWidth="1" min="15" max="15"/>
    <col width="10" customWidth="1" min="16" max="16"/>
    <col width="18" customWidth="1" min="17" max="17"/>
    <col width="10" customWidth="1" min="18" max="18"/>
  </cols>
  <sheetData>
    <row r="1" ht="25" customHeight="1">
      <c r="A1" s="1" t="inlineStr">
        <is>
          <t>접수일자</t>
        </is>
      </c>
      <c r="B1" s="1" t="inlineStr">
        <is>
          <t>회사명</t>
        </is>
      </c>
      <c r="C1" s="1" t="inlineStr">
        <is>
          <t>종목코드</t>
        </is>
      </c>
      <c r="D1" s="1" t="inlineStr">
        <is>
          <t>보고구분</t>
        </is>
      </c>
      <c r="E1" s="1" t="inlineStr">
        <is>
          <t>거래 시작일</t>
        </is>
      </c>
      <c r="F1" s="1" t="inlineStr">
        <is>
          <t>거래 종료일</t>
        </is>
      </c>
      <c r="G1" s="1" t="inlineStr">
        <is>
          <t>보고자(주체)</t>
        </is>
      </c>
      <c r="H1" s="1" t="inlineStr">
        <is>
          <t>관계</t>
        </is>
      </c>
      <c r="I1" s="1" t="inlineStr">
        <is>
          <t>변동사유</t>
        </is>
      </c>
      <c r="J1" s="1" t="inlineStr">
        <is>
          <t>증감(주)</t>
        </is>
      </c>
      <c r="K1" s="1" t="inlineStr">
        <is>
          <t>단가(원)</t>
        </is>
      </c>
      <c r="L1" s="1" t="inlineStr">
        <is>
          <t>거래액(원)</t>
        </is>
      </c>
      <c r="M1" s="1" t="inlineStr">
        <is>
          <t>변동전 보유(주)</t>
        </is>
      </c>
      <c r="N1" s="1" t="inlineStr">
        <is>
          <t>변동전 비율(%)</t>
        </is>
      </c>
      <c r="O1" s="1" t="inlineStr">
        <is>
          <t>변동후 보유(주)</t>
        </is>
      </c>
      <c r="P1" s="1" t="inlineStr">
        <is>
          <t>보유비율(%)</t>
        </is>
      </c>
      <c r="Q1" s="1" t="inlineStr">
        <is>
          <t>접수번호</t>
        </is>
      </c>
      <c r="R1" s="1" t="inlineStr">
        <is>
          <t>DART링크</t>
        </is>
      </c>
    </row>
    <row r="2">
      <c r="A2" s="2" t="inlineStr">
        <is>
          <t>2026-09-04</t>
        </is>
      </c>
      <c r="B2" s="4" t="inlineStr">
        <is>
          <t>라온텍</t>
        </is>
      </c>
      <c r="C2" s="2" t="inlineStr">
        <is>
          <t>418420</t>
        </is>
      </c>
      <c r="D2" s="2" t="inlineStr">
        <is>
          <t>대량보유</t>
        </is>
      </c>
      <c r="E2" s="2" t="inlineStr">
        <is>
          <t>2026-08-31</t>
        </is>
      </c>
      <c r="F2" s="2" t="inlineStr">
        <is>
          <t>2026-08-31</t>
        </is>
      </c>
      <c r="G2" s="4" t="inlineStr">
        <is>
          <t>김민석</t>
        </is>
      </c>
      <c r="H2" s="4" t="inlineStr">
        <is>
          <t>특별관계자</t>
        </is>
      </c>
      <c r="I2" s="4" t="inlineStr">
        <is>
          <t>증여(-)</t>
        </is>
      </c>
      <c r="J2" s="12" t="n">
        <v>-40000</v>
      </c>
      <c r="K2" s="7" t="n">
        <v>4025</v>
      </c>
      <c r="L2" s="12" t="n">
        <v>-161000000</v>
      </c>
      <c r="M2" s="7" t="n">
        <v>8522295</v>
      </c>
      <c r="N2" s="13" t="n">
        <v>27.69</v>
      </c>
      <c r="O2" s="7" t="n">
        <v>214625</v>
      </c>
      <c r="P2" s="13" t="n">
        <v>27.56</v>
      </c>
      <c r="Q2" s="2" t="inlineStr">
        <is>
          <t>20260904000182</t>
        </is>
      </c>
      <c r="R2" s="3">
        <f>HYPERLINK("https://dart.fss.or.kr/dsaf001/main.do?rcpNo=20260904000182", "공시열람")</f>
        <v/>
      </c>
    </row>
    <row r="3">
      <c r="A3" s="2" t="inlineStr">
        <is>
          <t>2026-09-04</t>
        </is>
      </c>
      <c r="B3" s="4" t="inlineStr">
        <is>
          <t>라온텍</t>
        </is>
      </c>
      <c r="C3" s="2" t="inlineStr">
        <is>
          <t>418420</t>
        </is>
      </c>
      <c r="D3" s="2" t="inlineStr">
        <is>
          <t>임원보고</t>
        </is>
      </c>
      <c r="E3" s="2" t="inlineStr">
        <is>
          <t>2026-08-31</t>
        </is>
      </c>
      <c r="F3" s="2" t="inlineStr">
        <is>
          <t>2026-08-31</t>
        </is>
      </c>
      <c r="G3" s="4" t="inlineStr">
        <is>
          <t>이광수</t>
        </is>
      </c>
      <c r="H3" s="4" t="inlineStr">
        <is>
          <t>비등기임원 전무이사</t>
        </is>
      </c>
      <c r="I3" s="4" t="inlineStr">
        <is>
          <t>증여(-)</t>
        </is>
      </c>
      <c r="J3" s="12" t="n">
        <v>-40000</v>
      </c>
      <c r="K3" s="7" t="n">
        <v>4025</v>
      </c>
      <c r="L3" s="12" t="n">
        <v>-161000000</v>
      </c>
      <c r="M3" s="7" t="inlineStr"/>
      <c r="N3" s="14" t="inlineStr"/>
      <c r="O3" s="7" t="n">
        <v>213350</v>
      </c>
      <c r="P3" s="13" t="n">
        <v>0.6899999999999999</v>
      </c>
      <c r="Q3" s="2" t="inlineStr">
        <is>
          <t>20260904000202</t>
        </is>
      </c>
      <c r="R3" s="3">
        <f>HYPERLINK("https://dart.fss.or.kr/dsaf001/main.do?rcpNo=20260904000202", "공시열람")</f>
        <v/>
      </c>
    </row>
    <row r="4">
      <c r="A4" s="2" t="inlineStr">
        <is>
          <t>2026-08-21</t>
        </is>
      </c>
      <c r="B4" s="4" t="inlineStr">
        <is>
          <t>라온텍</t>
        </is>
      </c>
      <c r="C4" s="2" t="inlineStr">
        <is>
          <t>418420</t>
        </is>
      </c>
      <c r="D4" s="2" t="inlineStr">
        <is>
          <t>대량보유</t>
        </is>
      </c>
      <c r="E4" s="2" t="inlineStr">
        <is>
          <t>2026-08-18</t>
        </is>
      </c>
      <c r="F4" s="2" t="inlineStr">
        <is>
          <t>2026-08-18</t>
        </is>
      </c>
      <c r="G4" s="4" t="inlineStr">
        <is>
          <t>정민수</t>
        </is>
      </c>
      <c r="H4" s="4" t="inlineStr">
        <is>
          <t>특별관계자</t>
        </is>
      </c>
      <c r="I4" s="4" t="inlineStr">
        <is>
          <t>증여(-)</t>
        </is>
      </c>
      <c r="J4" s="12" t="n">
        <v>-305000</v>
      </c>
      <c r="K4" s="7" t="n">
        <v>4155</v>
      </c>
      <c r="L4" s="12" t="n">
        <v>-1267275000</v>
      </c>
      <c r="M4" s="7" t="n">
        <v>8827295</v>
      </c>
      <c r="N4" s="13" t="n">
        <v>28.68</v>
      </c>
      <c r="O4" s="7" t="n">
        <v>772500</v>
      </c>
      <c r="P4" s="13" t="n">
        <v>27.69</v>
      </c>
      <c r="Q4" s="2" t="inlineStr">
        <is>
          <t>20260821000660</t>
        </is>
      </c>
      <c r="R4" s="3">
        <f>HYPERLINK("https://dart.fss.or.kr/dsaf001/main.do?rcpNo=20260821000660", "공시열람")</f>
        <v/>
      </c>
    </row>
    <row r="5">
      <c r="A5" s="2" t="inlineStr">
        <is>
          <t>2026-07-09</t>
        </is>
      </c>
      <c r="B5" s="4" t="inlineStr">
        <is>
          <t>라온텍</t>
        </is>
      </c>
      <c r="C5" s="2" t="inlineStr">
        <is>
          <t>418420</t>
        </is>
      </c>
      <c r="D5" s="2" t="inlineStr">
        <is>
          <t>대량보유</t>
        </is>
      </c>
      <c r="E5" s="2" t="inlineStr">
        <is>
          <t>2026-07-06</t>
        </is>
      </c>
      <c r="F5" s="2" t="inlineStr">
        <is>
          <t>2026-07-06</t>
        </is>
      </c>
      <c r="G5" s="4" t="inlineStr">
        <is>
          <t>김채영</t>
        </is>
      </c>
      <c r="H5" s="4" t="inlineStr">
        <is>
          <t>특별관계자</t>
        </is>
      </c>
      <c r="I5" s="4" t="inlineStr">
        <is>
          <t>장내매수(+)</t>
        </is>
      </c>
      <c r="J5" s="15" t="n">
        <v>2688</v>
      </c>
      <c r="K5" s="7" t="n">
        <v>3785</v>
      </c>
      <c r="L5" s="15" t="n">
        <v>10174080</v>
      </c>
      <c r="M5" s="7" t="n">
        <v>8822307</v>
      </c>
      <c r="N5" s="13" t="n">
        <v>28.67</v>
      </c>
      <c r="O5" s="7" t="n">
        <v>2688</v>
      </c>
      <c r="P5" s="13" t="n">
        <v>28.68</v>
      </c>
      <c r="Q5" s="2" t="inlineStr">
        <is>
          <t>20260709000313</t>
        </is>
      </c>
      <c r="R5" s="3">
        <f>HYPERLINK("https://dart.fss.or.kr/dsaf001/main.do?rcpNo=20260709000313", "공시열람")</f>
        <v/>
      </c>
    </row>
    <row r="6">
      <c r="A6" s="2" t="inlineStr">
        <is>
          <t>2026-07-09</t>
        </is>
      </c>
      <c r="B6" s="4" t="inlineStr">
        <is>
          <t>라온텍</t>
        </is>
      </c>
      <c r="C6" s="2" t="inlineStr">
        <is>
          <t>418420</t>
        </is>
      </c>
      <c r="D6" s="2" t="inlineStr">
        <is>
          <t>대량보유</t>
        </is>
      </c>
      <c r="E6" s="2" t="inlineStr">
        <is>
          <t>2026-07-06</t>
        </is>
      </c>
      <c r="F6" s="2" t="inlineStr">
        <is>
          <t>2026-07-06</t>
        </is>
      </c>
      <c r="G6" s="4" t="inlineStr">
        <is>
          <t>김현지</t>
        </is>
      </c>
      <c r="H6" s="4" t="inlineStr">
        <is>
          <t>특별관계자</t>
        </is>
      </c>
      <c r="I6" s="4" t="inlineStr">
        <is>
          <t>장내매수(+)</t>
        </is>
      </c>
      <c r="J6" s="15" t="n">
        <v>2300</v>
      </c>
      <c r="K6" s="7" t="n">
        <v>3976</v>
      </c>
      <c r="L6" s="15" t="n">
        <v>9144800</v>
      </c>
      <c r="M6" s="7" t="n">
        <v>8822307</v>
      </c>
      <c r="N6" s="13" t="n">
        <v>28.67</v>
      </c>
      <c r="O6" s="7" t="n">
        <v>2300</v>
      </c>
      <c r="P6" s="13" t="n">
        <v>28.68</v>
      </c>
      <c r="Q6" s="2" t="inlineStr">
        <is>
          <t>20260709000313</t>
        </is>
      </c>
      <c r="R6" s="3">
        <f>HYPERLINK("https://dart.fss.or.kr/dsaf001/main.do?rcpNo=20260709000313", "공시열람")</f>
        <v/>
      </c>
    </row>
    <row r="7">
      <c r="A7" s="2" t="inlineStr">
        <is>
          <t>2026-06-15</t>
        </is>
      </c>
      <c r="B7" s="4" t="inlineStr">
        <is>
          <t>라온텍</t>
        </is>
      </c>
      <c r="C7" s="2" t="inlineStr">
        <is>
          <t>418420</t>
        </is>
      </c>
      <c r="D7" s="2" t="inlineStr">
        <is>
          <t>대량보유</t>
        </is>
      </c>
      <c r="E7" s="2" t="inlineStr">
        <is>
          <t>2026-06-11</t>
        </is>
      </c>
      <c r="F7" s="2" t="inlineStr">
        <is>
          <t>2026-06-11</t>
        </is>
      </c>
      <c r="G7" s="4" t="inlineStr">
        <is>
          <t>김민석</t>
        </is>
      </c>
      <c r="H7" s="4" t="inlineStr">
        <is>
          <t>특별관계자</t>
        </is>
      </c>
      <c r="I7" s="4" t="inlineStr">
        <is>
          <t>주식매수선택권행사(-)</t>
        </is>
      </c>
      <c r="J7" s="12" t="n">
        <v>-11625</v>
      </c>
      <c r="K7" s="7" t="n">
        <v>2400</v>
      </c>
      <c r="L7" s="12" t="n">
        <v>-27900000</v>
      </c>
      <c r="M7" s="7" t="n">
        <v>8822307</v>
      </c>
      <c r="N7" s="13" t="n">
        <v>28.74</v>
      </c>
      <c r="O7" s="7" t="n">
        <v>16375</v>
      </c>
      <c r="P7" s="13" t="n">
        <v>28.67</v>
      </c>
      <c r="Q7" s="2" t="inlineStr">
        <is>
          <t>20260615000230</t>
        </is>
      </c>
      <c r="R7" s="3">
        <f>HYPERLINK("https://dart.fss.or.kr/dsaf001/main.do?rcpNo=20260615000230", "공시열람")</f>
        <v/>
      </c>
    </row>
    <row r="8">
      <c r="A8" s="2" t="inlineStr">
        <is>
          <t>2026-06-15</t>
        </is>
      </c>
      <c r="B8" s="4" t="inlineStr">
        <is>
          <t>라온텍</t>
        </is>
      </c>
      <c r="C8" s="2" t="inlineStr">
        <is>
          <t>418420</t>
        </is>
      </c>
      <c r="D8" s="2" t="inlineStr">
        <is>
          <t>대량보유</t>
        </is>
      </c>
      <c r="E8" s="2" t="inlineStr">
        <is>
          <t>2026-06-11</t>
        </is>
      </c>
      <c r="F8" s="2" t="inlineStr">
        <is>
          <t>2026-06-11</t>
        </is>
      </c>
      <c r="G8" s="4" t="inlineStr">
        <is>
          <t>김민석</t>
        </is>
      </c>
      <c r="H8" s="4" t="inlineStr">
        <is>
          <t>특별관계자</t>
        </is>
      </c>
      <c r="I8" s="4" t="inlineStr">
        <is>
          <t>주식매수청구권 행사(+)</t>
        </is>
      </c>
      <c r="J8" s="15" t="n">
        <v>11625</v>
      </c>
      <c r="K8" s="7" t="n">
        <v>2400</v>
      </c>
      <c r="L8" s="15" t="n">
        <v>27900000</v>
      </c>
      <c r="M8" s="7" t="n">
        <v>8822307</v>
      </c>
      <c r="N8" s="13" t="n">
        <v>28.74</v>
      </c>
      <c r="O8" s="7" t="n">
        <v>254625</v>
      </c>
      <c r="P8" s="13" t="n">
        <v>28.67</v>
      </c>
      <c r="Q8" s="2" t="inlineStr">
        <is>
          <t>20260615000230</t>
        </is>
      </c>
      <c r="R8" s="3">
        <f>HYPERLINK("https://dart.fss.or.kr/dsaf001/main.do?rcpNo=20260615000230", "공시열람")</f>
        <v/>
      </c>
    </row>
    <row r="9">
      <c r="A9" s="2" t="inlineStr">
        <is>
          <t>2026-06-15</t>
        </is>
      </c>
      <c r="B9" s="4" t="inlineStr">
        <is>
          <t>라온텍</t>
        </is>
      </c>
      <c r="C9" s="2" t="inlineStr">
        <is>
          <t>418420</t>
        </is>
      </c>
      <c r="D9" s="2" t="inlineStr">
        <is>
          <t>임원보고</t>
        </is>
      </c>
      <c r="E9" s="2" t="inlineStr">
        <is>
          <t>2026-06-11</t>
        </is>
      </c>
      <c r="F9" s="2" t="inlineStr">
        <is>
          <t>2026-06-11</t>
        </is>
      </c>
      <c r="G9" s="4" t="inlineStr">
        <is>
          <t>이광수</t>
        </is>
      </c>
      <c r="H9" s="4" t="inlineStr">
        <is>
          <t>비등기임원 전무이사</t>
        </is>
      </c>
      <c r="I9" s="4" t="inlineStr">
        <is>
          <t>주식매수선택권(+)</t>
        </is>
      </c>
      <c r="J9" s="15" t="n">
        <v>17500</v>
      </c>
      <c r="K9" s="7" t="n">
        <v>5460</v>
      </c>
      <c r="L9" s="15" t="n">
        <v>95550000</v>
      </c>
      <c r="M9" s="7" t="inlineStr"/>
      <c r="N9" s="14" t="inlineStr"/>
      <c r="O9" s="7" t="n">
        <v>253350</v>
      </c>
      <c r="P9" s="13" t="n">
        <v>0.82</v>
      </c>
      <c r="Q9" s="2" t="inlineStr">
        <is>
          <t>20260615000240</t>
        </is>
      </c>
      <c r="R9" s="3">
        <f>HYPERLINK("https://dart.fss.or.kr/dsaf001/main.do?rcpNo=20260615000240", "공시열람")</f>
        <v/>
      </c>
    </row>
    <row r="10">
      <c r="A10" s="2" t="inlineStr">
        <is>
          <t>2026-06-15</t>
        </is>
      </c>
      <c r="B10" s="4" t="inlineStr">
        <is>
          <t>라온텍</t>
        </is>
      </c>
      <c r="C10" s="2" t="inlineStr">
        <is>
          <t>418420</t>
        </is>
      </c>
      <c r="D10" s="2" t="inlineStr">
        <is>
          <t>임원보고</t>
        </is>
      </c>
      <c r="E10" s="2" t="inlineStr">
        <is>
          <t>2026-06-11</t>
        </is>
      </c>
      <c r="F10" s="2" t="inlineStr">
        <is>
          <t>2026-06-11</t>
        </is>
      </c>
      <c r="G10" s="4" t="inlineStr">
        <is>
          <t>김민석</t>
        </is>
      </c>
      <c r="H10" s="4" t="inlineStr">
        <is>
          <t>등기임원 연구소장</t>
        </is>
      </c>
      <c r="I10" s="4" t="inlineStr">
        <is>
          <t>주식매수선택권(+)</t>
        </is>
      </c>
      <c r="J10" s="15" t="n">
        <v>11625</v>
      </c>
      <c r="K10" s="7" t="n">
        <v>5460</v>
      </c>
      <c r="L10" s="15" t="n">
        <v>63472500</v>
      </c>
      <c r="M10" s="7" t="inlineStr"/>
      <c r="N10" s="14" t="inlineStr"/>
      <c r="O10" s="7" t="n">
        <v>254625</v>
      </c>
      <c r="P10" s="13" t="n">
        <v>0.83</v>
      </c>
      <c r="Q10" s="2" t="inlineStr">
        <is>
          <t>20260615000249</t>
        </is>
      </c>
      <c r="R10" s="3">
        <f>HYPERLINK("https://dart.fss.or.kr/dsaf001/main.do?rcpNo=20260615000249", "공시열람")</f>
        <v/>
      </c>
    </row>
    <row r="11">
      <c r="A11" s="2" t="inlineStr">
        <is>
          <t>2026-06-15</t>
        </is>
      </c>
      <c r="B11" s="4" t="inlineStr">
        <is>
          <t>라온텍</t>
        </is>
      </c>
      <c r="C11" s="2" t="inlineStr">
        <is>
          <t>418420</t>
        </is>
      </c>
      <c r="D11" s="2" t="inlineStr">
        <is>
          <t>임원보고</t>
        </is>
      </c>
      <c r="E11" s="2" t="inlineStr">
        <is>
          <t>2026-06-11</t>
        </is>
      </c>
      <c r="F11" s="2" t="inlineStr">
        <is>
          <t>2026-06-11</t>
        </is>
      </c>
      <c r="G11" s="4" t="inlineStr">
        <is>
          <t>이정환</t>
        </is>
      </c>
      <c r="H11" s="4" t="inlineStr">
        <is>
          <t>비등기임원 상무이사</t>
        </is>
      </c>
      <c r="I11" s="4" t="inlineStr">
        <is>
          <t>주식매수선택권(+)</t>
        </is>
      </c>
      <c r="J11" s="15" t="n">
        <v>3000</v>
      </c>
      <c r="K11" s="7" t="n">
        <v>5460</v>
      </c>
      <c r="L11" s="15" t="n">
        <v>16380000</v>
      </c>
      <c r="M11" s="7" t="inlineStr"/>
      <c r="N11" s="14" t="inlineStr"/>
      <c r="O11" s="7" t="n">
        <v>62000</v>
      </c>
      <c r="P11" s="13" t="n">
        <v>0.2</v>
      </c>
      <c r="Q11" s="2" t="inlineStr">
        <is>
          <t>20260615000258</t>
        </is>
      </c>
      <c r="R11" s="3">
        <f>HYPERLINK("https://dart.fss.or.kr/dsaf001/main.do?rcpNo=20260615000258", "공시열람")</f>
        <v/>
      </c>
    </row>
    <row r="12">
      <c r="A12" s="2" t="inlineStr">
        <is>
          <t>2026-06-15</t>
        </is>
      </c>
      <c r="B12" s="4" t="inlineStr">
        <is>
          <t>라온텍</t>
        </is>
      </c>
      <c r="C12" s="2" t="inlineStr">
        <is>
          <t>418420</t>
        </is>
      </c>
      <c r="D12" s="2" t="inlineStr">
        <is>
          <t>임원보고</t>
        </is>
      </c>
      <c r="E12" s="2" t="inlineStr">
        <is>
          <t>2026-06-11</t>
        </is>
      </c>
      <c r="F12" s="2" t="inlineStr">
        <is>
          <t>2026-06-11</t>
        </is>
      </c>
      <c r="G12" s="4" t="inlineStr">
        <is>
          <t>한성준</t>
        </is>
      </c>
      <c r="H12" s="4" t="inlineStr">
        <is>
          <t>비등기임원 상무이사</t>
        </is>
      </c>
      <c r="I12" s="4" t="inlineStr">
        <is>
          <t>주식매수선택권(+)</t>
        </is>
      </c>
      <c r="J12" s="15" t="n">
        <v>10000</v>
      </c>
      <c r="K12" s="7" t="n">
        <v>5460</v>
      </c>
      <c r="L12" s="15" t="n">
        <v>54600000</v>
      </c>
      <c r="M12" s="7" t="inlineStr"/>
      <c r="N12" s="14" t="inlineStr"/>
      <c r="O12" s="7" t="n">
        <v>234801</v>
      </c>
      <c r="P12" s="13" t="n">
        <v>0.76</v>
      </c>
      <c r="Q12" s="2" t="inlineStr">
        <is>
          <t>20260615000267</t>
        </is>
      </c>
      <c r="R12" s="3">
        <f>HYPERLINK("https://dart.fss.or.kr/dsaf001/main.do?rcpNo=20260615000267", "공시열람")</f>
        <v/>
      </c>
    </row>
    <row r="13">
      <c r="A13" s="2" t="inlineStr">
        <is>
          <t>2026-05-15</t>
        </is>
      </c>
      <c r="B13" s="4" t="inlineStr">
        <is>
          <t>라온텍</t>
        </is>
      </c>
      <c r="C13" s="2" t="inlineStr">
        <is>
          <t>418420</t>
        </is>
      </c>
      <c r="D13" s="2" t="inlineStr">
        <is>
          <t>임원보고</t>
        </is>
      </c>
      <c r="E13" s="2" t="inlineStr">
        <is>
          <t>2026-05-12</t>
        </is>
      </c>
      <c r="F13" s="2" t="inlineStr">
        <is>
          <t>2026-05-12</t>
        </is>
      </c>
      <c r="G13" s="4" t="inlineStr">
        <is>
          <t>조성재</t>
        </is>
      </c>
      <c r="H13" s="4" t="inlineStr">
        <is>
          <t>비등기임원 부사장</t>
        </is>
      </c>
      <c r="I13" s="4" t="inlineStr">
        <is>
          <t>증여(-)</t>
        </is>
      </c>
      <c r="J13" s="12" t="n">
        <v>-25000</v>
      </c>
      <c r="K13" s="7" t="n">
        <v>9440</v>
      </c>
      <c r="L13" s="12" t="n">
        <v>-236000000</v>
      </c>
      <c r="M13" s="7" t="inlineStr"/>
      <c r="N13" s="14" t="inlineStr"/>
      <c r="O13" s="7" t="n">
        <v>358940</v>
      </c>
      <c r="P13" s="13" t="n">
        <v>1.17</v>
      </c>
      <c r="Q13" s="2" t="inlineStr">
        <is>
          <t>20260515002920</t>
        </is>
      </c>
      <c r="R13" s="3">
        <f>HYPERLINK("https://dart.fss.or.kr/dsaf001/main.do?rcpNo=20260515002920", "공시열람")</f>
        <v/>
      </c>
    </row>
    <row r="14">
      <c r="A14" s="2" t="inlineStr">
        <is>
          <t>2026-04-10</t>
        </is>
      </c>
      <c r="B14" s="4" t="inlineStr">
        <is>
          <t>라온텍</t>
        </is>
      </c>
      <c r="C14" s="2" t="inlineStr">
        <is>
          <t>418420</t>
        </is>
      </c>
      <c r="D14" s="2" t="inlineStr">
        <is>
          <t>임원보고</t>
        </is>
      </c>
      <c r="E14" s="2" t="inlineStr">
        <is>
          <t>2026-04-08</t>
        </is>
      </c>
      <c r="F14" s="2" t="inlineStr">
        <is>
          <t>2026-04-08</t>
        </is>
      </c>
      <c r="G14" s="4" t="inlineStr">
        <is>
          <t>김민석</t>
        </is>
      </c>
      <c r="H14" s="4" t="inlineStr">
        <is>
          <t>등기임원 연구소장</t>
        </is>
      </c>
      <c r="I14" s="4" t="inlineStr">
        <is>
          <t>주식매수선택권(+)</t>
        </is>
      </c>
      <c r="J14" s="15" t="n">
        <v>20750</v>
      </c>
      <c r="K14" s="7" t="n">
        <v>5790</v>
      </c>
      <c r="L14" s="15" t="n">
        <v>120142500</v>
      </c>
      <c r="M14" s="7" t="inlineStr"/>
      <c r="N14" s="14" t="inlineStr"/>
      <c r="O14" s="7" t="n">
        <v>243000</v>
      </c>
      <c r="P14" s="13" t="n">
        <v>0.79</v>
      </c>
      <c r="Q14" s="2" t="inlineStr">
        <is>
          <t>20260410002240</t>
        </is>
      </c>
      <c r="R14" s="3">
        <f>HYPERLINK("https://dart.fss.or.kr/dsaf001/main.do?rcpNo=20260410002240", "공시열람")</f>
        <v/>
      </c>
    </row>
    <row r="15">
      <c r="A15" s="2" t="inlineStr">
        <is>
          <t>2026-04-10</t>
        </is>
      </c>
      <c r="B15" s="4" t="inlineStr">
        <is>
          <t>라온텍</t>
        </is>
      </c>
      <c r="C15" s="2" t="inlineStr">
        <is>
          <t>418420</t>
        </is>
      </c>
      <c r="D15" s="2" t="inlineStr">
        <is>
          <t>임원보고</t>
        </is>
      </c>
      <c r="E15" s="2" t="inlineStr">
        <is>
          <t>2026-04-08</t>
        </is>
      </c>
      <c r="F15" s="2" t="inlineStr">
        <is>
          <t>2026-04-08</t>
        </is>
      </c>
      <c r="G15" s="4" t="inlineStr">
        <is>
          <t>이정환</t>
        </is>
      </c>
      <c r="H15" s="4" t="inlineStr">
        <is>
          <t>비등기임원 상무이사</t>
        </is>
      </c>
      <c r="I15" s="4" t="inlineStr">
        <is>
          <t>주식매수선택권(+)</t>
        </is>
      </c>
      <c r="J15" s="15" t="n">
        <v>12500</v>
      </c>
      <c r="K15" s="7" t="n">
        <v>5790</v>
      </c>
      <c r="L15" s="15" t="n">
        <v>72375000</v>
      </c>
      <c r="M15" s="7" t="inlineStr"/>
      <c r="N15" s="14" t="inlineStr"/>
      <c r="O15" s="7" t="n">
        <v>59000</v>
      </c>
      <c r="P15" s="13" t="n">
        <v>0.19</v>
      </c>
      <c r="Q15" s="2" t="inlineStr">
        <is>
          <t>20260410002467</t>
        </is>
      </c>
      <c r="R15" s="3">
        <f>HYPERLINK("https://dart.fss.or.kr/dsaf001/main.do?rcpNo=20260410002467", "공시열람")</f>
        <v/>
      </c>
    </row>
    <row r="16">
      <c r="A16" s="2" t="inlineStr">
        <is>
          <t>2026-04-10</t>
        </is>
      </c>
      <c r="B16" s="4" t="inlineStr">
        <is>
          <t>라온텍</t>
        </is>
      </c>
      <c r="C16" s="2" t="inlineStr">
        <is>
          <t>418420</t>
        </is>
      </c>
      <c r="D16" s="2" t="inlineStr">
        <is>
          <t>임원보고</t>
        </is>
      </c>
      <c r="E16" s="2" t="inlineStr">
        <is>
          <t>2026-04-08</t>
        </is>
      </c>
      <c r="F16" s="2" t="inlineStr">
        <is>
          <t>2026-04-08</t>
        </is>
      </c>
      <c r="G16" s="4" t="inlineStr">
        <is>
          <t>조성재</t>
        </is>
      </c>
      <c r="H16" s="4" t="inlineStr">
        <is>
          <t>비등기임원 부사장</t>
        </is>
      </c>
      <c r="I16" s="4" t="inlineStr">
        <is>
          <t>주식매수선택권(+)</t>
        </is>
      </c>
      <c r="J16" s="15" t="n">
        <v>33750</v>
      </c>
      <c r="K16" s="7" t="n">
        <v>5790</v>
      </c>
      <c r="L16" s="15" t="n">
        <v>195412500</v>
      </c>
      <c r="M16" s="7" t="inlineStr"/>
      <c r="N16" s="14" t="inlineStr"/>
      <c r="O16" s="7" t="n">
        <v>383940</v>
      </c>
      <c r="P16" s="13" t="n">
        <v>1.25</v>
      </c>
      <c r="Q16" s="2" t="inlineStr">
        <is>
          <t>20260410002300</t>
        </is>
      </c>
      <c r="R16" s="3">
        <f>HYPERLINK("https://dart.fss.or.kr/dsaf001/main.do?rcpNo=20260410002300", "공시열람")</f>
        <v/>
      </c>
    </row>
    <row r="17">
      <c r="A17" s="2" t="inlineStr">
        <is>
          <t>2026-04-10</t>
        </is>
      </c>
      <c r="B17" s="4" t="inlineStr">
        <is>
          <t>라온텍</t>
        </is>
      </c>
      <c r="C17" s="2" t="inlineStr">
        <is>
          <t>418420</t>
        </is>
      </c>
      <c r="D17" s="2" t="inlineStr">
        <is>
          <t>임원보고</t>
        </is>
      </c>
      <c r="E17" s="2" t="inlineStr">
        <is>
          <t>2026-04-08</t>
        </is>
      </c>
      <c r="F17" s="2" t="inlineStr">
        <is>
          <t>2026-04-08</t>
        </is>
      </c>
      <c r="G17" s="4" t="inlineStr">
        <is>
          <t>한성준</t>
        </is>
      </c>
      <c r="H17" s="4" t="inlineStr">
        <is>
          <t>비등기임원 상무이사</t>
        </is>
      </c>
      <c r="I17" s="4" t="inlineStr">
        <is>
          <t>주식매수선택권(+)</t>
        </is>
      </c>
      <c r="J17" s="15" t="n">
        <v>7500</v>
      </c>
      <c r="K17" s="7" t="n">
        <v>5790</v>
      </c>
      <c r="L17" s="15" t="n">
        <v>43425000</v>
      </c>
      <c r="M17" s="7" t="inlineStr"/>
      <c r="N17" s="14" t="inlineStr"/>
      <c r="O17" s="7" t="n">
        <v>224801</v>
      </c>
      <c r="P17" s="13" t="n">
        <v>0.73</v>
      </c>
      <c r="Q17" s="2" t="inlineStr">
        <is>
          <t>20260410002268</t>
        </is>
      </c>
      <c r="R17" s="3">
        <f>HYPERLINK("https://dart.fss.or.kr/dsaf001/main.do?rcpNo=20260410002268", "공시열람")</f>
        <v/>
      </c>
    </row>
    <row r="18">
      <c r="A18" s="2" t="inlineStr">
        <is>
          <t>2026-04-10</t>
        </is>
      </c>
      <c r="B18" s="4" t="inlineStr">
        <is>
          <t>라온텍</t>
        </is>
      </c>
      <c r="C18" s="2" t="inlineStr">
        <is>
          <t>418420</t>
        </is>
      </c>
      <c r="D18" s="2" t="inlineStr">
        <is>
          <t>대량보유</t>
        </is>
      </c>
      <c r="E18" s="2" t="inlineStr">
        <is>
          <t>2026-04-08</t>
        </is>
      </c>
      <c r="F18" s="2" t="inlineStr">
        <is>
          <t>2026-04-08</t>
        </is>
      </c>
      <c r="G18" s="4" t="inlineStr">
        <is>
          <t>김민석</t>
        </is>
      </c>
      <c r="H18" s="4" t="inlineStr">
        <is>
          <t>특별관계자</t>
        </is>
      </c>
      <c r="I18" s="4" t="inlineStr">
        <is>
          <t>주식매수선택권행사(+)</t>
        </is>
      </c>
      <c r="J18" s="15" t="n">
        <v>12000</v>
      </c>
      <c r="K18" s="7" t="n">
        <v>2400</v>
      </c>
      <c r="L18" s="15" t="n">
        <v>28800000</v>
      </c>
      <c r="M18" s="7" t="n">
        <v>8822307</v>
      </c>
      <c r="N18" s="13" t="n">
        <v>28.95</v>
      </c>
      <c r="O18" s="7" t="n">
        <v>243000</v>
      </c>
      <c r="P18" s="13" t="n">
        <v>28.74</v>
      </c>
      <c r="Q18" s="2" t="inlineStr">
        <is>
          <t>20260410002196</t>
        </is>
      </c>
      <c r="R18" s="3">
        <f>HYPERLINK("https://dart.fss.or.kr/dsaf001/main.do?rcpNo=20260410002196", "공시열람")</f>
        <v/>
      </c>
    </row>
    <row r="19">
      <c r="A19" s="2" t="inlineStr">
        <is>
          <t>2026-04-10</t>
        </is>
      </c>
      <c r="B19" s="4" t="inlineStr">
        <is>
          <t>라온텍</t>
        </is>
      </c>
      <c r="C19" s="2" t="inlineStr">
        <is>
          <t>418420</t>
        </is>
      </c>
      <c r="D19" s="2" t="inlineStr">
        <is>
          <t>대량보유</t>
        </is>
      </c>
      <c r="E19" s="2" t="inlineStr">
        <is>
          <t>2026-04-08</t>
        </is>
      </c>
      <c r="F19" s="2" t="inlineStr">
        <is>
          <t>2026-04-08</t>
        </is>
      </c>
      <c r="G19" s="4" t="inlineStr">
        <is>
          <t>김민석</t>
        </is>
      </c>
      <c r="H19" s="4" t="inlineStr">
        <is>
          <t>특별관계자</t>
        </is>
      </c>
      <c r="I19" s="4" t="inlineStr">
        <is>
          <t>주식매수청구권 행사(+)</t>
        </is>
      </c>
      <c r="J19" s="15" t="n">
        <v>8750</v>
      </c>
      <c r="K19" s="7" t="n">
        <v>800</v>
      </c>
      <c r="L19" s="15" t="n">
        <v>7000000</v>
      </c>
      <c r="M19" s="7" t="n">
        <v>8822307</v>
      </c>
      <c r="N19" s="13" t="n">
        <v>28.95</v>
      </c>
      <c r="O19" s="7" t="n">
        <v>231000</v>
      </c>
      <c r="P19" s="13" t="n">
        <v>28.74</v>
      </c>
      <c r="Q19" s="2" t="inlineStr">
        <is>
          <t>20260410002196</t>
        </is>
      </c>
      <c r="R19" s="3">
        <f>HYPERLINK("https://dart.fss.or.kr/dsaf001/main.do?rcpNo=20260410002196", "공시열람")</f>
        <v/>
      </c>
    </row>
    <row r="20">
      <c r="A20" s="2" t="inlineStr">
        <is>
          <t>2026-04-10</t>
        </is>
      </c>
      <c r="B20" s="4" t="inlineStr">
        <is>
          <t>라온텍</t>
        </is>
      </c>
      <c r="C20" s="2" t="inlineStr">
        <is>
          <t>418420</t>
        </is>
      </c>
      <c r="D20" s="2" t="inlineStr">
        <is>
          <t>대량보유</t>
        </is>
      </c>
      <c r="E20" s="2" t="inlineStr">
        <is>
          <t>2026-04-08</t>
        </is>
      </c>
      <c r="F20" s="2" t="inlineStr">
        <is>
          <t>2026-04-08</t>
        </is>
      </c>
      <c r="G20" s="4" t="inlineStr">
        <is>
          <t>김민석</t>
        </is>
      </c>
      <c r="H20" s="4" t="inlineStr">
        <is>
          <t>특별관계자</t>
        </is>
      </c>
      <c r="I20" s="4" t="inlineStr">
        <is>
          <t>주식매수선택권행사(-)</t>
        </is>
      </c>
      <c r="J20" s="12" t="n">
        <v>-20750</v>
      </c>
      <c r="K20" s="7" t="n">
        <v>1725</v>
      </c>
      <c r="L20" s="12" t="n">
        <v>-35793750</v>
      </c>
      <c r="M20" s="7" t="n">
        <v>8822307</v>
      </c>
      <c r="N20" s="13" t="n">
        <v>28.95</v>
      </c>
      <c r="O20" s="7" t="n">
        <v>28000</v>
      </c>
      <c r="P20" s="13" t="n">
        <v>28.74</v>
      </c>
      <c r="Q20" s="2" t="inlineStr">
        <is>
          <t>20260410002196</t>
        </is>
      </c>
      <c r="R20" s="3">
        <f>HYPERLINK("https://dart.fss.or.kr/dsaf001/main.do?rcpNo=20260410002196", "공시열람")</f>
        <v/>
      </c>
    </row>
    <row r="21">
      <c r="A21" s="2" t="inlineStr">
        <is>
          <t>2026-03-30</t>
        </is>
      </c>
      <c r="B21" s="4" t="inlineStr">
        <is>
          <t>라온텍</t>
        </is>
      </c>
      <c r="C21" s="2" t="inlineStr">
        <is>
          <t>418420</t>
        </is>
      </c>
      <c r="D21" s="2" t="inlineStr">
        <is>
          <t>대량보유</t>
        </is>
      </c>
      <c r="E21" s="2" t="inlineStr"/>
      <c r="F21" s="2" t="inlineStr"/>
      <c r="G21" s="4" t="inlineStr">
        <is>
          <t>김보은</t>
        </is>
      </c>
      <c r="H21" s="4" t="inlineStr">
        <is>
          <t>최대주주</t>
        </is>
      </c>
      <c r="I21" s="4" t="inlineStr">
        <is>
          <t>주식담보대출</t>
        </is>
      </c>
      <c r="J21" s="7" t="inlineStr"/>
      <c r="K21" s="7" t="inlineStr"/>
      <c r="L21" s="7" t="inlineStr"/>
      <c r="M21" s="7" t="n">
        <v>8822307</v>
      </c>
      <c r="N21" s="13" t="n">
        <v>28.95</v>
      </c>
      <c r="O21" s="7" t="inlineStr"/>
      <c r="P21" s="13" t="n">
        <v>28.95</v>
      </c>
      <c r="Q21" s="2" t="inlineStr">
        <is>
          <t>20260330001792</t>
        </is>
      </c>
      <c r="R21" s="3">
        <f>HYPERLINK("https://dart.fss.or.kr/dsaf001/main.do?rcpNo=20260330001792", "공시열람")</f>
        <v/>
      </c>
    </row>
    <row r="22">
      <c r="A22" s="2" t="inlineStr">
        <is>
          <t>2026-02-06</t>
        </is>
      </c>
      <c r="B22" s="4" t="inlineStr">
        <is>
          <t>라온텍</t>
        </is>
      </c>
      <c r="C22" s="2" t="inlineStr">
        <is>
          <t>418420</t>
        </is>
      </c>
      <c r="D22" s="2" t="inlineStr">
        <is>
          <t>대량보유</t>
        </is>
      </c>
      <c r="E22" s="2" t="inlineStr">
        <is>
          <t>2026-02-04</t>
        </is>
      </c>
      <c r="F22" s="2" t="inlineStr">
        <is>
          <t>2026-02-05</t>
        </is>
      </c>
      <c r="G22" s="4" t="inlineStr">
        <is>
          <t>정민수</t>
        </is>
      </c>
      <c r="H22" s="4" t="inlineStr">
        <is>
          <t>특별관계자</t>
        </is>
      </c>
      <c r="I22" s="4" t="inlineStr">
        <is>
          <t>장내매도(-)</t>
        </is>
      </c>
      <c r="J22" s="12" t="n">
        <v>-72950</v>
      </c>
      <c r="K22" s="7" t="n">
        <v>6032</v>
      </c>
      <c r="L22" s="12" t="n">
        <v>-440034400</v>
      </c>
      <c r="M22" s="7" t="n">
        <v>8895257</v>
      </c>
      <c r="N22" s="13" t="n">
        <v>29.19</v>
      </c>
      <c r="O22" s="7" t="n">
        <v>1077500</v>
      </c>
      <c r="P22" s="13" t="n">
        <v>28.95</v>
      </c>
      <c r="Q22" s="2" t="inlineStr">
        <is>
          <t>20260206002095</t>
        </is>
      </c>
      <c r="R22" s="3">
        <f>HYPERLINK("https://dart.fss.or.kr/dsaf001/main.do?rcpNo=20260206002095", "공시열람")</f>
        <v/>
      </c>
    </row>
    <row r="23">
      <c r="A23" s="2" t="inlineStr">
        <is>
          <t>2026-02-06</t>
        </is>
      </c>
      <c r="B23" s="4" t="inlineStr">
        <is>
          <t>라온텍</t>
        </is>
      </c>
      <c r="C23" s="2" t="inlineStr">
        <is>
          <t>418420</t>
        </is>
      </c>
      <c r="D23" s="2" t="inlineStr">
        <is>
          <t>임원보고</t>
        </is>
      </c>
      <c r="E23" s="2" t="inlineStr">
        <is>
          <t>2026-02-06</t>
        </is>
      </c>
      <c r="F23" s="2" t="inlineStr">
        <is>
          <t>2026-02-06</t>
        </is>
      </c>
      <c r="G23" s="4" t="inlineStr">
        <is>
          <t>조성재</t>
        </is>
      </c>
      <c r="H23" s="4" t="inlineStr">
        <is>
          <t>비등기임원 부사장</t>
        </is>
      </c>
      <c r="I23" s="4" t="inlineStr">
        <is>
          <t>증여(-)</t>
        </is>
      </c>
      <c r="J23" s="12" t="n">
        <v>-35000</v>
      </c>
      <c r="K23" s="7" t="n">
        <v>5840</v>
      </c>
      <c r="L23" s="12" t="n">
        <v>-204400000</v>
      </c>
      <c r="M23" s="7" t="inlineStr"/>
      <c r="N23" s="14" t="inlineStr"/>
      <c r="O23" s="7" t="n">
        <v>350190</v>
      </c>
      <c r="P23" s="13" t="n">
        <v>1.15</v>
      </c>
      <c r="Q23" s="2" t="inlineStr">
        <is>
          <t>20260206002115</t>
        </is>
      </c>
      <c r="R23" s="3">
        <f>HYPERLINK("https://dart.fss.or.kr/dsaf001/main.do?rcpNo=20260206002115", "공시열람")</f>
        <v/>
      </c>
    </row>
    <row r="24">
      <c r="A24" s="2" t="inlineStr">
        <is>
          <t>2025-12-08</t>
        </is>
      </c>
      <c r="B24" s="4" t="inlineStr">
        <is>
          <t>라온텍</t>
        </is>
      </c>
      <c r="C24" s="2" t="inlineStr">
        <is>
          <t>418420</t>
        </is>
      </c>
      <c r="D24" s="2" t="inlineStr">
        <is>
          <t>임원보고</t>
        </is>
      </c>
      <c r="E24" s="2" t="inlineStr">
        <is>
          <t>2025-12-03</t>
        </is>
      </c>
      <c r="F24" s="2" t="inlineStr">
        <is>
          <t>2025-12-03</t>
        </is>
      </c>
      <c r="G24" s="4" t="inlineStr">
        <is>
          <t>이광수</t>
        </is>
      </c>
      <c r="H24" s="4" t="inlineStr">
        <is>
          <t>비등기임원 전무이사</t>
        </is>
      </c>
      <c r="I24" s="4" t="inlineStr">
        <is>
          <t>장내매수(+)</t>
        </is>
      </c>
      <c r="J24" s="15" t="n">
        <v>1106</v>
      </c>
      <c r="K24" s="7" t="n">
        <v>4930</v>
      </c>
      <c r="L24" s="15" t="n">
        <v>5452580</v>
      </c>
      <c r="M24" s="7" t="inlineStr"/>
      <c r="N24" s="14" t="inlineStr"/>
      <c r="O24" s="7" t="n">
        <v>235850</v>
      </c>
      <c r="P24" s="13" t="n">
        <v>0.77</v>
      </c>
      <c r="Q24" s="2" t="inlineStr">
        <is>
          <t>20251208000061</t>
        </is>
      </c>
      <c r="R24" s="3">
        <f>HYPERLINK("https://dart.fss.or.kr/dsaf001/main.do?rcpNo=20251208000061", "공시열람")</f>
        <v/>
      </c>
    </row>
    <row r="25">
      <c r="A25" s="2" t="inlineStr">
        <is>
          <t>2025-12-03</t>
        </is>
      </c>
      <c r="B25" s="4" t="inlineStr">
        <is>
          <t>라온텍</t>
        </is>
      </c>
      <c r="C25" s="2" t="inlineStr">
        <is>
          <t>418420</t>
        </is>
      </c>
      <c r="D25" s="2" t="inlineStr">
        <is>
          <t>임원보고</t>
        </is>
      </c>
      <c r="E25" s="2" t="inlineStr">
        <is>
          <t>2025-11-27</t>
        </is>
      </c>
      <c r="F25" s="2" t="inlineStr">
        <is>
          <t>2025-11-27</t>
        </is>
      </c>
      <c r="G25" s="4" t="inlineStr">
        <is>
          <t>정민수</t>
        </is>
      </c>
      <c r="H25" s="4" t="inlineStr">
        <is>
          <t>등기임원 연구소장</t>
        </is>
      </c>
      <c r="I25" s="4" t="inlineStr">
        <is>
          <t>주식매수선택권(+)</t>
        </is>
      </c>
      <c r="J25" s="15" t="n">
        <v>17500</v>
      </c>
      <c r="K25" s="7" t="n">
        <v>4115</v>
      </c>
      <c r="L25" s="15" t="n">
        <v>72012500</v>
      </c>
      <c r="M25" s="7" t="inlineStr"/>
      <c r="N25" s="14" t="inlineStr"/>
      <c r="O25" s="7" t="n">
        <v>1150450</v>
      </c>
      <c r="P25" s="13" t="n">
        <v>3.78</v>
      </c>
      <c r="Q25" s="2" t="inlineStr">
        <is>
          <t>20251203000335</t>
        </is>
      </c>
      <c r="R25" s="3">
        <f>HYPERLINK("https://dart.fss.or.kr/dsaf001/main.do?rcpNo=20251203000335", "공시열람")</f>
        <v/>
      </c>
    </row>
    <row r="26">
      <c r="A26" s="2" t="inlineStr">
        <is>
          <t>2025-12-03</t>
        </is>
      </c>
      <c r="B26" s="4" t="inlineStr">
        <is>
          <t>라온텍</t>
        </is>
      </c>
      <c r="C26" s="2" t="inlineStr">
        <is>
          <t>418420</t>
        </is>
      </c>
      <c r="D26" s="2" t="inlineStr">
        <is>
          <t>임원보고</t>
        </is>
      </c>
      <c r="E26" s="2" t="inlineStr">
        <is>
          <t>2025-11-27</t>
        </is>
      </c>
      <c r="F26" s="2" t="inlineStr">
        <is>
          <t>2025-11-27</t>
        </is>
      </c>
      <c r="G26" s="4" t="inlineStr">
        <is>
          <t>조성재</t>
        </is>
      </c>
      <c r="H26" s="4" t="inlineStr">
        <is>
          <t>비등기임원 전무이사</t>
        </is>
      </c>
      <c r="I26" s="4" t="inlineStr">
        <is>
          <t>주식매수선택권(+)</t>
        </is>
      </c>
      <c r="J26" s="15" t="n">
        <v>8750</v>
      </c>
      <c r="K26" s="7" t="n">
        <v>4115</v>
      </c>
      <c r="L26" s="15" t="n">
        <v>36006250</v>
      </c>
      <c r="M26" s="7" t="inlineStr"/>
      <c r="N26" s="14" t="inlineStr"/>
      <c r="O26" s="7" t="n">
        <v>385190</v>
      </c>
      <c r="P26" s="13" t="n">
        <v>1.26</v>
      </c>
      <c r="Q26" s="2" t="inlineStr">
        <is>
          <t>20251203000353</t>
        </is>
      </c>
      <c r="R26" s="3">
        <f>HYPERLINK("https://dart.fss.or.kr/dsaf001/main.do?rcpNo=20251203000353", "공시열람")</f>
        <v/>
      </c>
    </row>
    <row r="27">
      <c r="A27" s="2" t="inlineStr">
        <is>
          <t>2025-12-03</t>
        </is>
      </c>
      <c r="B27" s="4" t="inlineStr">
        <is>
          <t>라온텍</t>
        </is>
      </c>
      <c r="C27" s="2" t="inlineStr">
        <is>
          <t>418420</t>
        </is>
      </c>
      <c r="D27" s="2" t="inlineStr">
        <is>
          <t>임원보고</t>
        </is>
      </c>
      <c r="E27" s="2" t="inlineStr">
        <is>
          <t>2025-11-27</t>
        </is>
      </c>
      <c r="F27" s="2" t="inlineStr">
        <is>
          <t>2025-11-27</t>
        </is>
      </c>
      <c r="G27" s="4" t="inlineStr">
        <is>
          <t>이광수</t>
        </is>
      </c>
      <c r="H27" s="4" t="inlineStr">
        <is>
          <t>비등기임원 전무이사</t>
        </is>
      </c>
      <c r="I27" s="4" t="inlineStr">
        <is>
          <t>주식매수선택권(+)</t>
        </is>
      </c>
      <c r="J27" s="15" t="n">
        <v>8750</v>
      </c>
      <c r="K27" s="7" t="n">
        <v>4115</v>
      </c>
      <c r="L27" s="15" t="n">
        <v>36006250</v>
      </c>
      <c r="M27" s="7" t="inlineStr"/>
      <c r="N27" s="14" t="inlineStr"/>
      <c r="O27" s="7" t="n">
        <v>234744</v>
      </c>
      <c r="P27" s="13" t="n">
        <v>0.77</v>
      </c>
      <c r="Q27" s="2" t="inlineStr">
        <is>
          <t>20251203000349</t>
        </is>
      </c>
      <c r="R27" s="3">
        <f>HYPERLINK("https://dart.fss.or.kr/dsaf001/main.do?rcpNo=20251203000349", "공시열람")</f>
        <v/>
      </c>
    </row>
    <row r="28">
      <c r="A28" s="2" t="inlineStr">
        <is>
          <t>2025-12-03</t>
        </is>
      </c>
      <c r="B28" s="4" t="inlineStr">
        <is>
          <t>라온텍</t>
        </is>
      </c>
      <c r="C28" s="2" t="inlineStr">
        <is>
          <t>418420</t>
        </is>
      </c>
      <c r="D28" s="2" t="inlineStr">
        <is>
          <t>임원보고</t>
        </is>
      </c>
      <c r="E28" s="2" t="inlineStr">
        <is>
          <t>2025-11-27</t>
        </is>
      </c>
      <c r="F28" s="2" t="inlineStr">
        <is>
          <t>2025-11-27</t>
        </is>
      </c>
      <c r="G28" s="4" t="inlineStr">
        <is>
          <t>한성준</t>
        </is>
      </c>
      <c r="H28" s="4" t="inlineStr">
        <is>
          <t>비등기임원 상무이사</t>
        </is>
      </c>
      <c r="I28" s="4" t="inlineStr">
        <is>
          <t>주식매수선택권(+)</t>
        </is>
      </c>
      <c r="J28" s="15" t="n">
        <v>15000</v>
      </c>
      <c r="K28" s="7" t="n">
        <v>4115</v>
      </c>
      <c r="L28" s="15" t="n">
        <v>61725000</v>
      </c>
      <c r="M28" s="7" t="inlineStr"/>
      <c r="N28" s="14" t="inlineStr"/>
      <c r="O28" s="7" t="n">
        <v>217301</v>
      </c>
      <c r="P28" s="13" t="n">
        <v>0.71</v>
      </c>
      <c r="Q28" s="2" t="inlineStr">
        <is>
          <t>20251203000347</t>
        </is>
      </c>
      <c r="R28" s="3">
        <f>HYPERLINK("https://dart.fss.or.kr/dsaf001/main.do?rcpNo=20251203000347", "공시열람")</f>
        <v/>
      </c>
    </row>
    <row r="29">
      <c r="A29" s="2" t="inlineStr">
        <is>
          <t>2025-12-03</t>
        </is>
      </c>
      <c r="B29" s="4" t="inlineStr">
        <is>
          <t>라온텍</t>
        </is>
      </c>
      <c r="C29" s="2" t="inlineStr">
        <is>
          <t>418420</t>
        </is>
      </c>
      <c r="D29" s="2" t="inlineStr">
        <is>
          <t>임원보고</t>
        </is>
      </c>
      <c r="E29" s="2" t="inlineStr">
        <is>
          <t>2025-11-27</t>
        </is>
      </c>
      <c r="F29" s="2" t="inlineStr">
        <is>
          <t>2025-11-27</t>
        </is>
      </c>
      <c r="G29" s="4" t="inlineStr">
        <is>
          <t>김민석</t>
        </is>
      </c>
      <c r="H29" s="4" t="inlineStr">
        <is>
          <t>등기임원 연구소장</t>
        </is>
      </c>
      <c r="I29" s="4" t="inlineStr">
        <is>
          <t>주식매수선택권(+)</t>
        </is>
      </c>
      <c r="J29" s="15" t="n">
        <v>13250</v>
      </c>
      <c r="K29" s="7" t="n">
        <v>4115</v>
      </c>
      <c r="L29" s="15" t="n">
        <v>54523750</v>
      </c>
      <c r="M29" s="7" t="inlineStr"/>
      <c r="N29" s="14" t="inlineStr"/>
      <c r="O29" s="7" t="n">
        <v>222250</v>
      </c>
      <c r="P29" s="13" t="n">
        <v>0.73</v>
      </c>
      <c r="Q29" s="2" t="inlineStr">
        <is>
          <t>20251203000342</t>
        </is>
      </c>
      <c r="R29" s="3">
        <f>HYPERLINK("https://dart.fss.or.kr/dsaf001/main.do?rcpNo=20251203000342", "공시열람")</f>
        <v/>
      </c>
    </row>
    <row r="30">
      <c r="A30" s="2" t="inlineStr">
        <is>
          <t>2025-12-03</t>
        </is>
      </c>
      <c r="B30" s="4" t="inlineStr">
        <is>
          <t>라온텍</t>
        </is>
      </c>
      <c r="C30" s="2" t="inlineStr">
        <is>
          <t>418420</t>
        </is>
      </c>
      <c r="D30" s="2" t="inlineStr">
        <is>
          <t>대량보유</t>
        </is>
      </c>
      <c r="E30" s="2" t="inlineStr">
        <is>
          <t>2025-11-27</t>
        </is>
      </c>
      <c r="F30" s="2" t="inlineStr">
        <is>
          <t>2025-11-27</t>
        </is>
      </c>
      <c r="G30" s="4" t="inlineStr">
        <is>
          <t>김민석</t>
        </is>
      </c>
      <c r="H30" s="4" t="inlineStr">
        <is>
          <t>특별관계자</t>
        </is>
      </c>
      <c r="I30" s="4" t="inlineStr">
        <is>
          <t>주식매수선택권행사(+)</t>
        </is>
      </c>
      <c r="J30" s="15" t="n">
        <v>13250</v>
      </c>
      <c r="K30" s="7" t="n">
        <v>2400</v>
      </c>
      <c r="L30" s="15" t="n">
        <v>31800000</v>
      </c>
      <c r="M30" s="7" t="n">
        <v>8895257</v>
      </c>
      <c r="N30" s="13" t="n">
        <v>29.32</v>
      </c>
      <c r="O30" s="7" t="n">
        <v>222250</v>
      </c>
      <c r="P30" s="13" t="n">
        <v>29.19</v>
      </c>
      <c r="Q30" s="2" t="inlineStr">
        <is>
          <t>20251203000326</t>
        </is>
      </c>
      <c r="R30" s="3">
        <f>HYPERLINK("https://dart.fss.or.kr/dsaf001/main.do?rcpNo=20251203000326", "공시열람")</f>
        <v/>
      </c>
    </row>
    <row r="31">
      <c r="A31" s="2" t="inlineStr">
        <is>
          <t>2025-12-03</t>
        </is>
      </c>
      <c r="B31" s="4" t="inlineStr">
        <is>
          <t>라온텍</t>
        </is>
      </c>
      <c r="C31" s="2" t="inlineStr">
        <is>
          <t>418420</t>
        </is>
      </c>
      <c r="D31" s="2" t="inlineStr">
        <is>
          <t>대량보유</t>
        </is>
      </c>
      <c r="E31" s="2" t="inlineStr">
        <is>
          <t>2025-11-27</t>
        </is>
      </c>
      <c r="F31" s="2" t="inlineStr">
        <is>
          <t>2025-11-27</t>
        </is>
      </c>
      <c r="G31" s="4" t="inlineStr">
        <is>
          <t>정민수</t>
        </is>
      </c>
      <c r="H31" s="4" t="inlineStr">
        <is>
          <t>특별관계자</t>
        </is>
      </c>
      <c r="I31" s="4" t="inlineStr">
        <is>
          <t>주식매수선택권행사(+)</t>
        </is>
      </c>
      <c r="J31" s="15" t="n">
        <v>17500</v>
      </c>
      <c r="K31" s="7" t="n">
        <v>800</v>
      </c>
      <c r="L31" s="15" t="n">
        <v>14000000</v>
      </c>
      <c r="M31" s="7" t="n">
        <v>8895257</v>
      </c>
      <c r="N31" s="13" t="n">
        <v>29.32</v>
      </c>
      <c r="O31" s="7" t="n">
        <v>1150450</v>
      </c>
      <c r="P31" s="13" t="n">
        <v>29.19</v>
      </c>
      <c r="Q31" s="2" t="inlineStr">
        <is>
          <t>20251203000326</t>
        </is>
      </c>
      <c r="R31" s="3">
        <f>HYPERLINK("https://dart.fss.or.kr/dsaf001/main.do?rcpNo=20251203000326", "공시열람")</f>
        <v/>
      </c>
    </row>
    <row r="32">
      <c r="A32" s="2" t="inlineStr">
        <is>
          <t>2025-12-03</t>
        </is>
      </c>
      <c r="B32" s="4" t="inlineStr">
        <is>
          <t>라온텍</t>
        </is>
      </c>
      <c r="C32" s="2" t="inlineStr">
        <is>
          <t>418420</t>
        </is>
      </c>
      <c r="D32" s="2" t="inlineStr">
        <is>
          <t>대량보유</t>
        </is>
      </c>
      <c r="E32" s="2" t="inlineStr">
        <is>
          <t>2025-11-27</t>
        </is>
      </c>
      <c r="F32" s="2" t="inlineStr">
        <is>
          <t>2025-11-27</t>
        </is>
      </c>
      <c r="G32" s="4" t="inlineStr">
        <is>
          <t>김민석</t>
        </is>
      </c>
      <c r="H32" s="4" t="inlineStr">
        <is>
          <t>특별관계자</t>
        </is>
      </c>
      <c r="I32" s="4" t="inlineStr">
        <is>
          <t>주식매수선택권행사(-)</t>
        </is>
      </c>
      <c r="J32" s="12" t="n">
        <v>-13250</v>
      </c>
      <c r="K32" s="7" t="n">
        <v>4115</v>
      </c>
      <c r="L32" s="12" t="n">
        <v>-54523750</v>
      </c>
      <c r="M32" s="7" t="n">
        <v>8895257</v>
      </c>
      <c r="N32" s="13" t="n">
        <v>29.32</v>
      </c>
      <c r="O32" s="7" t="n">
        <v>48750</v>
      </c>
      <c r="P32" s="13" t="n">
        <v>29.19</v>
      </c>
      <c r="Q32" s="2" t="inlineStr">
        <is>
          <t>20251203000326</t>
        </is>
      </c>
      <c r="R32" s="3">
        <f>HYPERLINK("https://dart.fss.or.kr/dsaf001/main.do?rcpNo=20251203000326", "공시열람")</f>
        <v/>
      </c>
    </row>
    <row r="33">
      <c r="A33" s="2" t="inlineStr">
        <is>
          <t>2025-12-03</t>
        </is>
      </c>
      <c r="B33" s="4" t="inlineStr">
        <is>
          <t>라온텍</t>
        </is>
      </c>
      <c r="C33" s="2" t="inlineStr">
        <is>
          <t>418420</t>
        </is>
      </c>
      <c r="D33" s="2" t="inlineStr">
        <is>
          <t>대량보유</t>
        </is>
      </c>
      <c r="E33" s="2" t="inlineStr">
        <is>
          <t>2025-11-27</t>
        </is>
      </c>
      <c r="F33" s="2" t="inlineStr">
        <is>
          <t>2025-11-27</t>
        </is>
      </c>
      <c r="G33" s="4" t="inlineStr">
        <is>
          <t>정민수</t>
        </is>
      </c>
      <c r="H33" s="4" t="inlineStr">
        <is>
          <t>특별관계자</t>
        </is>
      </c>
      <c r="I33" s="4" t="inlineStr">
        <is>
          <t>주식매수선택권행사(-)</t>
        </is>
      </c>
      <c r="J33" s="12" t="n">
        <v>-17500</v>
      </c>
      <c r="K33" s="7" t="n">
        <v>4115</v>
      </c>
      <c r="L33" s="12" t="n">
        <v>-72012500</v>
      </c>
      <c r="M33" s="7" t="n">
        <v>8895257</v>
      </c>
      <c r="N33" s="13" t="n">
        <v>29.32</v>
      </c>
      <c r="O33" s="7" t="n">
        <v>75750</v>
      </c>
      <c r="P33" s="13" t="n">
        <v>29.19</v>
      </c>
      <c r="Q33" s="2" t="inlineStr">
        <is>
          <t>20251203000326</t>
        </is>
      </c>
      <c r="R33" s="3">
        <f>HYPERLINK("https://dart.fss.or.kr/dsaf001/main.do?rcpNo=20251203000326", "공시열람")</f>
        <v/>
      </c>
    </row>
    <row r="34">
      <c r="A34" s="2" t="inlineStr">
        <is>
          <t>2025-10-17</t>
        </is>
      </c>
      <c r="B34" s="4" t="inlineStr">
        <is>
          <t>라온텍</t>
        </is>
      </c>
      <c r="C34" s="2" t="inlineStr">
        <is>
          <t>418420</t>
        </is>
      </c>
      <c r="D34" s="2" t="inlineStr">
        <is>
          <t>임원보고</t>
        </is>
      </c>
      <c r="E34" s="2" t="inlineStr">
        <is>
          <t>2025-10-15</t>
        </is>
      </c>
      <c r="F34" s="2" t="inlineStr">
        <is>
          <t>2025-10-15</t>
        </is>
      </c>
      <c r="G34" s="4" t="inlineStr">
        <is>
          <t>한성준</t>
        </is>
      </c>
      <c r="H34" s="4" t="inlineStr">
        <is>
          <t>비등기임원 상무이사</t>
        </is>
      </c>
      <c r="I34" s="4" t="inlineStr">
        <is>
          <t>증여(-)</t>
        </is>
      </c>
      <c r="J34" s="12" t="n">
        <v>-100000</v>
      </c>
      <c r="K34" s="7" t="n">
        <v>4990</v>
      </c>
      <c r="L34" s="12" t="n">
        <v>-499000000</v>
      </c>
      <c r="M34" s="7" t="inlineStr"/>
      <c r="N34" s="14" t="inlineStr"/>
      <c r="O34" s="7" t="n">
        <v>202301</v>
      </c>
      <c r="P34" s="13" t="n">
        <v>0.67</v>
      </c>
      <c r="Q34" s="2" t="inlineStr">
        <is>
          <t>20251017000488</t>
        </is>
      </c>
      <c r="R34" s="3">
        <f>HYPERLINK("https://dart.fss.or.kr/dsaf001/main.do?rcpNo=20251017000488", "공시열람")</f>
        <v/>
      </c>
    </row>
    <row r="35">
      <c r="A35" s="2" t="inlineStr">
        <is>
          <t>2025-10-02</t>
        </is>
      </c>
      <c r="B35" s="4" t="inlineStr">
        <is>
          <t>라온텍</t>
        </is>
      </c>
      <c r="C35" s="2" t="inlineStr">
        <is>
          <t>418420</t>
        </is>
      </c>
      <c r="D35" s="2" t="inlineStr">
        <is>
          <t>임원보고</t>
        </is>
      </c>
      <c r="E35" s="2" t="inlineStr">
        <is>
          <t>2025-09-29</t>
        </is>
      </c>
      <c r="F35" s="2" t="inlineStr">
        <is>
          <t>2025-09-29</t>
        </is>
      </c>
      <c r="G35" s="4" t="inlineStr">
        <is>
          <t>이광수</t>
        </is>
      </c>
      <c r="H35" s="4" t="inlineStr">
        <is>
          <t>비등기임원 전무이사</t>
        </is>
      </c>
      <c r="I35" s="4" t="inlineStr">
        <is>
          <t>증여(-)</t>
        </is>
      </c>
      <c r="J35" s="12" t="n">
        <v>-100000</v>
      </c>
      <c r="K35" s="7" t="n">
        <v>4810</v>
      </c>
      <c r="L35" s="12" t="n">
        <v>-481000000</v>
      </c>
      <c r="M35" s="7" t="inlineStr"/>
      <c r="N35" s="14" t="inlineStr"/>
      <c r="O35" s="7" t="n">
        <v>225994</v>
      </c>
      <c r="P35" s="13" t="n">
        <v>0.74</v>
      </c>
      <c r="Q35" s="2" t="inlineStr">
        <is>
          <t>20251002000575</t>
        </is>
      </c>
      <c r="R35" s="3">
        <f>HYPERLINK("https://dart.fss.or.kr/dsaf001/main.do?rcpNo=20251002000575", "공시열람")</f>
        <v/>
      </c>
    </row>
    <row r="36">
      <c r="A36" s="2" t="inlineStr">
        <is>
          <t>2025-10-02</t>
        </is>
      </c>
      <c r="B36" s="4" t="inlineStr">
        <is>
          <t>라온텍</t>
        </is>
      </c>
      <c r="C36" s="2" t="inlineStr">
        <is>
          <t>418420</t>
        </is>
      </c>
      <c r="D36" s="2" t="inlineStr">
        <is>
          <t>대량보유</t>
        </is>
      </c>
      <c r="E36" s="2" t="inlineStr">
        <is>
          <t>2025-09-29</t>
        </is>
      </c>
      <c r="F36" s="2" t="inlineStr">
        <is>
          <t>2025-09-29</t>
        </is>
      </c>
      <c r="G36" s="4" t="inlineStr">
        <is>
          <t>김민석</t>
        </is>
      </c>
      <c r="H36" s="4" t="inlineStr">
        <is>
          <t>특별관계자</t>
        </is>
      </c>
      <c r="I36" s="4" t="inlineStr">
        <is>
          <t>증여(-)</t>
        </is>
      </c>
      <c r="J36" s="12" t="n">
        <v>-93500</v>
      </c>
      <c r="K36" s="7" t="n">
        <v>4810</v>
      </c>
      <c r="L36" s="12" t="n">
        <v>-449735000</v>
      </c>
      <c r="M36" s="7" t="n">
        <v>8988757</v>
      </c>
      <c r="N36" s="13" t="n">
        <v>29.63</v>
      </c>
      <c r="O36" s="7" t="n">
        <v>209000</v>
      </c>
      <c r="P36" s="13" t="n">
        <v>29.32</v>
      </c>
      <c r="Q36" s="2" t="inlineStr">
        <is>
          <t>20251002000588</t>
        </is>
      </c>
      <c r="R36" s="3">
        <f>HYPERLINK("https://dart.fss.or.kr/dsaf001/main.do?rcpNo=20251002000588", "공시열람")</f>
        <v/>
      </c>
    </row>
    <row r="37">
      <c r="A37" s="2" t="inlineStr">
        <is>
          <t>2025-08-26</t>
        </is>
      </c>
      <c r="B37" s="4" t="inlineStr">
        <is>
          <t>라온텍</t>
        </is>
      </c>
      <c r="C37" s="2" t="inlineStr">
        <is>
          <t>418420</t>
        </is>
      </c>
      <c r="D37" s="2" t="inlineStr">
        <is>
          <t>대량보유</t>
        </is>
      </c>
      <c r="E37" s="2" t="inlineStr">
        <is>
          <t>2025-08-20</t>
        </is>
      </c>
      <c r="F37" s="2" t="inlineStr">
        <is>
          <t>2025-08-20</t>
        </is>
      </c>
      <c r="G37" s="4" t="inlineStr">
        <is>
          <t>2024대신-킹고GrowthCapital신기술투자조합</t>
        </is>
      </c>
      <c r="H37" s="4" t="inlineStr">
        <is>
          <t>특별관계자</t>
        </is>
      </c>
      <c r="I37" s="4" t="inlineStr">
        <is>
          <t>CB인수(+)</t>
        </is>
      </c>
      <c r="J37" s="15" t="n">
        <v>326131</v>
      </c>
      <c r="K37" s="7" t="n">
        <v>4906</v>
      </c>
      <c r="L37" s="15" t="n">
        <v>1599998686</v>
      </c>
      <c r="M37" s="7" t="inlineStr"/>
      <c r="N37" s="14" t="inlineStr"/>
      <c r="O37" s="7" t="n">
        <v>326131</v>
      </c>
      <c r="P37" s="13" t="n">
        <v>5.25</v>
      </c>
      <c r="Q37" s="2" t="inlineStr">
        <is>
          <t>20250826000386</t>
        </is>
      </c>
      <c r="R37" s="3">
        <f>HYPERLINK("https://dart.fss.or.kr/dsaf001/main.do?rcpNo=20250826000386", "공시열람")</f>
        <v/>
      </c>
    </row>
    <row r="38">
      <c r="A38" s="2" t="inlineStr">
        <is>
          <t>2025-08-26</t>
        </is>
      </c>
      <c r="B38" s="4" t="inlineStr">
        <is>
          <t>라온텍</t>
        </is>
      </c>
      <c r="C38" s="2" t="inlineStr">
        <is>
          <t>418420</t>
        </is>
      </c>
      <c r="D38" s="2" t="inlineStr">
        <is>
          <t>대량보유</t>
        </is>
      </c>
      <c r="E38" s="2" t="inlineStr">
        <is>
          <t>2025-08-20</t>
        </is>
      </c>
      <c r="F38" s="2" t="inlineStr">
        <is>
          <t>2025-08-20</t>
        </is>
      </c>
      <c r="G38" s="4" t="inlineStr">
        <is>
          <t>대신-뉴젠-엠포드신기술투자조합제1호</t>
        </is>
      </c>
      <c r="H38" s="4" t="inlineStr">
        <is>
          <t>특별관계자</t>
        </is>
      </c>
      <c r="I38" s="4" t="inlineStr">
        <is>
          <t>CB인수(+)</t>
        </is>
      </c>
      <c r="J38" s="15" t="n">
        <v>1355483</v>
      </c>
      <c r="K38" s="7" t="n">
        <v>4906</v>
      </c>
      <c r="L38" s="15" t="n">
        <v>6649999598</v>
      </c>
      <c r="M38" s="7" t="inlineStr"/>
      <c r="N38" s="14" t="inlineStr"/>
      <c r="O38" s="7" t="n">
        <v>1355483</v>
      </c>
      <c r="P38" s="13" t="n">
        <v>5.25</v>
      </c>
      <c r="Q38" s="2" t="inlineStr">
        <is>
          <t>20250826000386</t>
        </is>
      </c>
      <c r="R38" s="3">
        <f>HYPERLINK("https://dart.fss.or.kr/dsaf001/main.do?rcpNo=20250826000386", "공시열람")</f>
        <v/>
      </c>
    </row>
    <row r="39">
      <c r="A39" s="2" t="inlineStr">
        <is>
          <t>2025-04-10</t>
        </is>
      </c>
      <c r="B39" s="4" t="inlineStr">
        <is>
          <t>라온텍</t>
        </is>
      </c>
      <c r="C39" s="2" t="inlineStr">
        <is>
          <t>418420</t>
        </is>
      </c>
      <c r="D39" s="2" t="inlineStr">
        <is>
          <t>대량보유</t>
        </is>
      </c>
      <c r="E39" s="2" t="inlineStr">
        <is>
          <t>2025-04-10</t>
        </is>
      </c>
      <c r="F39" s="2" t="inlineStr">
        <is>
          <t>2025-04-10</t>
        </is>
      </c>
      <c r="G39" s="4" t="inlineStr">
        <is>
          <t>김민석</t>
        </is>
      </c>
      <c r="H39" s="4" t="inlineStr">
        <is>
          <t>특별관계자</t>
        </is>
      </c>
      <c r="I39" s="4" t="inlineStr">
        <is>
          <t>주식매수선택권행사(-)</t>
        </is>
      </c>
      <c r="J39" s="12" t="n">
        <v>-17500</v>
      </c>
      <c r="K39" s="7" t="n">
        <v>800</v>
      </c>
      <c r="L39" s="12" t="n">
        <v>-14000000</v>
      </c>
      <c r="M39" s="7" t="n">
        <v>8988757</v>
      </c>
      <c r="N39" s="13" t="n">
        <v>29.85</v>
      </c>
      <c r="O39" s="7" t="n">
        <v>62000</v>
      </c>
      <c r="P39" s="13" t="n">
        <v>29.63</v>
      </c>
      <c r="Q39" s="2" t="inlineStr">
        <is>
          <t>20250410003059</t>
        </is>
      </c>
      <c r="R39" s="3">
        <f>HYPERLINK("https://dart.fss.or.kr/dsaf001/main.do?rcpNo=20250410003059", "공시열람")</f>
        <v/>
      </c>
    </row>
    <row r="40">
      <c r="A40" s="2" t="inlineStr">
        <is>
          <t>2025-04-10</t>
        </is>
      </c>
      <c r="B40" s="4" t="inlineStr">
        <is>
          <t>라온텍</t>
        </is>
      </c>
      <c r="C40" s="2" t="inlineStr">
        <is>
          <t>418420</t>
        </is>
      </c>
      <c r="D40" s="2" t="inlineStr">
        <is>
          <t>임원보고</t>
        </is>
      </c>
      <c r="E40" s="2" t="inlineStr">
        <is>
          <t>2025-04-10</t>
        </is>
      </c>
      <c r="F40" s="2" t="inlineStr">
        <is>
          <t>2025-04-10</t>
        </is>
      </c>
      <c r="G40" s="4" t="inlineStr">
        <is>
          <t>한성준</t>
        </is>
      </c>
      <c r="H40" s="4" t="inlineStr">
        <is>
          <t>비등기임원 상무이사</t>
        </is>
      </c>
      <c r="I40" s="4" t="inlineStr">
        <is>
          <t>장내매수(+)</t>
        </is>
      </c>
      <c r="J40" s="15" t="n">
        <v>5000</v>
      </c>
      <c r="K40" s="7" t="n">
        <v>800</v>
      </c>
      <c r="L40" s="15" t="n">
        <v>4000000</v>
      </c>
      <c r="M40" s="7" t="inlineStr"/>
      <c r="N40" s="14" t="inlineStr"/>
      <c r="O40" s="7" t="n">
        <v>302301</v>
      </c>
      <c r="P40" s="13" t="n">
        <v>1</v>
      </c>
      <c r="Q40" s="2" t="inlineStr">
        <is>
          <t>20250410003121</t>
        </is>
      </c>
      <c r="R40" s="3">
        <f>HYPERLINK("https://dart.fss.or.kr/dsaf001/main.do?rcpNo=20250410003121", "공시열람")</f>
        <v/>
      </c>
    </row>
    <row r="41">
      <c r="A41" s="2" t="inlineStr">
        <is>
          <t>2025-04-10</t>
        </is>
      </c>
      <c r="B41" s="4" t="inlineStr">
        <is>
          <t>라온텍</t>
        </is>
      </c>
      <c r="C41" s="2" t="inlineStr">
        <is>
          <t>418420</t>
        </is>
      </c>
      <c r="D41" s="2" t="inlineStr">
        <is>
          <t>임원보고</t>
        </is>
      </c>
      <c r="E41" s="2" t="inlineStr">
        <is>
          <t>2025-04-10</t>
        </is>
      </c>
      <c r="F41" s="2" t="inlineStr">
        <is>
          <t>2025-04-10</t>
        </is>
      </c>
      <c r="G41" s="4" t="inlineStr">
        <is>
          <t>한성준</t>
        </is>
      </c>
      <c r="H41" s="4" t="inlineStr">
        <is>
          <t>비등기임원 상무이사</t>
        </is>
      </c>
      <c r="I41" s="4" t="inlineStr">
        <is>
          <t>주식매수선택권(+)</t>
        </is>
      </c>
      <c r="J41" s="15" t="n">
        <v>10000</v>
      </c>
      <c r="K41" s="7" t="n">
        <v>800</v>
      </c>
      <c r="L41" s="15" t="n">
        <v>8000000</v>
      </c>
      <c r="M41" s="7" t="inlineStr"/>
      <c r="N41" s="14" t="inlineStr"/>
      <c r="O41" s="7" t="n">
        <v>302301</v>
      </c>
      <c r="P41" s="13" t="n">
        <v>1</v>
      </c>
      <c r="Q41" s="2" t="inlineStr">
        <is>
          <t>20250410003121</t>
        </is>
      </c>
      <c r="R41" s="3">
        <f>HYPERLINK("https://dart.fss.or.kr/dsaf001/main.do?rcpNo=20250410003121", "공시열람")</f>
        <v/>
      </c>
    </row>
    <row r="42">
      <c r="A42" s="2" t="inlineStr">
        <is>
          <t>2025-04-10</t>
        </is>
      </c>
      <c r="B42" s="4" t="inlineStr">
        <is>
          <t>라온텍</t>
        </is>
      </c>
      <c r="C42" s="2" t="inlineStr">
        <is>
          <t>418420</t>
        </is>
      </c>
      <c r="D42" s="2" t="inlineStr">
        <is>
          <t>대량보유</t>
        </is>
      </c>
      <c r="E42" s="2" t="inlineStr">
        <is>
          <t>2025-04-10</t>
        </is>
      </c>
      <c r="F42" s="2" t="inlineStr">
        <is>
          <t>2025-04-10</t>
        </is>
      </c>
      <c r="G42" s="4" t="inlineStr">
        <is>
          <t>김민석</t>
        </is>
      </c>
      <c r="H42" s="4" t="inlineStr">
        <is>
          <t>특별관계자</t>
        </is>
      </c>
      <c r="I42" s="4" t="inlineStr">
        <is>
          <t>주식매수선택권행사(+)</t>
        </is>
      </c>
      <c r="J42" s="15" t="n">
        <v>17500</v>
      </c>
      <c r="K42" s="7" t="n">
        <v>800</v>
      </c>
      <c r="L42" s="15" t="n">
        <v>14000000</v>
      </c>
      <c r="M42" s="7" t="n">
        <v>8988757</v>
      </c>
      <c r="N42" s="13" t="n">
        <v>29.85</v>
      </c>
      <c r="O42" s="7" t="n">
        <v>302500</v>
      </c>
      <c r="P42" s="13" t="n">
        <v>29.63</v>
      </c>
      <c r="Q42" s="2" t="inlineStr">
        <is>
          <t>20250410003059</t>
        </is>
      </c>
      <c r="R42" s="3">
        <f>HYPERLINK("https://dart.fss.or.kr/dsaf001/main.do?rcpNo=20250410003059", "공시열람")</f>
        <v/>
      </c>
    </row>
    <row r="43">
      <c r="A43" s="2" t="inlineStr">
        <is>
          <t>2025-04-10</t>
        </is>
      </c>
      <c r="B43" s="4" t="inlineStr">
        <is>
          <t>라온텍</t>
        </is>
      </c>
      <c r="C43" s="2" t="inlineStr">
        <is>
          <t>418420</t>
        </is>
      </c>
      <c r="D43" s="2" t="inlineStr">
        <is>
          <t>임원보고</t>
        </is>
      </c>
      <c r="E43" s="2" t="inlineStr">
        <is>
          <t>2025-04-10</t>
        </is>
      </c>
      <c r="F43" s="2" t="inlineStr">
        <is>
          <t>2025-04-10</t>
        </is>
      </c>
      <c r="G43" s="4" t="inlineStr">
        <is>
          <t>이정환</t>
        </is>
      </c>
      <c r="H43" s="4" t="inlineStr">
        <is>
          <t>비등기임원 상무이사</t>
        </is>
      </c>
      <c r="I43" s="4" t="inlineStr">
        <is>
          <t>주식매수선택권(+)</t>
        </is>
      </c>
      <c r="J43" s="15" t="n">
        <v>15000</v>
      </c>
      <c r="K43" s="7" t="n">
        <v>800</v>
      </c>
      <c r="L43" s="15" t="n">
        <v>12000000</v>
      </c>
      <c r="M43" s="7" t="inlineStr"/>
      <c r="N43" s="14" t="inlineStr"/>
      <c r="O43" s="7" t="n">
        <v>46500</v>
      </c>
      <c r="P43" s="13" t="n">
        <v>0.15</v>
      </c>
      <c r="Q43" s="2" t="inlineStr">
        <is>
          <t>20250410002995</t>
        </is>
      </c>
      <c r="R43" s="3">
        <f>HYPERLINK("https://dart.fss.or.kr/dsaf001/main.do?rcpNo=20250410002995", "공시열람")</f>
        <v/>
      </c>
    </row>
    <row r="44">
      <c r="A44" s="2" t="inlineStr">
        <is>
          <t>2025-04-10</t>
        </is>
      </c>
      <c r="B44" s="4" t="inlineStr">
        <is>
          <t>라온텍</t>
        </is>
      </c>
      <c r="C44" s="2" t="inlineStr">
        <is>
          <t>418420</t>
        </is>
      </c>
      <c r="D44" s="2" t="inlineStr">
        <is>
          <t>임원보고</t>
        </is>
      </c>
      <c r="E44" s="2" t="inlineStr">
        <is>
          <t>2025-04-10</t>
        </is>
      </c>
      <c r="F44" s="2" t="inlineStr">
        <is>
          <t>2025-04-10</t>
        </is>
      </c>
      <c r="G44" s="4" t="inlineStr">
        <is>
          <t>조성재</t>
        </is>
      </c>
      <c r="H44" s="4" t="inlineStr">
        <is>
          <t>비등기임원 전무이사</t>
        </is>
      </c>
      <c r="I44" s="4" t="inlineStr">
        <is>
          <t>주식매수선택권(+)</t>
        </is>
      </c>
      <c r="J44" s="15" t="n">
        <v>8750</v>
      </c>
      <c r="K44" s="7" t="n">
        <v>800</v>
      </c>
      <c r="L44" s="15" t="n">
        <v>7000000</v>
      </c>
      <c r="M44" s="7" t="inlineStr"/>
      <c r="N44" s="14" t="inlineStr"/>
      <c r="O44" s="7" t="n">
        <v>376440</v>
      </c>
      <c r="P44" s="13" t="n">
        <v>1.24</v>
      </c>
      <c r="Q44" s="2" t="inlineStr">
        <is>
          <t>20250410002952</t>
        </is>
      </c>
      <c r="R44" s="3">
        <f>HYPERLINK("https://dart.fss.or.kr/dsaf001/main.do?rcpNo=20250410002952", "공시열람")</f>
        <v/>
      </c>
    </row>
    <row r="45">
      <c r="A45" s="2" t="inlineStr">
        <is>
          <t>2025-04-10</t>
        </is>
      </c>
      <c r="B45" s="4" t="inlineStr">
        <is>
          <t>라온텍</t>
        </is>
      </c>
      <c r="C45" s="2" t="inlineStr">
        <is>
          <t>418420</t>
        </is>
      </c>
      <c r="D45" s="2" t="inlineStr">
        <is>
          <t>임원보고</t>
        </is>
      </c>
      <c r="E45" s="2" t="inlineStr">
        <is>
          <t>2025-04-10</t>
        </is>
      </c>
      <c r="F45" s="2" t="inlineStr">
        <is>
          <t>2025-04-10</t>
        </is>
      </c>
      <c r="G45" s="4" t="inlineStr">
        <is>
          <t>김민석</t>
        </is>
      </c>
      <c r="H45" s="4" t="inlineStr">
        <is>
          <t>등기임원 연구소장</t>
        </is>
      </c>
      <c r="I45" s="4" t="inlineStr">
        <is>
          <t>주식매수선택권(+)</t>
        </is>
      </c>
      <c r="J45" s="15" t="n">
        <v>17500</v>
      </c>
      <c r="K45" s="7" t="n">
        <v>800</v>
      </c>
      <c r="L45" s="15" t="n">
        <v>14000000</v>
      </c>
      <c r="M45" s="7" t="inlineStr"/>
      <c r="N45" s="14" t="inlineStr"/>
      <c r="O45" s="7" t="n">
        <v>302500</v>
      </c>
      <c r="P45" s="13" t="n">
        <v>1</v>
      </c>
      <c r="Q45" s="2" t="inlineStr">
        <is>
          <t>20250410002864</t>
        </is>
      </c>
      <c r="R45" s="3">
        <f>HYPERLINK("https://dart.fss.or.kr/dsaf001/main.do?rcpNo=20250410002864", "공시열람")</f>
        <v/>
      </c>
    </row>
    <row r="46">
      <c r="A46" s="2" t="inlineStr">
        <is>
          <t>2025-04-08</t>
        </is>
      </c>
      <c r="B46" s="4" t="inlineStr">
        <is>
          <t>라온텍</t>
        </is>
      </c>
      <c r="C46" s="2" t="inlineStr">
        <is>
          <t>418420</t>
        </is>
      </c>
      <c r="D46" s="2" t="inlineStr">
        <is>
          <t>임원보고</t>
        </is>
      </c>
      <c r="E46" s="2" t="inlineStr">
        <is>
          <t>2025-04-02</t>
        </is>
      </c>
      <c r="F46" s="2" t="inlineStr">
        <is>
          <t>2025-04-02</t>
        </is>
      </c>
      <c r="G46" s="4" t="inlineStr">
        <is>
          <t>조성재</t>
        </is>
      </c>
      <c r="H46" s="4" t="inlineStr">
        <is>
          <t>비등기임원 전무이사</t>
        </is>
      </c>
      <c r="I46" s="4" t="inlineStr">
        <is>
          <t>장내매수(+)</t>
        </is>
      </c>
      <c r="J46" s="15" t="n">
        <v>3940</v>
      </c>
      <c r="K46" s="7" t="n">
        <v>2457</v>
      </c>
      <c r="L46" s="15" t="n">
        <v>9680580</v>
      </c>
      <c r="M46" s="7" t="inlineStr"/>
      <c r="N46" s="14" t="inlineStr"/>
      <c r="O46" s="7" t="n">
        <v>367690</v>
      </c>
      <c r="P46" s="13" t="n">
        <v>1.22</v>
      </c>
      <c r="Q46" s="2" t="inlineStr">
        <is>
          <t>20250408002367</t>
        </is>
      </c>
      <c r="R46" s="3">
        <f>HYPERLINK("https://dart.fss.or.kr/dsaf001/main.do?rcpNo=20250408002367", "공시열람")</f>
        <v/>
      </c>
    </row>
    <row r="47">
      <c r="A47" s="2" t="inlineStr">
        <is>
          <t>2025-03-28</t>
        </is>
      </c>
      <c r="B47" s="4" t="inlineStr">
        <is>
          <t>라온텍</t>
        </is>
      </c>
      <c r="C47" s="2" t="inlineStr">
        <is>
          <t>418420</t>
        </is>
      </c>
      <c r="D47" s="2" t="inlineStr">
        <is>
          <t>임원보고</t>
        </is>
      </c>
      <c r="E47" s="2" t="inlineStr">
        <is>
          <t>2025-03-26</t>
        </is>
      </c>
      <c r="F47" s="2" t="inlineStr">
        <is>
          <t>2025-03-27</t>
        </is>
      </c>
      <c r="G47" s="4" t="inlineStr">
        <is>
          <t>정민수</t>
        </is>
      </c>
      <c r="H47" s="4" t="inlineStr">
        <is>
          <t>등기임원 연구소장</t>
        </is>
      </c>
      <c r="I47" s="4" t="inlineStr">
        <is>
          <t>장내매수(+)</t>
        </is>
      </c>
      <c r="J47" s="15" t="n">
        <v>6700</v>
      </c>
      <c r="K47" s="7" t="n">
        <v>2672</v>
      </c>
      <c r="L47" s="15" t="n">
        <v>17902400</v>
      </c>
      <c r="M47" s="7" t="inlineStr"/>
      <c r="N47" s="14" t="inlineStr"/>
      <c r="O47" s="7" t="n">
        <v>1132950</v>
      </c>
      <c r="P47" s="13" t="n">
        <v>3.76</v>
      </c>
      <c r="Q47" s="2" t="inlineStr">
        <is>
          <t>20250328001663</t>
        </is>
      </c>
      <c r="R47" s="3">
        <f>HYPERLINK("https://dart.fss.or.kr/dsaf001/main.do?rcpNo=20250328001663", "공시열람")</f>
        <v/>
      </c>
    </row>
    <row r="48">
      <c r="A48" s="2" t="inlineStr">
        <is>
          <t>2025-03-28</t>
        </is>
      </c>
      <c r="B48" s="4" t="inlineStr">
        <is>
          <t>라온텍</t>
        </is>
      </c>
      <c r="C48" s="2" t="inlineStr">
        <is>
          <t>418420</t>
        </is>
      </c>
      <c r="D48" s="2" t="inlineStr">
        <is>
          <t>임원보고</t>
        </is>
      </c>
      <c r="E48" s="2" t="inlineStr">
        <is>
          <t>2025-03-26</t>
        </is>
      </c>
      <c r="F48" s="2" t="inlineStr">
        <is>
          <t>2025-03-27</t>
        </is>
      </c>
      <c r="G48" s="4" t="inlineStr">
        <is>
          <t>김민석</t>
        </is>
      </c>
      <c r="H48" s="4" t="inlineStr">
        <is>
          <t>등기임원 연구소장</t>
        </is>
      </c>
      <c r="I48" s="4" t="inlineStr">
        <is>
          <t>장내매수(+)</t>
        </is>
      </c>
      <c r="J48" s="15" t="n">
        <v>4000</v>
      </c>
      <c r="K48" s="7" t="n">
        <v>2661</v>
      </c>
      <c r="L48" s="15" t="n">
        <v>10644000</v>
      </c>
      <c r="M48" s="7" t="inlineStr"/>
      <c r="N48" s="14" t="inlineStr"/>
      <c r="O48" s="7" t="n">
        <v>285000</v>
      </c>
      <c r="P48" s="13" t="n">
        <v>0.95</v>
      </c>
      <c r="Q48" s="2" t="inlineStr">
        <is>
          <t>20250328001708</t>
        </is>
      </c>
      <c r="R48" s="3">
        <f>HYPERLINK("https://dart.fss.or.kr/dsaf001/main.do?rcpNo=20250328001708", "공시열람")</f>
        <v/>
      </c>
    </row>
    <row r="49">
      <c r="A49" s="2" t="inlineStr">
        <is>
          <t>2025-03-28</t>
        </is>
      </c>
      <c r="B49" s="4" t="inlineStr">
        <is>
          <t>라온텍</t>
        </is>
      </c>
      <c r="C49" s="2" t="inlineStr">
        <is>
          <t>418420</t>
        </is>
      </c>
      <c r="D49" s="2" t="inlineStr">
        <is>
          <t>대량보유</t>
        </is>
      </c>
      <c r="E49" s="2" t="inlineStr">
        <is>
          <t>2025-03-26</t>
        </is>
      </c>
      <c r="F49" s="2" t="inlineStr">
        <is>
          <t>2025-03-27</t>
        </is>
      </c>
      <c r="G49" s="4" t="inlineStr">
        <is>
          <t>김민석</t>
        </is>
      </c>
      <c r="H49" s="4" t="inlineStr">
        <is>
          <t>특별관계자</t>
        </is>
      </c>
      <c r="I49" s="4" t="inlineStr">
        <is>
          <t>장내매수(+)</t>
        </is>
      </c>
      <c r="J49" s="15" t="n">
        <v>4000</v>
      </c>
      <c r="K49" s="7" t="n">
        <v>2661</v>
      </c>
      <c r="L49" s="15" t="n">
        <v>10644000</v>
      </c>
      <c r="M49" s="7" t="n">
        <v>8978057</v>
      </c>
      <c r="N49" s="13" t="n">
        <v>29.82</v>
      </c>
      <c r="O49" s="7" t="n">
        <v>364500</v>
      </c>
      <c r="P49" s="13" t="n">
        <v>29.85</v>
      </c>
      <c r="Q49" s="2" t="inlineStr">
        <is>
          <t>20250328001762</t>
        </is>
      </c>
      <c r="R49" s="3">
        <f>HYPERLINK("https://dart.fss.or.kr/dsaf001/main.do?rcpNo=20250328001762", "공시열람")</f>
        <v/>
      </c>
    </row>
    <row r="50">
      <c r="A50" s="2" t="inlineStr">
        <is>
          <t>2025-03-28</t>
        </is>
      </c>
      <c r="B50" s="4" t="inlineStr">
        <is>
          <t>라온텍</t>
        </is>
      </c>
      <c r="C50" s="2" t="inlineStr">
        <is>
          <t>418420</t>
        </is>
      </c>
      <c r="D50" s="2" t="inlineStr">
        <is>
          <t>대량보유</t>
        </is>
      </c>
      <c r="E50" s="2" t="inlineStr">
        <is>
          <t>2025-03-26</t>
        </is>
      </c>
      <c r="F50" s="2" t="inlineStr">
        <is>
          <t>2025-03-27</t>
        </is>
      </c>
      <c r="G50" s="4" t="inlineStr">
        <is>
          <t>정민수</t>
        </is>
      </c>
      <c r="H50" s="4" t="inlineStr">
        <is>
          <t>특별관계자</t>
        </is>
      </c>
      <c r="I50" s="4" t="inlineStr">
        <is>
          <t>장내매수(+)</t>
        </is>
      </c>
      <c r="J50" s="15" t="n">
        <v>6700</v>
      </c>
      <c r="K50" s="7" t="n">
        <v>2672</v>
      </c>
      <c r="L50" s="15" t="n">
        <v>17902400</v>
      </c>
      <c r="M50" s="7" t="n">
        <v>8978057</v>
      </c>
      <c r="N50" s="13" t="n">
        <v>29.82</v>
      </c>
      <c r="O50" s="7" t="n">
        <v>1226200</v>
      </c>
      <c r="P50" s="13" t="n">
        <v>29.85</v>
      </c>
      <c r="Q50" s="2" t="inlineStr">
        <is>
          <t>20250328001762</t>
        </is>
      </c>
      <c r="R50" s="3">
        <f>HYPERLINK("https://dart.fss.or.kr/dsaf001/main.do?rcpNo=20250328001762", "공시열람")</f>
        <v/>
      </c>
    </row>
    <row r="51">
      <c r="A51" s="2" t="inlineStr">
        <is>
          <t>2025-03-27</t>
        </is>
      </c>
      <c r="B51" s="4" t="inlineStr">
        <is>
          <t>라온텍</t>
        </is>
      </c>
      <c r="C51" s="2" t="inlineStr">
        <is>
          <t>418420</t>
        </is>
      </c>
      <c r="D51" s="2" t="inlineStr">
        <is>
          <t>임원보고</t>
        </is>
      </c>
      <c r="E51" s="2" t="inlineStr">
        <is>
          <t>2025-03-25</t>
        </is>
      </c>
      <c r="F51" s="2" t="inlineStr">
        <is>
          <t>2025-03-26</t>
        </is>
      </c>
      <c r="G51" s="4" t="inlineStr">
        <is>
          <t>이광수</t>
        </is>
      </c>
      <c r="H51" s="4" t="inlineStr">
        <is>
          <t>비등기임원 상무이사</t>
        </is>
      </c>
      <c r="I51" s="4" t="inlineStr">
        <is>
          <t>장내매수(+)</t>
        </is>
      </c>
      <c r="J51" s="15" t="n">
        <v>5494</v>
      </c>
      <c r="K51" s="7" t="n">
        <v>2698</v>
      </c>
      <c r="L51" s="15" t="n">
        <v>14822812</v>
      </c>
      <c r="M51" s="7" t="inlineStr"/>
      <c r="N51" s="14" t="inlineStr"/>
      <c r="O51" s="7" t="n">
        <v>325994</v>
      </c>
      <c r="P51" s="13" t="n">
        <v>1.08</v>
      </c>
      <c r="Q51" s="2" t="inlineStr">
        <is>
          <t>20250327000671</t>
        </is>
      </c>
      <c r="R51" s="3">
        <f>HYPERLINK("https://dart.fss.or.kr/dsaf001/main.do?rcpNo=20250327000671", "공시열람")</f>
        <v/>
      </c>
    </row>
    <row r="52">
      <c r="A52" s="2" t="inlineStr">
        <is>
          <t>2025-03-24</t>
        </is>
      </c>
      <c r="B52" s="4" t="inlineStr">
        <is>
          <t>라온텍</t>
        </is>
      </c>
      <c r="C52" s="2" t="inlineStr">
        <is>
          <t>418420</t>
        </is>
      </c>
      <c r="D52" s="2" t="inlineStr">
        <is>
          <t>임원보고</t>
        </is>
      </c>
      <c r="E52" s="2" t="inlineStr">
        <is>
          <t>2025-03-24</t>
        </is>
      </c>
      <c r="F52" s="2" t="inlineStr">
        <is>
          <t>2025-03-24</t>
        </is>
      </c>
      <c r="G52" s="4" t="inlineStr">
        <is>
          <t>한성준</t>
        </is>
      </c>
      <c r="H52" s="4" t="inlineStr">
        <is>
          <t>비등기임원 상무이사</t>
        </is>
      </c>
      <c r="I52" s="4" t="inlineStr">
        <is>
          <t>장내매수(+)</t>
        </is>
      </c>
      <c r="J52" s="15" t="n">
        <v>9176</v>
      </c>
      <c r="K52" s="7" t="n">
        <v>2711</v>
      </c>
      <c r="L52" s="15" t="n">
        <v>24876136</v>
      </c>
      <c r="M52" s="7" t="inlineStr"/>
      <c r="N52" s="14" t="inlineStr"/>
      <c r="O52" s="7" t="n">
        <v>297301</v>
      </c>
      <c r="P52" s="13" t="n">
        <v>0.99</v>
      </c>
      <c r="Q52" s="2" t="inlineStr">
        <is>
          <t>20250324000502</t>
        </is>
      </c>
      <c r="R52" s="3">
        <f>HYPERLINK("https://dart.fss.or.kr/dsaf001/main.do?rcpNo=20250324000502", "공시열람")</f>
        <v/>
      </c>
    </row>
    <row r="53">
      <c r="A53" s="2" t="inlineStr">
        <is>
          <t>2024-12-11</t>
        </is>
      </c>
      <c r="B53" s="4" t="inlineStr">
        <is>
          <t>라온텍</t>
        </is>
      </c>
      <c r="C53" s="2" t="inlineStr">
        <is>
          <t>418420</t>
        </is>
      </c>
      <c r="D53" s="2" t="inlineStr">
        <is>
          <t>대량보유</t>
        </is>
      </c>
      <c r="E53" s="2" t="inlineStr">
        <is>
          <t>2024-12-06</t>
        </is>
      </c>
      <c r="F53" s="2" t="inlineStr">
        <is>
          <t>2024-12-06</t>
        </is>
      </c>
      <c r="G53" s="4" t="inlineStr">
        <is>
          <t>고성은</t>
        </is>
      </c>
      <c r="H53" s="4" t="inlineStr">
        <is>
          <t>특별관계자</t>
        </is>
      </c>
      <c r="I53" s="4" t="inlineStr">
        <is>
          <t>장내매수(+)</t>
        </is>
      </c>
      <c r="J53" s="15" t="n">
        <v>14000</v>
      </c>
      <c r="K53" s="7" t="n">
        <v>2747</v>
      </c>
      <c r="L53" s="15" t="n">
        <v>38458000</v>
      </c>
      <c r="M53" s="7" t="n">
        <v>8964057</v>
      </c>
      <c r="N53" s="13" t="n">
        <v>29.77</v>
      </c>
      <c r="O53" s="7" t="n">
        <v>1199000</v>
      </c>
      <c r="P53" s="13" t="n">
        <v>29.82</v>
      </c>
      <c r="Q53" s="2" t="inlineStr">
        <is>
          <t>20241211000166</t>
        </is>
      </c>
      <c r="R53" s="3">
        <f>HYPERLINK("https://dart.fss.or.kr/dsaf001/main.do?rcpNo=20241211000166", "공시열람")</f>
        <v/>
      </c>
    </row>
    <row r="54">
      <c r="A54" s="2" t="inlineStr">
        <is>
          <t>2024-09-09</t>
        </is>
      </c>
      <c r="B54" s="4" t="inlineStr">
        <is>
          <t>라온텍</t>
        </is>
      </c>
      <c r="C54" s="2" t="inlineStr">
        <is>
          <t>418420</t>
        </is>
      </c>
      <c r="D54" s="2" t="inlineStr">
        <is>
          <t>대량보유</t>
        </is>
      </c>
      <c r="E54" s="2" t="inlineStr">
        <is>
          <t>2024-09-05</t>
        </is>
      </c>
      <c r="F54" s="2" t="inlineStr">
        <is>
          <t>2024-09-05</t>
        </is>
      </c>
      <c r="G54" s="4" t="inlineStr">
        <is>
          <t>김보은</t>
        </is>
      </c>
      <c r="H54" s="4" t="inlineStr">
        <is>
          <t>최대주주</t>
        </is>
      </c>
      <c r="I54" s="4" t="inlineStr">
        <is>
          <t>장외매수(+)</t>
        </is>
      </c>
      <c r="J54" s="15" t="n">
        <v>101557</v>
      </c>
      <c r="K54" s="7" t="n">
        <v>4246</v>
      </c>
      <c r="L54" s="15" t="n">
        <v>431211022</v>
      </c>
      <c r="M54" s="7" t="n">
        <v>8862500</v>
      </c>
      <c r="N54" s="13" t="n">
        <v>29.44</v>
      </c>
      <c r="O54" s="7" t="n">
        <v>6041557</v>
      </c>
      <c r="P54" s="13" t="n">
        <v>29.77</v>
      </c>
      <c r="Q54" s="2" t="inlineStr">
        <is>
          <t>20240909000045</t>
        </is>
      </c>
      <c r="R54" s="3">
        <f>HYPERLINK("https://dart.fss.or.kr/dsaf001/main.do?rcpNo=20240909000045", "공시열람")</f>
        <v/>
      </c>
    </row>
    <row r="55">
      <c r="A55" s="2" t="inlineStr">
        <is>
          <t>2024-04-11</t>
        </is>
      </c>
      <c r="B55" s="4" t="inlineStr">
        <is>
          <t>라온텍</t>
        </is>
      </c>
      <c r="C55" s="2" t="inlineStr">
        <is>
          <t>418420</t>
        </is>
      </c>
      <c r="D55" s="2" t="inlineStr">
        <is>
          <t>대량보유</t>
        </is>
      </c>
      <c r="E55" s="2" t="inlineStr">
        <is>
          <t>2024-04-08</t>
        </is>
      </c>
      <c r="F55" s="2" t="inlineStr">
        <is>
          <t>2024-04-08</t>
        </is>
      </c>
      <c r="G55" s="4" t="inlineStr">
        <is>
          <t>김민석</t>
        </is>
      </c>
      <c r="H55" s="4" t="inlineStr">
        <is>
          <t>특별관계자</t>
        </is>
      </c>
      <c r="I55" s="4" t="inlineStr">
        <is>
          <t>주식매수선택권행사(+)</t>
        </is>
      </c>
      <c r="J55" s="15" t="n">
        <v>44000</v>
      </c>
      <c r="K55" s="7" t="n">
        <v>1245</v>
      </c>
      <c r="L55" s="15" t="n">
        <v>54780000</v>
      </c>
      <c r="M55" s="7" t="n">
        <v>8862500</v>
      </c>
      <c r="N55" s="13" t="n">
        <v>30</v>
      </c>
      <c r="O55" s="7" t="n">
        <v>281000</v>
      </c>
      <c r="P55" s="13" t="n">
        <v>29.44</v>
      </c>
      <c r="Q55" s="2" t="inlineStr">
        <is>
          <t>20240411004148</t>
        </is>
      </c>
      <c r="R55" s="3">
        <f>HYPERLINK("https://dart.fss.or.kr/dsaf001/main.do?rcpNo=20240411004148", "공시열람")</f>
        <v/>
      </c>
    </row>
    <row r="56">
      <c r="A56" s="2" t="inlineStr">
        <is>
          <t>2024-04-11</t>
        </is>
      </c>
      <c r="B56" s="4" t="inlineStr">
        <is>
          <t>라온텍</t>
        </is>
      </c>
      <c r="C56" s="2" t="inlineStr">
        <is>
          <t>418420</t>
        </is>
      </c>
      <c r="D56" s="2" t="inlineStr">
        <is>
          <t>임원보고</t>
        </is>
      </c>
      <c r="E56" s="2" t="inlineStr">
        <is>
          <t>2023-03-15</t>
        </is>
      </c>
      <c r="F56" s="2" t="inlineStr">
        <is>
          <t>2023-03-15</t>
        </is>
      </c>
      <c r="G56" s="4" t="inlineStr">
        <is>
          <t>조성재</t>
        </is>
      </c>
      <c r="H56" s="4" t="inlineStr">
        <is>
          <t>비등기임원 전무이사</t>
        </is>
      </c>
      <c r="I56" s="4" t="inlineStr">
        <is>
          <t>주식매수선택권(+)</t>
        </is>
      </c>
      <c r="J56" s="15" t="n">
        <v>43750</v>
      </c>
      <c r="K56" s="7" t="n">
        <v>800</v>
      </c>
      <c r="L56" s="15" t="n">
        <v>35000000</v>
      </c>
      <c r="M56" s="7" t="inlineStr"/>
      <c r="N56" s="14" t="inlineStr"/>
      <c r="O56" s="7" t="n">
        <v>363750</v>
      </c>
      <c r="P56" s="13" t="n">
        <v>1.21</v>
      </c>
      <c r="Q56" s="2" t="inlineStr">
        <is>
          <t>20240411004011</t>
        </is>
      </c>
      <c r="R56" s="3">
        <f>HYPERLINK("https://dart.fss.or.kr/dsaf001/main.do?rcpNo=20240411004011", "공시열람")</f>
        <v/>
      </c>
    </row>
    <row r="57">
      <c r="A57" s="2" t="inlineStr">
        <is>
          <t>2024-04-11</t>
        </is>
      </c>
      <c r="B57" s="4" t="inlineStr">
        <is>
          <t>라온텍</t>
        </is>
      </c>
      <c r="C57" s="2" t="inlineStr">
        <is>
          <t>418420</t>
        </is>
      </c>
      <c r="D57" s="2" t="inlineStr">
        <is>
          <t>대량보유</t>
        </is>
      </c>
      <c r="E57" s="2" t="inlineStr">
        <is>
          <t>2024-04-08</t>
        </is>
      </c>
      <c r="F57" s="2" t="inlineStr">
        <is>
          <t>2024-04-08</t>
        </is>
      </c>
      <c r="G57" s="4" t="inlineStr">
        <is>
          <t>김민석</t>
        </is>
      </c>
      <c r="H57" s="4" t="inlineStr">
        <is>
          <t>특별관계자</t>
        </is>
      </c>
      <c r="I57" s="4" t="inlineStr">
        <is>
          <t>주식매수선택권행사(-)</t>
        </is>
      </c>
      <c r="J57" s="12" t="n">
        <v>-44000</v>
      </c>
      <c r="K57" s="7" t="n">
        <v>1245</v>
      </c>
      <c r="L57" s="12" t="n">
        <v>-54780000</v>
      </c>
      <c r="M57" s="7" t="n">
        <v>8862500</v>
      </c>
      <c r="N57" s="13" t="n">
        <v>30</v>
      </c>
      <c r="O57" s="7" t="n">
        <v>79500</v>
      </c>
      <c r="P57" s="13" t="n">
        <v>29.44</v>
      </c>
      <c r="Q57" s="2" t="inlineStr">
        <is>
          <t>20240411004148</t>
        </is>
      </c>
      <c r="R57" s="3">
        <f>HYPERLINK("https://dart.fss.or.kr/dsaf001/main.do?rcpNo=20240411004148", "공시열람")</f>
        <v/>
      </c>
    </row>
    <row r="58">
      <c r="A58" s="2" t="inlineStr">
        <is>
          <t>2024-04-11</t>
        </is>
      </c>
      <c r="B58" s="4" t="inlineStr">
        <is>
          <t>라온텍</t>
        </is>
      </c>
      <c r="C58" s="2" t="inlineStr">
        <is>
          <t>418420</t>
        </is>
      </c>
      <c r="D58" s="2" t="inlineStr">
        <is>
          <t>대량보유</t>
        </is>
      </c>
      <c r="E58" s="2" t="inlineStr">
        <is>
          <t>2024-04-08</t>
        </is>
      </c>
      <c r="F58" s="2" t="inlineStr">
        <is>
          <t>2024-04-08</t>
        </is>
      </c>
      <c r="G58" s="4" t="inlineStr">
        <is>
          <t>정민수</t>
        </is>
      </c>
      <c r="H58" s="4" t="inlineStr">
        <is>
          <t>특별관계자</t>
        </is>
      </c>
      <c r="I58" s="4" t="inlineStr">
        <is>
          <t>주식매수선택권행사(-)</t>
        </is>
      </c>
      <c r="J58" s="12" t="n">
        <v>-43750</v>
      </c>
      <c r="K58" s="7" t="n">
        <v>800</v>
      </c>
      <c r="L58" s="12" t="n">
        <v>-35000000</v>
      </c>
      <c r="M58" s="7" t="n">
        <v>8862500</v>
      </c>
      <c r="N58" s="13" t="n">
        <v>30</v>
      </c>
      <c r="O58" s="7" t="n">
        <v>93250</v>
      </c>
      <c r="P58" s="13" t="n">
        <v>29.44</v>
      </c>
      <c r="Q58" s="2" t="inlineStr">
        <is>
          <t>20240411004148</t>
        </is>
      </c>
      <c r="R58" s="3">
        <f>HYPERLINK("https://dart.fss.or.kr/dsaf001/main.do?rcpNo=20240411004148", "공시열람")</f>
        <v/>
      </c>
    </row>
    <row r="59">
      <c r="A59" s="2" t="inlineStr">
        <is>
          <t>2024-04-11</t>
        </is>
      </c>
      <c r="B59" s="4" t="inlineStr">
        <is>
          <t>라온텍</t>
        </is>
      </c>
      <c r="C59" s="2" t="inlineStr">
        <is>
          <t>418420</t>
        </is>
      </c>
      <c r="D59" s="2" t="inlineStr">
        <is>
          <t>임원보고</t>
        </is>
      </c>
      <c r="E59" s="2" t="inlineStr">
        <is>
          <t>2024-04-08</t>
        </is>
      </c>
      <c r="F59" s="2" t="inlineStr">
        <is>
          <t>2024-04-08</t>
        </is>
      </c>
      <c r="G59" s="4" t="inlineStr">
        <is>
          <t>이정환</t>
        </is>
      </c>
      <c r="H59" s="4" t="inlineStr">
        <is>
          <t>비등기임원 상무이사</t>
        </is>
      </c>
      <c r="I59" s="4" t="inlineStr">
        <is>
          <t>주식매수선택권(+)</t>
        </is>
      </c>
      <c r="J59" s="15" t="n">
        <v>26000</v>
      </c>
      <c r="K59" s="7" t="n">
        <v>1477</v>
      </c>
      <c r="L59" s="15" t="n">
        <v>38402000</v>
      </c>
      <c r="M59" s="7" t="inlineStr"/>
      <c r="N59" s="14" t="inlineStr"/>
      <c r="O59" s="7" t="n">
        <v>31500</v>
      </c>
      <c r="P59" s="13" t="n">
        <v>0.1</v>
      </c>
      <c r="Q59" s="2" t="inlineStr">
        <is>
          <t>20240411004047</t>
        </is>
      </c>
      <c r="R59" s="3">
        <f>HYPERLINK("https://dart.fss.or.kr/dsaf001/main.do?rcpNo=20240411004047", "공시열람")</f>
        <v/>
      </c>
    </row>
    <row r="60">
      <c r="A60" s="2" t="inlineStr">
        <is>
          <t>2024-04-11</t>
        </is>
      </c>
      <c r="B60" s="4" t="inlineStr">
        <is>
          <t>라온텍</t>
        </is>
      </c>
      <c r="C60" s="2" t="inlineStr">
        <is>
          <t>418420</t>
        </is>
      </c>
      <c r="D60" s="2" t="inlineStr">
        <is>
          <t>대량보유</t>
        </is>
      </c>
      <c r="E60" s="2" t="inlineStr">
        <is>
          <t>2024-04-08</t>
        </is>
      </c>
      <c r="F60" s="2" t="inlineStr">
        <is>
          <t>2024-04-08</t>
        </is>
      </c>
      <c r="G60" s="4" t="inlineStr">
        <is>
          <t>정민수</t>
        </is>
      </c>
      <c r="H60" s="4" t="inlineStr">
        <is>
          <t>특별관계자</t>
        </is>
      </c>
      <c r="I60" s="4" t="inlineStr">
        <is>
          <t>주식매수선택권행사(+)</t>
        </is>
      </c>
      <c r="J60" s="15" t="n">
        <v>43750</v>
      </c>
      <c r="K60" s="7" t="n">
        <v>800</v>
      </c>
      <c r="L60" s="15" t="n">
        <v>35000000</v>
      </c>
      <c r="M60" s="7" t="n">
        <v>8862500</v>
      </c>
      <c r="N60" s="13" t="n">
        <v>30</v>
      </c>
      <c r="O60" s="7" t="n">
        <v>1126250</v>
      </c>
      <c r="P60" s="13" t="n">
        <v>29.44</v>
      </c>
      <c r="Q60" s="2" t="inlineStr">
        <is>
          <t>20240411004148</t>
        </is>
      </c>
      <c r="R60" s="3">
        <f>HYPERLINK("https://dart.fss.or.kr/dsaf001/main.do?rcpNo=20240411004148", "공시열람")</f>
        <v/>
      </c>
    </row>
    <row r="61">
      <c r="A61" s="2" t="inlineStr">
        <is>
          <t>2024-04-11</t>
        </is>
      </c>
      <c r="B61" s="4" t="inlineStr">
        <is>
          <t>라온텍</t>
        </is>
      </c>
      <c r="C61" s="2" t="inlineStr">
        <is>
          <t>418420</t>
        </is>
      </c>
      <c r="D61" s="2" t="inlineStr">
        <is>
          <t>임원보고</t>
        </is>
      </c>
      <c r="E61" s="2" t="inlineStr">
        <is>
          <t>2024-04-08</t>
        </is>
      </c>
      <c r="F61" s="2" t="inlineStr">
        <is>
          <t>2024-04-08</t>
        </is>
      </c>
      <c r="G61" s="4" t="inlineStr">
        <is>
          <t>이광수</t>
        </is>
      </c>
      <c r="H61" s="4" t="inlineStr">
        <is>
          <t>비등기임원 상무이사</t>
        </is>
      </c>
      <c r="I61" s="4" t="inlineStr">
        <is>
          <t>주식매수선택권(+)</t>
        </is>
      </c>
      <c r="J61" s="15" t="n">
        <v>48750</v>
      </c>
      <c r="K61" s="7" t="n">
        <v>800</v>
      </c>
      <c r="L61" s="15" t="n">
        <v>39000000</v>
      </c>
      <c r="M61" s="7" t="inlineStr"/>
      <c r="N61" s="14" t="inlineStr"/>
      <c r="O61" s="7" t="n">
        <v>320500</v>
      </c>
      <c r="P61" s="13" t="n">
        <v>1.06</v>
      </c>
      <c r="Q61" s="2" t="inlineStr">
        <is>
          <t>20240411003976</t>
        </is>
      </c>
      <c r="R61" s="3">
        <f>HYPERLINK("https://dart.fss.or.kr/dsaf001/main.do?rcpNo=20240411003976", "공시열람")</f>
        <v/>
      </c>
    </row>
    <row r="62">
      <c r="A62" s="2" t="inlineStr">
        <is>
          <t>2024-04-11</t>
        </is>
      </c>
      <c r="B62" s="4" t="inlineStr">
        <is>
          <t>라온텍</t>
        </is>
      </c>
      <c r="C62" s="2" t="inlineStr">
        <is>
          <t>418420</t>
        </is>
      </c>
      <c r="D62" s="2" t="inlineStr">
        <is>
          <t>임원보고</t>
        </is>
      </c>
      <c r="E62" s="2" t="inlineStr">
        <is>
          <t>2024-04-08</t>
        </is>
      </c>
      <c r="F62" s="2" t="inlineStr">
        <is>
          <t>2024-04-08</t>
        </is>
      </c>
      <c r="G62" s="4" t="inlineStr">
        <is>
          <t>한성준</t>
        </is>
      </c>
      <c r="H62" s="4" t="inlineStr">
        <is>
          <t>비등기임원 상무이사</t>
        </is>
      </c>
      <c r="I62" s="4" t="inlineStr">
        <is>
          <t>주식매수선택권(+)</t>
        </is>
      </c>
      <c r="J62" s="15" t="n">
        <v>44500</v>
      </c>
      <c r="K62" s="7" t="n">
        <v>1339</v>
      </c>
      <c r="L62" s="15" t="n">
        <v>59585500</v>
      </c>
      <c r="M62" s="7" t="inlineStr"/>
      <c r="N62" s="14" t="inlineStr"/>
      <c r="O62" s="7" t="n">
        <v>288125</v>
      </c>
      <c r="P62" s="13" t="n">
        <v>0.96</v>
      </c>
      <c r="Q62" s="2" t="inlineStr">
        <is>
          <t>20240411003945</t>
        </is>
      </c>
      <c r="R62" s="3">
        <f>HYPERLINK("https://dart.fss.or.kr/dsaf001/main.do?rcpNo=20240411003945", "공시열람")</f>
        <v/>
      </c>
    </row>
    <row r="63">
      <c r="A63" s="2" t="inlineStr">
        <is>
          <t>2024-04-11</t>
        </is>
      </c>
      <c r="B63" s="4" t="inlineStr">
        <is>
          <t>라온텍</t>
        </is>
      </c>
      <c r="C63" s="2" t="inlineStr">
        <is>
          <t>418420</t>
        </is>
      </c>
      <c r="D63" s="2" t="inlineStr">
        <is>
          <t>임원보고</t>
        </is>
      </c>
      <c r="E63" s="2" t="inlineStr">
        <is>
          <t>2024-04-08</t>
        </is>
      </c>
      <c r="F63" s="2" t="inlineStr">
        <is>
          <t>2024-04-08</t>
        </is>
      </c>
      <c r="G63" s="4" t="inlineStr">
        <is>
          <t>김민석</t>
        </is>
      </c>
      <c r="H63" s="4" t="inlineStr">
        <is>
          <t>등기임원 연구소장</t>
        </is>
      </c>
      <c r="I63" s="4" t="inlineStr">
        <is>
          <t>주식매수선택권(+)</t>
        </is>
      </c>
      <c r="J63" s="15" t="n">
        <v>44000</v>
      </c>
      <c r="K63" s="7" t="n">
        <v>1245</v>
      </c>
      <c r="L63" s="15" t="n">
        <v>54780000</v>
      </c>
      <c r="M63" s="7" t="inlineStr"/>
      <c r="N63" s="14" t="inlineStr"/>
      <c r="O63" s="7" t="n">
        <v>281000</v>
      </c>
      <c r="P63" s="13" t="n">
        <v>0.93</v>
      </c>
      <c r="Q63" s="2" t="inlineStr">
        <is>
          <t>20240411003897</t>
        </is>
      </c>
      <c r="R63" s="3">
        <f>HYPERLINK("https://dart.fss.or.kr/dsaf001/main.do?rcpNo=20240411003897", "공시열람")</f>
        <v/>
      </c>
    </row>
    <row r="64">
      <c r="A64" s="2" t="inlineStr">
        <is>
          <t>2024-04-11</t>
        </is>
      </c>
      <c r="B64" s="4" t="inlineStr">
        <is>
          <t>라온텍</t>
        </is>
      </c>
      <c r="C64" s="2" t="inlineStr">
        <is>
          <t>418420</t>
        </is>
      </c>
      <c r="D64" s="2" t="inlineStr">
        <is>
          <t>임원보고</t>
        </is>
      </c>
      <c r="E64" s="2" t="inlineStr">
        <is>
          <t>2024-04-08</t>
        </is>
      </c>
      <c r="F64" s="2" t="inlineStr">
        <is>
          <t>2024-04-08</t>
        </is>
      </c>
      <c r="G64" s="4" t="inlineStr">
        <is>
          <t>정민수</t>
        </is>
      </c>
      <c r="H64" s="4" t="inlineStr">
        <is>
          <t>등기임원 연구소장</t>
        </is>
      </c>
      <c r="I64" s="4" t="inlineStr">
        <is>
          <t>주식매수선택권(+)</t>
        </is>
      </c>
      <c r="J64" s="15" t="n">
        <v>43750</v>
      </c>
      <c r="K64" s="7" t="n">
        <v>800</v>
      </c>
      <c r="L64" s="15" t="n">
        <v>35000000</v>
      </c>
      <c r="M64" s="7" t="inlineStr"/>
      <c r="N64" s="14" t="inlineStr"/>
      <c r="O64" s="7" t="n">
        <v>1126250</v>
      </c>
      <c r="P64" s="13" t="n">
        <v>3.74</v>
      </c>
      <c r="Q64" s="2" t="inlineStr">
        <is>
          <t>20240411003844</t>
        </is>
      </c>
      <c r="R64" s="3">
        <f>HYPERLINK("https://dart.fss.or.kr/dsaf001/main.do?rcpNo=20240411003844", "공시열람")</f>
        <v/>
      </c>
    </row>
    <row r="65">
      <c r="A65" s="2" t="inlineStr">
        <is>
          <t>2024-03-13</t>
        </is>
      </c>
      <c r="B65" s="4" t="inlineStr">
        <is>
          <t>라온텍</t>
        </is>
      </c>
      <c r="C65" s="2" t="inlineStr">
        <is>
          <t>418420</t>
        </is>
      </c>
      <c r="D65" s="2" t="inlineStr">
        <is>
          <t>임원보고</t>
        </is>
      </c>
      <c r="E65" s="2" t="inlineStr">
        <is>
          <t>2024-03-13</t>
        </is>
      </c>
      <c r="F65" s="2" t="inlineStr">
        <is>
          <t>2024-03-13</t>
        </is>
      </c>
      <c r="G65" s="4" t="inlineStr">
        <is>
          <t>이정환</t>
        </is>
      </c>
      <c r="H65" s="4" t="inlineStr">
        <is>
          <t>비등기임원 상무이사</t>
        </is>
      </c>
      <c r="I65" s="4" t="inlineStr">
        <is>
          <t>신규선임(+)</t>
        </is>
      </c>
      <c r="J65" s="15" t="n">
        <v>5500</v>
      </c>
      <c r="K65" s="7" t="n">
        <v>6270</v>
      </c>
      <c r="L65" s="15" t="n">
        <v>34485000</v>
      </c>
      <c r="M65" s="7" t="inlineStr"/>
      <c r="N65" s="14" t="inlineStr"/>
      <c r="O65" s="7" t="n">
        <v>5500</v>
      </c>
      <c r="P65" s="13" t="n">
        <v>0.02</v>
      </c>
      <c r="Q65" s="2" t="inlineStr">
        <is>
          <t>20240313000580</t>
        </is>
      </c>
      <c r="R65" s="3">
        <f>HYPERLINK("https://dart.fss.or.kr/dsaf001/main.do?rcpNo=20240313000580", "공시열람")</f>
        <v/>
      </c>
    </row>
    <row r="66">
      <c r="A66" s="2" t="inlineStr">
        <is>
          <t>2023-12-29</t>
        </is>
      </c>
      <c r="B66" s="4" t="inlineStr">
        <is>
          <t>라온텍</t>
        </is>
      </c>
      <c r="C66" s="2" t="inlineStr">
        <is>
          <t>418420</t>
        </is>
      </c>
      <c r="D66" s="2" t="inlineStr">
        <is>
          <t>대량보유</t>
        </is>
      </c>
      <c r="E66" s="2" t="inlineStr">
        <is>
          <t>2023-12-27</t>
        </is>
      </c>
      <c r="F66" s="2" t="inlineStr">
        <is>
          <t>2023-12-27</t>
        </is>
      </c>
      <c r="G66" s="4" t="inlineStr">
        <is>
          <t>김민석</t>
        </is>
      </c>
      <c r="H66" s="4" t="inlineStr">
        <is>
          <t>특별관계자</t>
        </is>
      </c>
      <c r="I66" s="4" t="inlineStr">
        <is>
          <t>주식매수선택권행사(-)</t>
        </is>
      </c>
      <c r="J66" s="12" t="n">
        <v>-12000</v>
      </c>
      <c r="K66" s="7" t="n">
        <v>800</v>
      </c>
      <c r="L66" s="12" t="n">
        <v>-9600000</v>
      </c>
      <c r="M66" s="7" t="n">
        <v>8862500</v>
      </c>
      <c r="N66" s="13" t="n">
        <v>30.95</v>
      </c>
      <c r="O66" s="7" t="n">
        <v>123500</v>
      </c>
      <c r="P66" s="13" t="n">
        <v>30</v>
      </c>
      <c r="Q66" s="2" t="inlineStr">
        <is>
          <t>20231229000372</t>
        </is>
      </c>
      <c r="R66" s="3">
        <f>HYPERLINK("https://dart.fss.or.kr/dsaf001/main.do?rcpNo=20231229000372", "공시열람")</f>
        <v/>
      </c>
    </row>
    <row r="67">
      <c r="A67" s="2" t="inlineStr">
        <is>
          <t>2023-12-29</t>
        </is>
      </c>
      <c r="B67" s="4" t="inlineStr">
        <is>
          <t>라온텍</t>
        </is>
      </c>
      <c r="C67" s="2" t="inlineStr">
        <is>
          <t>418420</t>
        </is>
      </c>
      <c r="D67" s="2" t="inlineStr">
        <is>
          <t>대량보유</t>
        </is>
      </c>
      <c r="E67" s="2" t="inlineStr">
        <is>
          <t>2023-12-27</t>
        </is>
      </c>
      <c r="F67" s="2" t="inlineStr">
        <is>
          <t>2023-12-27</t>
        </is>
      </c>
      <c r="G67" s="4" t="inlineStr">
        <is>
          <t>김민석</t>
        </is>
      </c>
      <c r="H67" s="4" t="inlineStr">
        <is>
          <t>특별관계자</t>
        </is>
      </c>
      <c r="I67" s="4" t="inlineStr">
        <is>
          <t>주식매수선택권행사(+)</t>
        </is>
      </c>
      <c r="J67" s="15" t="n">
        <v>12000</v>
      </c>
      <c r="K67" s="7" t="n">
        <v>800</v>
      </c>
      <c r="L67" s="15" t="n">
        <v>9600000</v>
      </c>
      <c r="M67" s="7" t="n">
        <v>8862500</v>
      </c>
      <c r="N67" s="13" t="n">
        <v>30.95</v>
      </c>
      <c r="O67" s="7" t="n">
        <v>237000</v>
      </c>
      <c r="P67" s="13" t="n">
        <v>30</v>
      </c>
      <c r="Q67" s="2" t="inlineStr">
        <is>
          <t>20231229000372</t>
        </is>
      </c>
      <c r="R67" s="3">
        <f>HYPERLINK("https://dart.fss.or.kr/dsaf001/main.do?rcpNo=20231229000372", "공시열람")</f>
        <v/>
      </c>
    </row>
    <row r="68">
      <c r="A68" s="2" t="inlineStr">
        <is>
          <t>2023-12-29</t>
        </is>
      </c>
      <c r="B68" s="4" t="inlineStr">
        <is>
          <t>라온텍</t>
        </is>
      </c>
      <c r="C68" s="2" t="inlineStr">
        <is>
          <t>418420</t>
        </is>
      </c>
      <c r="D68" s="2" t="inlineStr">
        <is>
          <t>임원보고</t>
        </is>
      </c>
      <c r="E68" s="2" t="inlineStr">
        <is>
          <t>2023-12-27</t>
        </is>
      </c>
      <c r="F68" s="2" t="inlineStr">
        <is>
          <t>2023-12-27</t>
        </is>
      </c>
      <c r="G68" s="4" t="inlineStr">
        <is>
          <t>김민석</t>
        </is>
      </c>
      <c r="H68" s="4" t="inlineStr">
        <is>
          <t>등기임원 연구소장</t>
        </is>
      </c>
      <c r="I68" s="4" t="inlineStr">
        <is>
          <t>주식매수선택권(+)</t>
        </is>
      </c>
      <c r="J68" s="15" t="n">
        <v>12000</v>
      </c>
      <c r="K68" s="7" t="n">
        <v>10070</v>
      </c>
      <c r="L68" s="15" t="n">
        <v>120840000</v>
      </c>
      <c r="M68" s="7" t="inlineStr"/>
      <c r="N68" s="14" t="inlineStr"/>
      <c r="O68" s="7" t="n">
        <v>237000</v>
      </c>
      <c r="P68" s="13" t="n">
        <v>0.8</v>
      </c>
      <c r="Q68" s="2" t="inlineStr">
        <is>
          <t>20231229000392</t>
        </is>
      </c>
      <c r="R68" s="3">
        <f>HYPERLINK("https://dart.fss.or.kr/dsaf001/main.do?rcpNo=20231229000392", "공시열람")</f>
        <v/>
      </c>
    </row>
    <row r="69">
      <c r="A69" s="2" t="inlineStr">
        <is>
          <t>2023-12-29</t>
        </is>
      </c>
      <c r="B69" s="4" t="inlineStr">
        <is>
          <t>라온텍</t>
        </is>
      </c>
      <c r="C69" s="2" t="inlineStr">
        <is>
          <t>418420</t>
        </is>
      </c>
      <c r="D69" s="2" t="inlineStr">
        <is>
          <t>임원보고</t>
        </is>
      </c>
      <c r="E69" s="2" t="inlineStr">
        <is>
          <t>2023-12-27</t>
        </is>
      </c>
      <c r="F69" s="2" t="inlineStr">
        <is>
          <t>2023-12-27</t>
        </is>
      </c>
      <c r="G69" s="4" t="inlineStr">
        <is>
          <t>이광수</t>
        </is>
      </c>
      <c r="H69" s="4" t="inlineStr">
        <is>
          <t>비등기임원 상무이사</t>
        </is>
      </c>
      <c r="I69" s="4" t="inlineStr">
        <is>
          <t>주식매수선택권(+)</t>
        </is>
      </c>
      <c r="J69" s="15" t="n">
        <v>15000</v>
      </c>
      <c r="K69" s="7" t="n">
        <v>10070</v>
      </c>
      <c r="L69" s="15" t="n">
        <v>151050000</v>
      </c>
      <c r="M69" s="7" t="inlineStr"/>
      <c r="N69" s="14" t="inlineStr"/>
      <c r="O69" s="7" t="n">
        <v>271750</v>
      </c>
      <c r="P69" s="13" t="n">
        <v>0.92</v>
      </c>
      <c r="Q69" s="2" t="inlineStr">
        <is>
          <t>20231229000408</t>
        </is>
      </c>
      <c r="R69" s="3">
        <f>HYPERLINK("https://dart.fss.or.kr/dsaf001/main.do?rcpNo=20231229000408", "공시열람")</f>
        <v/>
      </c>
    </row>
    <row r="70">
      <c r="A70" s="2" t="inlineStr">
        <is>
          <t>2023-12-29</t>
        </is>
      </c>
      <c r="B70" s="4" t="inlineStr">
        <is>
          <t>라온텍</t>
        </is>
      </c>
      <c r="C70" s="2" t="inlineStr">
        <is>
          <t>418420</t>
        </is>
      </c>
      <c r="D70" s="2" t="inlineStr">
        <is>
          <t>임원보고</t>
        </is>
      </c>
      <c r="E70" s="2" t="inlineStr">
        <is>
          <t>2023-12-27</t>
        </is>
      </c>
      <c r="F70" s="2" t="inlineStr">
        <is>
          <t>2023-12-27</t>
        </is>
      </c>
      <c r="G70" s="4" t="inlineStr">
        <is>
          <t>한성준</t>
        </is>
      </c>
      <c r="H70" s="4" t="inlineStr">
        <is>
          <t>비등기임원 상무이사</t>
        </is>
      </c>
      <c r="I70" s="4" t="inlineStr">
        <is>
          <t>주식매수선택권(+)</t>
        </is>
      </c>
      <c r="J70" s="15" t="n">
        <v>23000</v>
      </c>
      <c r="K70" s="7" t="n">
        <v>10070</v>
      </c>
      <c r="L70" s="15" t="n">
        <v>231610000</v>
      </c>
      <c r="M70" s="7" t="inlineStr"/>
      <c r="N70" s="14" t="inlineStr"/>
      <c r="O70" s="7" t="n">
        <v>243625</v>
      </c>
      <c r="P70" s="13" t="n">
        <v>0.82</v>
      </c>
      <c r="Q70" s="2" t="inlineStr">
        <is>
          <t>20231229000425</t>
        </is>
      </c>
      <c r="R70" s="3">
        <f>HYPERLINK("https://dart.fss.or.kr/dsaf001/main.do?rcpNo=20231229000425", "공시열람")</f>
        <v/>
      </c>
    </row>
    <row r="71">
      <c r="A71" s="2" t="inlineStr">
        <is>
          <t>2023-05-10</t>
        </is>
      </c>
      <c r="B71" s="4" t="inlineStr">
        <is>
          <t>라온텍</t>
        </is>
      </c>
      <c r="C71" s="2" t="inlineStr">
        <is>
          <t>418420</t>
        </is>
      </c>
      <c r="D71" s="2" t="inlineStr">
        <is>
          <t>대량보유</t>
        </is>
      </c>
      <c r="E71" s="2" t="inlineStr">
        <is>
          <t>2023-04-10</t>
        </is>
      </c>
      <c r="F71" s="2" t="inlineStr">
        <is>
          <t>2023-04-17</t>
        </is>
      </c>
      <c r="G71" s="4" t="inlineStr">
        <is>
          <t>대신-코너스톤신기술투자조합제1호</t>
        </is>
      </c>
      <c r="H71" s="4" t="inlineStr">
        <is>
          <t>기타</t>
        </is>
      </c>
      <c r="I71" s="4" t="inlineStr">
        <is>
          <t>장내매도(-)</t>
        </is>
      </c>
      <c r="J71" s="12" t="n">
        <v>-1347241</v>
      </c>
      <c r="K71" s="7" t="n">
        <v>8074</v>
      </c>
      <c r="L71" s="12" t="n">
        <v>-10877623834</v>
      </c>
      <c r="M71" s="7" t="n">
        <v>1804525</v>
      </c>
      <c r="N71" s="13" t="n">
        <v>6.25</v>
      </c>
      <c r="O71" s="7" t="n">
        <v>2000</v>
      </c>
      <c r="P71" s="13" t="n">
        <v>1.56</v>
      </c>
      <c r="Q71" s="2" t="inlineStr">
        <is>
          <t>20230510000363</t>
        </is>
      </c>
      <c r="R71" s="3">
        <f>HYPERLINK("https://dart.fss.or.kr/dsaf001/main.do?rcpNo=20230510000363", "공시열람")</f>
        <v/>
      </c>
    </row>
    <row r="72">
      <c r="A72" s="2" t="inlineStr">
        <is>
          <t>2023-03-21</t>
        </is>
      </c>
      <c r="B72" s="4" t="inlineStr">
        <is>
          <t>라온텍</t>
        </is>
      </c>
      <c r="C72" s="2" t="inlineStr">
        <is>
          <t>418420</t>
        </is>
      </c>
      <c r="D72" s="2" t="inlineStr">
        <is>
          <t>임원보고</t>
        </is>
      </c>
      <c r="E72" s="2" t="inlineStr">
        <is>
          <t>2023-03-15</t>
        </is>
      </c>
      <c r="F72" s="2" t="inlineStr">
        <is>
          <t>2023-03-15</t>
        </is>
      </c>
      <c r="G72" s="4" t="inlineStr">
        <is>
          <t>조성재</t>
        </is>
      </c>
      <c r="H72" s="4" t="inlineStr">
        <is>
          <t>비등기임원 전무이사</t>
        </is>
      </c>
      <c r="I72" s="4" t="inlineStr">
        <is>
          <t>주식매수선택권(+)</t>
        </is>
      </c>
      <c r="J72" s="15" t="n">
        <v>20000</v>
      </c>
      <c r="K72" s="7" t="n">
        <v>5450</v>
      </c>
      <c r="L72" s="15" t="n">
        <v>109000000</v>
      </c>
      <c r="M72" s="7" t="inlineStr"/>
      <c r="N72" s="14" t="inlineStr"/>
      <c r="O72" s="7" t="n">
        <v>320000</v>
      </c>
      <c r="P72" s="13" t="n">
        <v>1.12</v>
      </c>
      <c r="Q72" s="2" t="inlineStr">
        <is>
          <t>20230321001435</t>
        </is>
      </c>
      <c r="R72" s="3">
        <f>HYPERLINK("https://dart.fss.or.kr/dsaf001/main.do?rcpNo=20230321001435", "공시열람")</f>
        <v/>
      </c>
    </row>
    <row r="73">
      <c r="A73" s="2" t="inlineStr">
        <is>
          <t>2023-03-21</t>
        </is>
      </c>
      <c r="B73" s="4" t="inlineStr">
        <is>
          <t>라온텍</t>
        </is>
      </c>
      <c r="C73" s="2" t="inlineStr">
        <is>
          <t>418420</t>
        </is>
      </c>
      <c r="D73" s="2" t="inlineStr">
        <is>
          <t>임원보고</t>
        </is>
      </c>
      <c r="E73" s="2" t="inlineStr">
        <is>
          <t>2023-03-15</t>
        </is>
      </c>
      <c r="F73" s="2" t="inlineStr">
        <is>
          <t>2023-03-15</t>
        </is>
      </c>
      <c r="G73" s="4" t="inlineStr">
        <is>
          <t>이광수</t>
        </is>
      </c>
      <c r="H73" s="4" t="inlineStr">
        <is>
          <t>비등기임원 상무이사</t>
        </is>
      </c>
      <c r="I73" s="4" t="inlineStr">
        <is>
          <t>주식매수선택권(+)</t>
        </is>
      </c>
      <c r="J73" s="15" t="n">
        <v>15000</v>
      </c>
      <c r="K73" s="7" t="n">
        <v>5450</v>
      </c>
      <c r="L73" s="15" t="n">
        <v>81750000</v>
      </c>
      <c r="M73" s="7" t="inlineStr"/>
      <c r="N73" s="14" t="inlineStr"/>
      <c r="O73" s="7" t="n">
        <v>256750</v>
      </c>
      <c r="P73" s="13" t="n">
        <v>0.9</v>
      </c>
      <c r="Q73" s="2" t="inlineStr">
        <is>
          <t>20230321001404</t>
        </is>
      </c>
      <c r="R73" s="3">
        <f>HYPERLINK("https://dart.fss.or.kr/dsaf001/main.do?rcpNo=20230321001404", "공시열람")</f>
        <v/>
      </c>
    </row>
    <row r="74">
      <c r="A74" s="2" t="inlineStr">
        <is>
          <t>2023-03-21</t>
        </is>
      </c>
      <c r="B74" s="4" t="inlineStr">
        <is>
          <t>라온텍</t>
        </is>
      </c>
      <c r="C74" s="2" t="inlineStr">
        <is>
          <t>418420</t>
        </is>
      </c>
      <c r="D74" s="2" t="inlineStr">
        <is>
          <t>대량보유</t>
        </is>
      </c>
      <c r="E74" s="2" t="inlineStr">
        <is>
          <t>2023-03-15</t>
        </is>
      </c>
      <c r="F74" s="2" t="inlineStr">
        <is>
          <t>2023-03-15</t>
        </is>
      </c>
      <c r="G74" s="4" t="inlineStr">
        <is>
          <t>정민수</t>
        </is>
      </c>
      <c r="H74" s="4" t="inlineStr">
        <is>
          <t>특별관계자</t>
        </is>
      </c>
      <c r="I74" s="4" t="inlineStr">
        <is>
          <t>주식매수선택권행사(+)</t>
        </is>
      </c>
      <c r="J74" s="15" t="n">
        <v>5000</v>
      </c>
      <c r="K74" s="7" t="n">
        <v>800</v>
      </c>
      <c r="L74" s="15" t="n">
        <v>4000000</v>
      </c>
      <c r="M74" s="7" t="n">
        <v>8862500</v>
      </c>
      <c r="N74" s="13" t="n">
        <v>31.16</v>
      </c>
      <c r="O74" s="7" t="n">
        <v>1082500</v>
      </c>
      <c r="P74" s="13" t="n">
        <v>30.95</v>
      </c>
      <c r="Q74" s="2" t="inlineStr">
        <is>
          <t>20230321001303</t>
        </is>
      </c>
      <c r="R74" s="3">
        <f>HYPERLINK("https://dart.fss.or.kr/dsaf001/main.do?rcpNo=20230321001303", "공시열람")</f>
        <v/>
      </c>
    </row>
    <row r="75">
      <c r="A75" s="2" t="inlineStr">
        <is>
          <t>2023-03-21</t>
        </is>
      </c>
      <c r="B75" s="4" t="inlineStr">
        <is>
          <t>라온텍</t>
        </is>
      </c>
      <c r="C75" s="2" t="inlineStr">
        <is>
          <t>418420</t>
        </is>
      </c>
      <c r="D75" s="2" t="inlineStr">
        <is>
          <t>임원보고</t>
        </is>
      </c>
      <c r="E75" s="2" t="inlineStr">
        <is>
          <t>2023-03-15</t>
        </is>
      </c>
      <c r="F75" s="2" t="inlineStr">
        <is>
          <t>2023-03-15</t>
        </is>
      </c>
      <c r="G75" s="4" t="inlineStr">
        <is>
          <t>김민석</t>
        </is>
      </c>
      <c r="H75" s="4" t="inlineStr">
        <is>
          <t>등기임원 연구소장</t>
        </is>
      </c>
      <c r="I75" s="4" t="inlineStr">
        <is>
          <t>주식매수선택권(+)</t>
        </is>
      </c>
      <c r="J75" s="15" t="n">
        <v>20000</v>
      </c>
      <c r="K75" s="7" t="n">
        <v>5450</v>
      </c>
      <c r="L75" s="15" t="n">
        <v>109000000</v>
      </c>
      <c r="M75" s="7" t="inlineStr"/>
      <c r="N75" s="14" t="inlineStr"/>
      <c r="O75" s="7" t="n">
        <v>225000</v>
      </c>
      <c r="P75" s="13" t="n">
        <v>0.79</v>
      </c>
      <c r="Q75" s="2" t="inlineStr">
        <is>
          <t>20230321001371</t>
        </is>
      </c>
      <c r="R75" s="3">
        <f>HYPERLINK("https://dart.fss.or.kr/dsaf001/main.do?rcpNo=20230321001371", "공시열람")</f>
        <v/>
      </c>
    </row>
    <row r="76">
      <c r="A76" s="2" t="inlineStr">
        <is>
          <t>2023-03-21</t>
        </is>
      </c>
      <c r="B76" s="4" t="inlineStr">
        <is>
          <t>라온텍</t>
        </is>
      </c>
      <c r="C76" s="2" t="inlineStr">
        <is>
          <t>418420</t>
        </is>
      </c>
      <c r="D76" s="2" t="inlineStr">
        <is>
          <t>임원보고</t>
        </is>
      </c>
      <c r="E76" s="2" t="inlineStr">
        <is>
          <t>2023-03-15</t>
        </is>
      </c>
      <c r="F76" s="2" t="inlineStr">
        <is>
          <t>2023-03-15</t>
        </is>
      </c>
      <c r="G76" s="4" t="inlineStr">
        <is>
          <t>정민수</t>
        </is>
      </c>
      <c r="H76" s="4" t="inlineStr">
        <is>
          <t>등기임원 연구소장</t>
        </is>
      </c>
      <c r="I76" s="4" t="inlineStr">
        <is>
          <t>주식매수선택권(+)</t>
        </is>
      </c>
      <c r="J76" s="15" t="n">
        <v>5000</v>
      </c>
      <c r="K76" s="7" t="n">
        <v>5450</v>
      </c>
      <c r="L76" s="15" t="n">
        <v>27250000</v>
      </c>
      <c r="M76" s="7" t="inlineStr"/>
      <c r="N76" s="14" t="inlineStr"/>
      <c r="O76" s="7" t="n">
        <v>1082500</v>
      </c>
      <c r="P76" s="13" t="n">
        <v>3.78</v>
      </c>
      <c r="Q76" s="2" t="inlineStr">
        <is>
          <t>20230321001343</t>
        </is>
      </c>
      <c r="R76" s="3">
        <f>HYPERLINK("https://dart.fss.or.kr/dsaf001/main.do?rcpNo=20230321001343", "공시열람")</f>
        <v/>
      </c>
    </row>
    <row r="77">
      <c r="A77" s="2" t="inlineStr">
        <is>
          <t>2023-03-21</t>
        </is>
      </c>
      <c r="B77" s="4" t="inlineStr">
        <is>
          <t>라온텍</t>
        </is>
      </c>
      <c r="C77" s="2" t="inlineStr">
        <is>
          <t>418420</t>
        </is>
      </c>
      <c r="D77" s="2" t="inlineStr">
        <is>
          <t>대량보유</t>
        </is>
      </c>
      <c r="E77" s="2" t="inlineStr">
        <is>
          <t>2023-03-15</t>
        </is>
      </c>
      <c r="F77" s="2" t="inlineStr">
        <is>
          <t>2023-03-15</t>
        </is>
      </c>
      <c r="G77" s="4" t="inlineStr">
        <is>
          <t>김민석</t>
        </is>
      </c>
      <c r="H77" s="4" t="inlineStr">
        <is>
          <t>특별관계자</t>
        </is>
      </c>
      <c r="I77" s="4" t="inlineStr">
        <is>
          <t>주식매수선택권행사(+)</t>
        </is>
      </c>
      <c r="J77" s="15" t="n">
        <v>20000</v>
      </c>
      <c r="K77" s="7" t="n">
        <v>800</v>
      </c>
      <c r="L77" s="15" t="n">
        <v>16000000</v>
      </c>
      <c r="M77" s="7" t="n">
        <v>8862500</v>
      </c>
      <c r="N77" s="13" t="n">
        <v>31.16</v>
      </c>
      <c r="O77" s="7" t="n">
        <v>225000</v>
      </c>
      <c r="P77" s="13" t="n">
        <v>30.95</v>
      </c>
      <c r="Q77" s="2" t="inlineStr">
        <is>
          <t>20230321001303</t>
        </is>
      </c>
      <c r="R77" s="3">
        <f>HYPERLINK("https://dart.fss.or.kr/dsaf001/main.do?rcpNo=20230321001303", "공시열람")</f>
        <v/>
      </c>
    </row>
    <row r="78">
      <c r="A78" s="2" t="inlineStr">
        <is>
          <t>2023-03-21</t>
        </is>
      </c>
      <c r="B78" s="4" t="inlineStr">
        <is>
          <t>라온텍</t>
        </is>
      </c>
      <c r="C78" s="2" t="inlineStr">
        <is>
          <t>418420</t>
        </is>
      </c>
      <c r="D78" s="2" t="inlineStr">
        <is>
          <t>대량보유</t>
        </is>
      </c>
      <c r="E78" s="2" t="inlineStr">
        <is>
          <t>2023-03-15</t>
        </is>
      </c>
      <c r="F78" s="2" t="inlineStr">
        <is>
          <t>2023-03-15</t>
        </is>
      </c>
      <c r="G78" s="4" t="inlineStr">
        <is>
          <t>김민석</t>
        </is>
      </c>
      <c r="H78" s="4" t="inlineStr">
        <is>
          <t>특별관계자</t>
        </is>
      </c>
      <c r="I78" s="4" t="inlineStr">
        <is>
          <t>주식매수선택권행사(-)</t>
        </is>
      </c>
      <c r="J78" s="12" t="n">
        <v>-20000</v>
      </c>
      <c r="K78" s="7" t="n">
        <v>800</v>
      </c>
      <c r="L78" s="12" t="n">
        <v>-16000000</v>
      </c>
      <c r="M78" s="7" t="n">
        <v>8862500</v>
      </c>
      <c r="N78" s="13" t="n">
        <v>31.16</v>
      </c>
      <c r="O78" s="7" t="n">
        <v>135500</v>
      </c>
      <c r="P78" s="13" t="n">
        <v>30.95</v>
      </c>
      <c r="Q78" s="2" t="inlineStr">
        <is>
          <t>20230321001303</t>
        </is>
      </c>
      <c r="R78" s="3">
        <f>HYPERLINK("https://dart.fss.or.kr/dsaf001/main.do?rcpNo=20230321001303", "공시열람")</f>
        <v/>
      </c>
    </row>
    <row r="79">
      <c r="A79" s="2" t="inlineStr">
        <is>
          <t>2023-03-21</t>
        </is>
      </c>
      <c r="B79" s="4" t="inlineStr">
        <is>
          <t>라온텍</t>
        </is>
      </c>
      <c r="C79" s="2" t="inlineStr">
        <is>
          <t>418420</t>
        </is>
      </c>
      <c r="D79" s="2" t="inlineStr">
        <is>
          <t>대량보유</t>
        </is>
      </c>
      <c r="E79" s="2" t="inlineStr">
        <is>
          <t>2023-03-15</t>
        </is>
      </c>
      <c r="F79" s="2" t="inlineStr">
        <is>
          <t>2023-03-15</t>
        </is>
      </c>
      <c r="G79" s="4" t="inlineStr">
        <is>
          <t>정민수</t>
        </is>
      </c>
      <c r="H79" s="4" t="inlineStr">
        <is>
          <t>특별관계자</t>
        </is>
      </c>
      <c r="I79" s="4" t="inlineStr">
        <is>
          <t>주식매수선택권행사(-)</t>
        </is>
      </c>
      <c r="J79" s="12" t="n">
        <v>-5000</v>
      </c>
      <c r="K79" s="7" t="n">
        <v>800</v>
      </c>
      <c r="L79" s="12" t="n">
        <v>-4000000</v>
      </c>
      <c r="M79" s="7" t="n">
        <v>8862500</v>
      </c>
      <c r="N79" s="13" t="n">
        <v>31.16</v>
      </c>
      <c r="O79" s="7" t="n">
        <v>137000</v>
      </c>
      <c r="P79" s="13" t="n">
        <v>30.95</v>
      </c>
      <c r="Q79" s="2" t="inlineStr">
        <is>
          <t>20230321001303</t>
        </is>
      </c>
      <c r="R79" s="3">
        <f>HYPERLINK("https://dart.fss.or.kr/dsaf001/main.do?rcpNo=20230321001303", "공시열람")</f>
        <v/>
      </c>
    </row>
    <row r="80">
      <c r="A80" s="2" t="inlineStr">
        <is>
          <t>2023-03-20</t>
        </is>
      </c>
      <c r="B80" s="4" t="inlineStr">
        <is>
          <t>라온텍</t>
        </is>
      </c>
      <c r="C80" s="2" t="inlineStr">
        <is>
          <t>418420</t>
        </is>
      </c>
      <c r="D80" s="2" t="inlineStr">
        <is>
          <t>대량보유</t>
        </is>
      </c>
      <c r="E80" s="2" t="inlineStr">
        <is>
          <t>2023-03-09</t>
        </is>
      </c>
      <c r="F80" s="2" t="inlineStr">
        <is>
          <t>2023-03-09</t>
        </is>
      </c>
      <c r="G80" s="4" t="inlineStr">
        <is>
          <t>대신증권주식회사</t>
        </is>
      </c>
      <c r="H80" s="4" t="inlineStr">
        <is>
          <t>특별관계자</t>
        </is>
      </c>
      <c r="I80" s="4" t="inlineStr">
        <is>
          <t>신규상장(+)</t>
        </is>
      </c>
      <c r="J80" s="15" t="n">
        <v>1371852</v>
      </c>
      <c r="K80" s="7" t="n">
        <v>5420</v>
      </c>
      <c r="L80" s="15" t="n">
        <v>7435437840</v>
      </c>
      <c r="M80" s="7" t="inlineStr"/>
      <c r="N80" s="14" t="inlineStr"/>
      <c r="O80" s="7" t="n">
        <v>452712</v>
      </c>
      <c r="P80" s="13" t="n">
        <v>6.25</v>
      </c>
      <c r="Q80" s="2" t="inlineStr">
        <is>
          <t>20230320000646</t>
        </is>
      </c>
      <c r="R80" s="3">
        <f>HYPERLINK("https://dart.fss.or.kr/dsaf001/main.do?rcpNo=20230320000646", "공시열람")</f>
        <v/>
      </c>
    </row>
    <row r="81">
      <c r="A81" s="2" t="inlineStr">
        <is>
          <t>2023-03-20</t>
        </is>
      </c>
      <c r="B81" s="4" t="inlineStr">
        <is>
          <t>라온텍</t>
        </is>
      </c>
      <c r="C81" s="2" t="inlineStr">
        <is>
          <t>418420</t>
        </is>
      </c>
      <c r="D81" s="2" t="inlineStr">
        <is>
          <t>대량보유</t>
        </is>
      </c>
      <c r="E81" s="2" t="inlineStr">
        <is>
          <t>2023-03-10</t>
        </is>
      </c>
      <c r="F81" s="2" t="inlineStr">
        <is>
          <t>2023-03-10</t>
        </is>
      </c>
      <c r="G81" s="4" t="inlineStr">
        <is>
          <t>대신-코너스톤신기술투자조합제1호</t>
        </is>
      </c>
      <c r="H81" s="4" t="inlineStr">
        <is>
          <t>기타</t>
        </is>
      </c>
      <c r="I81" s="4" t="inlineStr">
        <is>
          <t>장내매수(+)</t>
        </is>
      </c>
      <c r="J81" s="15" t="n">
        <v>6000</v>
      </c>
      <c r="K81" s="7" t="n">
        <v>6030</v>
      </c>
      <c r="L81" s="15" t="n">
        <v>36180000</v>
      </c>
      <c r="M81" s="7" t="inlineStr"/>
      <c r="N81" s="14" t="inlineStr"/>
      <c r="O81" s="7" t="n">
        <v>1646241</v>
      </c>
      <c r="P81" s="13" t="n">
        <v>6.25</v>
      </c>
      <c r="Q81" s="2" t="inlineStr">
        <is>
          <t>20230320000646</t>
        </is>
      </c>
      <c r="R81" s="3">
        <f>HYPERLINK("https://dart.fss.or.kr/dsaf001/main.do?rcpNo=20230320000646", "공시열람")</f>
        <v/>
      </c>
    </row>
    <row r="82">
      <c r="A82" s="2" t="inlineStr">
        <is>
          <t>2023-03-20</t>
        </is>
      </c>
      <c r="B82" s="4" t="inlineStr">
        <is>
          <t>라온텍</t>
        </is>
      </c>
      <c r="C82" s="2" t="inlineStr">
        <is>
          <t>418420</t>
        </is>
      </c>
      <c r="D82" s="2" t="inlineStr">
        <is>
          <t>대량보유</t>
        </is>
      </c>
      <c r="E82" s="2" t="inlineStr">
        <is>
          <t>2023-03-09</t>
        </is>
      </c>
      <c r="F82" s="2" t="inlineStr">
        <is>
          <t>2023-03-11</t>
        </is>
      </c>
      <c r="G82" s="4" t="inlineStr">
        <is>
          <t>대신-코너스톤신기술투자조합제1호</t>
        </is>
      </c>
      <c r="H82" s="4" t="inlineStr">
        <is>
          <t>기타</t>
        </is>
      </c>
      <c r="I82" s="4" t="inlineStr">
        <is>
          <t>장내매도(-)</t>
        </is>
      </c>
      <c r="J82" s="12" t="n">
        <v>-995272</v>
      </c>
      <c r="K82" s="7" t="n">
        <v>5922</v>
      </c>
      <c r="L82" s="12" t="n">
        <v>-5894000784</v>
      </c>
      <c r="M82" s="7" t="inlineStr"/>
      <c r="N82" s="14" t="inlineStr"/>
      <c r="O82" s="7" t="n">
        <v>1347241</v>
      </c>
      <c r="P82" s="13" t="n">
        <v>6.25</v>
      </c>
      <c r="Q82" s="2" t="inlineStr">
        <is>
          <t>20230320000646</t>
        </is>
      </c>
      <c r="R82" s="3">
        <f>HYPERLINK("https://dart.fss.or.kr/dsaf001/main.do?rcpNo=20230320000646", "공시열람")</f>
        <v/>
      </c>
    </row>
    <row r="83">
      <c r="A83" s="2" t="inlineStr">
        <is>
          <t>2023-03-20</t>
        </is>
      </c>
      <c r="B83" s="4" t="inlineStr">
        <is>
          <t>라온텍</t>
        </is>
      </c>
      <c r="C83" s="2" t="inlineStr">
        <is>
          <t>418420</t>
        </is>
      </c>
      <c r="D83" s="2" t="inlineStr">
        <is>
          <t>대량보유</t>
        </is>
      </c>
      <c r="E83" s="2" t="inlineStr">
        <is>
          <t>2023-03-09</t>
        </is>
      </c>
      <c r="F83" s="2" t="inlineStr">
        <is>
          <t>2023-03-09</t>
        </is>
      </c>
      <c r="G83" s="4" t="inlineStr">
        <is>
          <t>대신-코너스톤신기술투자조합제1호</t>
        </is>
      </c>
      <c r="H83" s="4" t="inlineStr">
        <is>
          <t>기타</t>
        </is>
      </c>
      <c r="I83" s="4" t="inlineStr">
        <is>
          <t>신규상장(+)</t>
        </is>
      </c>
      <c r="J83" s="15" t="n">
        <v>4999995</v>
      </c>
      <c r="K83" s="7" t="n">
        <v>5420</v>
      </c>
      <c r="L83" s="15" t="n">
        <v>27099972900</v>
      </c>
      <c r="M83" s="7" t="inlineStr"/>
      <c r="N83" s="14" t="inlineStr"/>
      <c r="O83" s="7" t="n">
        <v>1666665</v>
      </c>
      <c r="P83" s="13" t="n">
        <v>6.25</v>
      </c>
      <c r="Q83" s="2" t="inlineStr">
        <is>
          <t>20230320000646</t>
        </is>
      </c>
      <c r="R83" s="3">
        <f>HYPERLINK("https://dart.fss.or.kr/dsaf001/main.do?rcpNo=20230320000646", "공시열람")</f>
        <v/>
      </c>
    </row>
    <row r="84">
      <c r="A84" s="2" t="inlineStr">
        <is>
          <t>2023-03-16</t>
        </is>
      </c>
      <c r="B84" s="4" t="inlineStr">
        <is>
          <t>라온텍</t>
        </is>
      </c>
      <c r="C84" s="2" t="inlineStr">
        <is>
          <t>418420</t>
        </is>
      </c>
      <c r="D84" s="2" t="inlineStr">
        <is>
          <t>대량보유</t>
        </is>
      </c>
      <c r="E84" s="2" t="inlineStr">
        <is>
          <t>2023-03-09</t>
        </is>
      </c>
      <c r="F84" s="2" t="inlineStr">
        <is>
          <t>2023-03-09</t>
        </is>
      </c>
      <c r="G84" s="4" t="inlineStr">
        <is>
          <t>대신-코너스톤신기술투자조합제1호</t>
        </is>
      </c>
      <c r="H84" s="4" t="inlineStr">
        <is>
          <t>기타</t>
        </is>
      </c>
      <c r="I84" s="4" t="inlineStr">
        <is>
          <t>신규상장(+)</t>
        </is>
      </c>
      <c r="J84" s="15" t="n">
        <v>1666665</v>
      </c>
      <c r="K84" s="7" t="n">
        <v>5420</v>
      </c>
      <c r="L84" s="15" t="n">
        <v>9033324300</v>
      </c>
      <c r="M84" s="7" t="inlineStr"/>
      <c r="N84" s="14" t="inlineStr"/>
      <c r="O84" s="7" t="n">
        <v>1666665</v>
      </c>
      <c r="P84" s="13" t="n">
        <v>6.25</v>
      </c>
      <c r="Q84" s="2" t="inlineStr">
        <is>
          <t>20230316001088</t>
        </is>
      </c>
      <c r="R84" s="3">
        <f>HYPERLINK("https://dart.fss.or.kr/dsaf001/main.do?rcpNo=20230316001088", "공시열람")</f>
        <v/>
      </c>
    </row>
    <row r="85">
      <c r="A85" s="2" t="inlineStr">
        <is>
          <t>2023-03-16</t>
        </is>
      </c>
      <c r="B85" s="4" t="inlineStr">
        <is>
          <t>라온텍</t>
        </is>
      </c>
      <c r="C85" s="2" t="inlineStr">
        <is>
          <t>418420</t>
        </is>
      </c>
      <c r="D85" s="2" t="inlineStr">
        <is>
          <t>대량보유</t>
        </is>
      </c>
      <c r="E85" s="2" t="inlineStr">
        <is>
          <t>2023-03-10</t>
        </is>
      </c>
      <c r="F85" s="2" t="inlineStr">
        <is>
          <t>2023-03-10</t>
        </is>
      </c>
      <c r="G85" s="4" t="inlineStr">
        <is>
          <t>대신-코너스톤신기술투자조합제1호</t>
        </is>
      </c>
      <c r="H85" s="4" t="inlineStr">
        <is>
          <t>기타</t>
        </is>
      </c>
      <c r="I85" s="4" t="inlineStr">
        <is>
          <t>장내매수(+)</t>
        </is>
      </c>
      <c r="J85" s="15" t="n">
        <v>2000</v>
      </c>
      <c r="K85" s="7" t="n">
        <v>6030</v>
      </c>
      <c r="L85" s="15" t="n">
        <v>12060000</v>
      </c>
      <c r="M85" s="7" t="inlineStr"/>
      <c r="N85" s="14" t="inlineStr"/>
      <c r="O85" s="7" t="n">
        <v>1646241</v>
      </c>
      <c r="P85" s="13" t="n">
        <v>6.25</v>
      </c>
      <c r="Q85" s="2" t="inlineStr">
        <is>
          <t>20230316001088</t>
        </is>
      </c>
      <c r="R85" s="3">
        <f>HYPERLINK("https://dart.fss.or.kr/dsaf001/main.do?rcpNo=20230316001088", "공시열람")</f>
        <v/>
      </c>
    </row>
    <row r="86">
      <c r="A86" s="2" t="inlineStr">
        <is>
          <t>2023-03-16</t>
        </is>
      </c>
      <c r="B86" s="4" t="inlineStr">
        <is>
          <t>라온텍</t>
        </is>
      </c>
      <c r="C86" s="2" t="inlineStr">
        <is>
          <t>418420</t>
        </is>
      </c>
      <c r="D86" s="2" t="inlineStr">
        <is>
          <t>대량보유</t>
        </is>
      </c>
      <c r="E86" s="2" t="inlineStr">
        <is>
          <t>2023-03-09</t>
        </is>
      </c>
      <c r="F86" s="2" t="inlineStr">
        <is>
          <t>2023-03-11</t>
        </is>
      </c>
      <c r="G86" s="4" t="inlineStr">
        <is>
          <t>대신-코너스톤신기술투자조합제1호</t>
        </is>
      </c>
      <c r="H86" s="4" t="inlineStr">
        <is>
          <t>기타</t>
        </is>
      </c>
      <c r="I86" s="4" t="inlineStr">
        <is>
          <t>장내매도(-)</t>
        </is>
      </c>
      <c r="J86" s="12" t="n">
        <v>-352424</v>
      </c>
      <c r="K86" s="7" t="n">
        <v>5924</v>
      </c>
      <c r="L86" s="12" t="n">
        <v>-2087759776</v>
      </c>
      <c r="M86" s="7" t="inlineStr"/>
      <c r="N86" s="14" t="inlineStr"/>
      <c r="O86" s="7" t="n">
        <v>1316241</v>
      </c>
      <c r="P86" s="13" t="n">
        <v>6.25</v>
      </c>
      <c r="Q86" s="2" t="inlineStr">
        <is>
          <t>20230316001088</t>
        </is>
      </c>
      <c r="R86" s="3">
        <f>HYPERLINK("https://dart.fss.or.kr/dsaf001/main.do?rcpNo=20230316001088", "공시열람")</f>
        <v/>
      </c>
    </row>
    <row r="87">
      <c r="A87" s="2" t="inlineStr">
        <is>
          <t>2023-03-16</t>
        </is>
      </c>
      <c r="B87" s="4" t="inlineStr">
        <is>
          <t>라온텍</t>
        </is>
      </c>
      <c r="C87" s="2" t="inlineStr">
        <is>
          <t>418420</t>
        </is>
      </c>
      <c r="D87" s="2" t="inlineStr">
        <is>
          <t>대량보유</t>
        </is>
      </c>
      <c r="E87" s="2" t="inlineStr">
        <is>
          <t>2023-03-09</t>
        </is>
      </c>
      <c r="F87" s="2" t="inlineStr">
        <is>
          <t>2023-03-09</t>
        </is>
      </c>
      <c r="G87" s="4" t="inlineStr">
        <is>
          <t>대신증권주식회사</t>
        </is>
      </c>
      <c r="H87" s="4" t="inlineStr">
        <is>
          <t>특별관계자</t>
        </is>
      </c>
      <c r="I87" s="4" t="inlineStr">
        <is>
          <t>신규상장(+)</t>
        </is>
      </c>
      <c r="J87" s="15" t="n">
        <v>457284</v>
      </c>
      <c r="K87" s="7" t="n">
        <v>5420</v>
      </c>
      <c r="L87" s="15" t="n">
        <v>2478479280</v>
      </c>
      <c r="M87" s="7" t="inlineStr"/>
      <c r="N87" s="14" t="inlineStr"/>
      <c r="O87" s="7" t="n">
        <v>452712</v>
      </c>
      <c r="P87" s="13" t="n">
        <v>6.25</v>
      </c>
      <c r="Q87" s="2" t="inlineStr">
        <is>
          <t>20230316001088</t>
        </is>
      </c>
      <c r="R87" s="3">
        <f>HYPERLINK("https://dart.fss.or.kr/dsaf001/main.do?rcpNo=20230316001088", "공시열람")</f>
        <v/>
      </c>
    </row>
    <row r="88">
      <c r="A88" s="2" t="inlineStr">
        <is>
          <t>2023-03-15</t>
        </is>
      </c>
      <c r="B88" s="4" t="inlineStr">
        <is>
          <t>라온텍</t>
        </is>
      </c>
      <c r="C88" s="2" t="inlineStr">
        <is>
          <t>418420</t>
        </is>
      </c>
      <c r="D88" s="2" t="inlineStr">
        <is>
          <t>임원보고</t>
        </is>
      </c>
      <c r="E88" s="2" t="inlineStr">
        <is>
          <t>2023-03-09</t>
        </is>
      </c>
      <c r="F88" s="2" t="inlineStr">
        <is>
          <t>2023-03-09</t>
        </is>
      </c>
      <c r="G88" s="4" t="inlineStr">
        <is>
          <t>김보은</t>
        </is>
      </c>
      <c r="H88" s="4" t="inlineStr">
        <is>
          <t>등기임원 대표이사, 10%이상주주</t>
        </is>
      </c>
      <c r="I88" s="4" t="inlineStr">
        <is>
          <t>신규상장(+)</t>
        </is>
      </c>
      <c r="J88" s="15" t="n">
        <v>5940000</v>
      </c>
      <c r="K88" s="7" t="n">
        <v>5420</v>
      </c>
      <c r="L88" s="15" t="n">
        <v>32194800000</v>
      </c>
      <c r="M88" s="7" t="inlineStr"/>
      <c r="N88" s="14" t="inlineStr"/>
      <c r="O88" s="7" t="n">
        <v>5940000</v>
      </c>
      <c r="P88" s="13" t="n">
        <v>20.88</v>
      </c>
      <c r="Q88" s="2" t="inlineStr">
        <is>
          <t>20230315000498</t>
        </is>
      </c>
      <c r="R88" s="3">
        <f>HYPERLINK("https://dart.fss.or.kr/dsaf001/main.do?rcpNo=20230315000498", "공시열람")</f>
        <v/>
      </c>
    </row>
    <row r="89">
      <c r="A89" s="2" t="inlineStr">
        <is>
          <t>2023-03-15</t>
        </is>
      </c>
      <c r="B89" s="4" t="inlineStr">
        <is>
          <t>라온텍</t>
        </is>
      </c>
      <c r="C89" s="2" t="inlineStr">
        <is>
          <t>418420</t>
        </is>
      </c>
      <c r="D89" s="2" t="inlineStr">
        <is>
          <t>임원보고</t>
        </is>
      </c>
      <c r="E89" s="2" t="inlineStr">
        <is>
          <t>2023-03-09</t>
        </is>
      </c>
      <c r="F89" s="2" t="inlineStr">
        <is>
          <t>2023-03-09</t>
        </is>
      </c>
      <c r="G89" s="4" t="inlineStr">
        <is>
          <t>정민수</t>
        </is>
      </c>
      <c r="H89" s="4" t="inlineStr">
        <is>
          <t>등기임원 연구소장</t>
        </is>
      </c>
      <c r="I89" s="4" t="inlineStr">
        <is>
          <t>신규상장(+)</t>
        </is>
      </c>
      <c r="J89" s="15" t="n">
        <v>1077500</v>
      </c>
      <c r="K89" s="7" t="n">
        <v>5420</v>
      </c>
      <c r="L89" s="15" t="n">
        <v>5840050000</v>
      </c>
      <c r="M89" s="7" t="inlineStr"/>
      <c r="N89" s="14" t="inlineStr"/>
      <c r="O89" s="7" t="n">
        <v>1077500</v>
      </c>
      <c r="P89" s="13" t="n">
        <v>3.79</v>
      </c>
      <c r="Q89" s="2" t="inlineStr">
        <is>
          <t>20230315000623</t>
        </is>
      </c>
      <c r="R89" s="3">
        <f>HYPERLINK("https://dart.fss.or.kr/dsaf001/main.do?rcpNo=20230315000623", "공시열람")</f>
        <v/>
      </c>
    </row>
    <row r="90">
      <c r="A90" s="2" t="inlineStr">
        <is>
          <t>2023-03-15</t>
        </is>
      </c>
      <c r="B90" s="4" t="inlineStr">
        <is>
          <t>라온텍</t>
        </is>
      </c>
      <c r="C90" s="2" t="inlineStr">
        <is>
          <t>418420</t>
        </is>
      </c>
      <c r="D90" s="2" t="inlineStr">
        <is>
          <t>임원보고</t>
        </is>
      </c>
      <c r="E90" s="2" t="inlineStr">
        <is>
          <t>2023-03-09</t>
        </is>
      </c>
      <c r="F90" s="2" t="inlineStr">
        <is>
          <t>2023-03-09</t>
        </is>
      </c>
      <c r="G90" s="4" t="inlineStr">
        <is>
          <t>김민석</t>
        </is>
      </c>
      <c r="H90" s="4" t="inlineStr">
        <is>
          <t>등기임원 연구소장</t>
        </is>
      </c>
      <c r="I90" s="4" t="inlineStr">
        <is>
          <t>신규상장(+)</t>
        </is>
      </c>
      <c r="J90" s="15" t="n">
        <v>205000</v>
      </c>
      <c r="K90" s="7" t="n">
        <v>5420</v>
      </c>
      <c r="L90" s="15" t="n">
        <v>1111100000</v>
      </c>
      <c r="M90" s="7" t="inlineStr"/>
      <c r="N90" s="14" t="inlineStr"/>
      <c r="O90" s="7" t="n">
        <v>205000</v>
      </c>
      <c r="P90" s="13" t="n">
        <v>0.72</v>
      </c>
      <c r="Q90" s="2" t="inlineStr">
        <is>
          <t>20230315000653</t>
        </is>
      </c>
      <c r="R90" s="3">
        <f>HYPERLINK("https://dart.fss.or.kr/dsaf001/main.do?rcpNo=20230315000653", "공시열람")</f>
        <v/>
      </c>
    </row>
    <row r="91">
      <c r="A91" s="2" t="inlineStr">
        <is>
          <t>2023-03-15</t>
        </is>
      </c>
      <c r="B91" s="4" t="inlineStr">
        <is>
          <t>라온텍</t>
        </is>
      </c>
      <c r="C91" s="2" t="inlineStr">
        <is>
          <t>418420</t>
        </is>
      </c>
      <c r="D91" s="2" t="inlineStr">
        <is>
          <t>임원보고</t>
        </is>
      </c>
      <c r="E91" s="2" t="inlineStr">
        <is>
          <t>2023-03-09</t>
        </is>
      </c>
      <c r="F91" s="2" t="inlineStr">
        <is>
          <t>2023-03-09</t>
        </is>
      </c>
      <c r="G91" s="4" t="inlineStr">
        <is>
          <t>김선욱</t>
        </is>
      </c>
      <c r="H91" s="4" t="inlineStr">
        <is>
          <t>등기임원 사외이사</t>
        </is>
      </c>
      <c r="I91" s="4" t="inlineStr">
        <is>
          <t>신규상장(+)</t>
        </is>
      </c>
      <c r="J91" s="15" t="n">
        <v>50000</v>
      </c>
      <c r="K91" s="7" t="n">
        <v>5420</v>
      </c>
      <c r="L91" s="15" t="n">
        <v>271000000</v>
      </c>
      <c r="M91" s="7" t="inlineStr"/>
      <c r="N91" s="14" t="inlineStr"/>
      <c r="O91" s="7" t="n">
        <v>50000</v>
      </c>
      <c r="P91" s="13" t="n">
        <v>0.18</v>
      </c>
      <c r="Q91" s="2" t="inlineStr">
        <is>
          <t>20230315000679</t>
        </is>
      </c>
      <c r="R91" s="3">
        <f>HYPERLINK("https://dart.fss.or.kr/dsaf001/main.do?rcpNo=20230315000679", "공시열람")</f>
        <v/>
      </c>
    </row>
    <row r="92">
      <c r="A92" s="2" t="inlineStr">
        <is>
          <t>2023-03-15</t>
        </is>
      </c>
      <c r="B92" s="4" t="inlineStr">
        <is>
          <t>라온텍</t>
        </is>
      </c>
      <c r="C92" s="2" t="inlineStr">
        <is>
          <t>418420</t>
        </is>
      </c>
      <c r="D92" s="2" t="inlineStr">
        <is>
          <t>임원보고</t>
        </is>
      </c>
      <c r="E92" s="2" t="inlineStr">
        <is>
          <t>2023-03-09</t>
        </is>
      </c>
      <c r="F92" s="2" t="inlineStr">
        <is>
          <t>2023-03-09</t>
        </is>
      </c>
      <c r="G92" s="4" t="inlineStr">
        <is>
          <t>한성준</t>
        </is>
      </c>
      <c r="H92" s="4" t="inlineStr">
        <is>
          <t>비등기임원 상무이사</t>
        </is>
      </c>
      <c r="I92" s="4" t="inlineStr">
        <is>
          <t>신규상장(+)</t>
        </is>
      </c>
      <c r="J92" s="15" t="n">
        <v>220625</v>
      </c>
      <c r="K92" s="7" t="n">
        <v>5420</v>
      </c>
      <c r="L92" s="15" t="n">
        <v>1195787500</v>
      </c>
      <c r="M92" s="7" t="inlineStr"/>
      <c r="N92" s="14" t="inlineStr"/>
      <c r="O92" s="7" t="n">
        <v>220625</v>
      </c>
      <c r="P92" s="13" t="n">
        <v>0.78</v>
      </c>
      <c r="Q92" s="2" t="inlineStr">
        <is>
          <t>20230315000714</t>
        </is>
      </c>
      <c r="R92" s="3">
        <f>HYPERLINK("https://dart.fss.or.kr/dsaf001/main.do?rcpNo=20230315000714", "공시열람")</f>
        <v/>
      </c>
    </row>
    <row r="93">
      <c r="A93" s="2" t="inlineStr">
        <is>
          <t>2023-03-15</t>
        </is>
      </c>
      <c r="B93" s="4" t="inlineStr">
        <is>
          <t>라온텍</t>
        </is>
      </c>
      <c r="C93" s="2" t="inlineStr">
        <is>
          <t>418420</t>
        </is>
      </c>
      <c r="D93" s="2" t="inlineStr">
        <is>
          <t>임원보고</t>
        </is>
      </c>
      <c r="E93" s="2" t="inlineStr">
        <is>
          <t>2023-03-09</t>
        </is>
      </c>
      <c r="F93" s="2" t="inlineStr">
        <is>
          <t>2023-03-09</t>
        </is>
      </c>
      <c r="G93" s="4" t="inlineStr">
        <is>
          <t>이광수</t>
        </is>
      </c>
      <c r="H93" s="4" t="inlineStr">
        <is>
          <t>비등기임원 상무이사</t>
        </is>
      </c>
      <c r="I93" s="4" t="inlineStr">
        <is>
          <t>신규상장(+)</t>
        </is>
      </c>
      <c r="J93" s="15" t="n">
        <v>241750</v>
      </c>
      <c r="K93" s="7" t="n">
        <v>5420</v>
      </c>
      <c r="L93" s="15" t="n">
        <v>1310285000</v>
      </c>
      <c r="M93" s="7" t="inlineStr"/>
      <c r="N93" s="14" t="inlineStr"/>
      <c r="O93" s="7" t="n">
        <v>241750</v>
      </c>
      <c r="P93" s="13" t="n">
        <v>0.85</v>
      </c>
      <c r="Q93" s="2" t="inlineStr">
        <is>
          <t>20230315000731</t>
        </is>
      </c>
      <c r="R93" s="3">
        <f>HYPERLINK("https://dart.fss.or.kr/dsaf001/main.do?rcpNo=20230315000731", "공시열람")</f>
        <v/>
      </c>
    </row>
    <row r="94">
      <c r="A94" s="2" t="inlineStr">
        <is>
          <t>2023-03-15</t>
        </is>
      </c>
      <c r="B94" s="4" t="inlineStr">
        <is>
          <t>라온텍</t>
        </is>
      </c>
      <c r="C94" s="2" t="inlineStr">
        <is>
          <t>418420</t>
        </is>
      </c>
      <c r="D94" s="2" t="inlineStr">
        <is>
          <t>임원보고</t>
        </is>
      </c>
      <c r="E94" s="2" t="inlineStr">
        <is>
          <t>2023-03-09</t>
        </is>
      </c>
      <c r="F94" s="2" t="inlineStr">
        <is>
          <t>2023-03-09</t>
        </is>
      </c>
      <c r="G94" s="4" t="inlineStr">
        <is>
          <t>조성재</t>
        </is>
      </c>
      <c r="H94" s="4" t="inlineStr">
        <is>
          <t>비등기임원 전무이사</t>
        </is>
      </c>
      <c r="I94" s="4" t="inlineStr">
        <is>
          <t>신규상장(+)</t>
        </is>
      </c>
      <c r="J94" s="15" t="n">
        <v>300000</v>
      </c>
      <c r="K94" s="7" t="n">
        <v>5420</v>
      </c>
      <c r="L94" s="15" t="n">
        <v>1626000000</v>
      </c>
      <c r="M94" s="7" t="inlineStr"/>
      <c r="N94" s="14" t="inlineStr"/>
      <c r="O94" s="7" t="n">
        <v>300000</v>
      </c>
      <c r="P94" s="13" t="n">
        <v>1.05</v>
      </c>
      <c r="Q94" s="2" t="inlineStr">
        <is>
          <t>20230315000757</t>
        </is>
      </c>
      <c r="R94" s="3">
        <f>HYPERLINK("https://dart.fss.or.kr/dsaf001/main.do?rcpNo=20230315000757", "공시열람")</f>
        <v/>
      </c>
    </row>
    <row r="95">
      <c r="A95" s="2" t="inlineStr">
        <is>
          <t>2023-03-15</t>
        </is>
      </c>
      <c r="B95" s="4" t="inlineStr">
        <is>
          <t>라온텍</t>
        </is>
      </c>
      <c r="C95" s="2" t="inlineStr">
        <is>
          <t>418420</t>
        </is>
      </c>
      <c r="D95" s="2" t="inlineStr">
        <is>
          <t>대량보유</t>
        </is>
      </c>
      <c r="E95" s="2" t="inlineStr">
        <is>
          <t>2023-03-09</t>
        </is>
      </c>
      <c r="F95" s="2" t="inlineStr">
        <is>
          <t>2023-03-09</t>
        </is>
      </c>
      <c r="G95" s="4" t="inlineStr">
        <is>
          <t>다산에스비에이재기투자조합</t>
        </is>
      </c>
      <c r="H95" s="4" t="inlineStr">
        <is>
          <t>특별관계자</t>
        </is>
      </c>
      <c r="I95" s="4" t="inlineStr">
        <is>
          <t>신규상장(+)</t>
        </is>
      </c>
      <c r="J95" s="15" t="n">
        <v>1695555</v>
      </c>
      <c r="K95" s="7" t="n">
        <v>5420</v>
      </c>
      <c r="L95" s="15" t="n">
        <v>9189908100</v>
      </c>
      <c r="M95" s="7" t="inlineStr"/>
      <c r="N95" s="14" t="inlineStr"/>
      <c r="O95" s="7" t="n">
        <v>1695555</v>
      </c>
      <c r="P95" s="13" t="n">
        <v>5.96</v>
      </c>
      <c r="Q95" s="2" t="inlineStr">
        <is>
          <t>20230315001406</t>
        </is>
      </c>
      <c r="R95" s="3">
        <f>HYPERLINK("https://dart.fss.or.kr/dsaf001/main.do?rcpNo=20230315001406", "공시열람")</f>
        <v/>
      </c>
    </row>
    <row r="96">
      <c r="A96" s="2" t="inlineStr">
        <is>
          <t>2023-03-14</t>
        </is>
      </c>
      <c r="B96" s="4" t="inlineStr">
        <is>
          <t>라온텍</t>
        </is>
      </c>
      <c r="C96" s="2" t="inlineStr">
        <is>
          <t>418420</t>
        </is>
      </c>
      <c r="D96" s="2" t="inlineStr">
        <is>
          <t>대량보유</t>
        </is>
      </c>
      <c r="E96" s="2" t="inlineStr">
        <is>
          <t>2023-03-09</t>
        </is>
      </c>
      <c r="F96" s="2" t="inlineStr">
        <is>
          <t>2023-03-09</t>
        </is>
      </c>
      <c r="G96" s="4" t="inlineStr">
        <is>
          <t>YOOSOOJEONG</t>
        </is>
      </c>
      <c r="H96" s="4" t="inlineStr">
        <is>
          <t>특별관계자</t>
        </is>
      </c>
      <c r="I96" s="4" t="inlineStr">
        <is>
          <t>신규상장(유상취득)(+)</t>
        </is>
      </c>
      <c r="J96" s="15" t="n">
        <v>7500</v>
      </c>
      <c r="K96" s="7" t="n">
        <v>5420</v>
      </c>
      <c r="L96" s="15" t="n">
        <v>40650000</v>
      </c>
      <c r="M96" s="7" t="inlineStr"/>
      <c r="N96" s="14" t="inlineStr"/>
      <c r="O96" s="7" t="n">
        <v>7500</v>
      </c>
      <c r="P96" s="13" t="n">
        <v>31.16</v>
      </c>
      <c r="Q96" s="2" t="inlineStr">
        <is>
          <t>20230314000834</t>
        </is>
      </c>
      <c r="R96" s="3">
        <f>HYPERLINK("https://dart.fss.or.kr/dsaf001/main.do?rcpNo=20230314000834", "공시열람")</f>
        <v/>
      </c>
    </row>
    <row r="97">
      <c r="A97" s="2" t="inlineStr">
        <is>
          <t>2023-03-14</t>
        </is>
      </c>
      <c r="B97" s="4" t="inlineStr">
        <is>
          <t>라온텍</t>
        </is>
      </c>
      <c r="C97" s="2" t="inlineStr">
        <is>
          <t>418420</t>
        </is>
      </c>
      <c r="D97" s="2" t="inlineStr">
        <is>
          <t>대량보유</t>
        </is>
      </c>
      <c r="E97" s="2" t="inlineStr">
        <is>
          <t>2023-03-09</t>
        </is>
      </c>
      <c r="F97" s="2" t="inlineStr">
        <is>
          <t>2023-03-09</t>
        </is>
      </c>
      <c r="G97" s="4" t="inlineStr">
        <is>
          <t>정민수</t>
        </is>
      </c>
      <c r="H97" s="4" t="inlineStr">
        <is>
          <t>특별관계자</t>
        </is>
      </c>
      <c r="I97" s="4" t="inlineStr">
        <is>
          <t>신규상장(무상취득)(+)</t>
        </is>
      </c>
      <c r="J97" s="15" t="n">
        <v>142000</v>
      </c>
      <c r="K97" s="7" t="n">
        <v>5420</v>
      </c>
      <c r="L97" s="15" t="n">
        <v>769640000</v>
      </c>
      <c r="M97" s="7" t="inlineStr"/>
      <c r="N97" s="14" t="inlineStr"/>
      <c r="O97" s="7" t="n">
        <v>142000</v>
      </c>
      <c r="P97" s="13" t="n">
        <v>31.16</v>
      </c>
      <c r="Q97" s="2" t="inlineStr">
        <is>
          <t>20230314000834</t>
        </is>
      </c>
      <c r="R97" s="3">
        <f>HYPERLINK("https://dart.fss.or.kr/dsaf001/main.do?rcpNo=20230314000834", "공시열람")</f>
        <v/>
      </c>
    </row>
    <row r="98">
      <c r="A98" s="2" t="inlineStr">
        <is>
          <t>2023-03-14</t>
        </is>
      </c>
      <c r="B98" s="4" t="inlineStr">
        <is>
          <t>라온텍</t>
        </is>
      </c>
      <c r="C98" s="2" t="inlineStr">
        <is>
          <t>418420</t>
        </is>
      </c>
      <c r="D98" s="2" t="inlineStr">
        <is>
          <t>대량보유</t>
        </is>
      </c>
      <c r="E98" s="2" t="inlineStr">
        <is>
          <t>2023-03-09</t>
        </is>
      </c>
      <c r="F98" s="2" t="inlineStr">
        <is>
          <t>2023-03-09</t>
        </is>
      </c>
      <c r="G98" s="4" t="inlineStr">
        <is>
          <t>JANGYOONKYENG</t>
        </is>
      </c>
      <c r="H98" s="4" t="inlineStr">
        <is>
          <t>특별관계자</t>
        </is>
      </c>
      <c r="I98" s="4" t="inlineStr">
        <is>
          <t>신규상장(유상취득)(+)</t>
        </is>
      </c>
      <c r="J98" s="15" t="n">
        <v>100000</v>
      </c>
      <c r="K98" s="7" t="n">
        <v>5420</v>
      </c>
      <c r="L98" s="15" t="n">
        <v>542000000</v>
      </c>
      <c r="M98" s="7" t="inlineStr"/>
      <c r="N98" s="14" t="inlineStr"/>
      <c r="O98" s="7" t="n">
        <v>100000</v>
      </c>
      <c r="P98" s="13" t="n">
        <v>31.16</v>
      </c>
      <c r="Q98" s="2" t="inlineStr">
        <is>
          <t>20230314000834</t>
        </is>
      </c>
      <c r="R98" s="3">
        <f>HYPERLINK("https://dart.fss.or.kr/dsaf001/main.do?rcpNo=20230314000834", "공시열람")</f>
        <v/>
      </c>
    </row>
    <row r="99">
      <c r="A99" s="2" t="inlineStr">
        <is>
          <t>2023-03-14</t>
        </is>
      </c>
      <c r="B99" s="4" t="inlineStr">
        <is>
          <t>라온텍</t>
        </is>
      </c>
      <c r="C99" s="2" t="inlineStr">
        <is>
          <t>418420</t>
        </is>
      </c>
      <c r="D99" s="2" t="inlineStr">
        <is>
          <t>대량보유</t>
        </is>
      </c>
      <c r="E99" s="2" t="inlineStr">
        <is>
          <t>2023-03-09</t>
        </is>
      </c>
      <c r="F99" s="2" t="inlineStr">
        <is>
          <t>2023-03-09</t>
        </is>
      </c>
      <c r="G99" s="4" t="inlineStr">
        <is>
          <t>정민수</t>
        </is>
      </c>
      <c r="H99" s="4" t="inlineStr">
        <is>
          <t>특별관계자</t>
        </is>
      </c>
      <c r="I99" s="4" t="inlineStr">
        <is>
          <t>신규상장(유상취득)(+)</t>
        </is>
      </c>
      <c r="J99" s="15" t="n">
        <v>1077500</v>
      </c>
      <c r="K99" s="7" t="n">
        <v>5420</v>
      </c>
      <c r="L99" s="15" t="n">
        <v>5840050000</v>
      </c>
      <c r="M99" s="7" t="inlineStr"/>
      <c r="N99" s="14" t="inlineStr"/>
      <c r="O99" s="7" t="n">
        <v>1077500</v>
      </c>
      <c r="P99" s="13" t="n">
        <v>31.16</v>
      </c>
      <c r="Q99" s="2" t="inlineStr">
        <is>
          <t>20230314000834</t>
        </is>
      </c>
      <c r="R99" s="3">
        <f>HYPERLINK("https://dart.fss.or.kr/dsaf001/main.do?rcpNo=20230314000834", "공시열람")</f>
        <v/>
      </c>
    </row>
    <row r="100">
      <c r="A100" s="2" t="inlineStr">
        <is>
          <t>2023-03-14</t>
        </is>
      </c>
      <c r="B100" s="4" t="inlineStr">
        <is>
          <t>라온텍</t>
        </is>
      </c>
      <c r="C100" s="2" t="inlineStr">
        <is>
          <t>418420</t>
        </is>
      </c>
      <c r="D100" s="2" t="inlineStr">
        <is>
          <t>대량보유</t>
        </is>
      </c>
      <c r="E100" s="2" t="inlineStr">
        <is>
          <t>2023-03-09</t>
        </is>
      </c>
      <c r="F100" s="2" t="inlineStr">
        <is>
          <t>2023-03-09</t>
        </is>
      </c>
      <c r="G100" s="4" t="inlineStr">
        <is>
          <t>고성은</t>
        </is>
      </c>
      <c r="H100" s="4" t="inlineStr">
        <is>
          <t>특별관계자</t>
        </is>
      </c>
      <c r="I100" s="4" t="inlineStr">
        <is>
          <t>신규상장(유상취득)(+)</t>
        </is>
      </c>
      <c r="J100" s="15" t="n">
        <v>1185000</v>
      </c>
      <c r="K100" s="7" t="n">
        <v>5420</v>
      </c>
      <c r="L100" s="15" t="n">
        <v>6422700000</v>
      </c>
      <c r="M100" s="7" t="inlineStr"/>
      <c r="N100" s="14" t="inlineStr"/>
      <c r="O100" s="7" t="n">
        <v>1185000</v>
      </c>
      <c r="P100" s="13" t="n">
        <v>31.16</v>
      </c>
      <c r="Q100" s="2" t="inlineStr">
        <is>
          <t>20230314000834</t>
        </is>
      </c>
      <c r="R100" s="3">
        <f>HYPERLINK("https://dart.fss.or.kr/dsaf001/main.do?rcpNo=20230314000834", "공시열람")</f>
        <v/>
      </c>
    </row>
    <row r="101">
      <c r="A101" s="2" t="inlineStr">
        <is>
          <t>2023-03-14</t>
        </is>
      </c>
      <c r="B101" s="4" t="inlineStr">
        <is>
          <t>라온텍</t>
        </is>
      </c>
      <c r="C101" s="2" t="inlineStr">
        <is>
          <t>418420</t>
        </is>
      </c>
      <c r="D101" s="2" t="inlineStr">
        <is>
          <t>대량보유</t>
        </is>
      </c>
      <c r="E101" s="2" t="inlineStr">
        <is>
          <t>2023-03-09</t>
        </is>
      </c>
      <c r="F101" s="2" t="inlineStr">
        <is>
          <t>2023-03-09</t>
        </is>
      </c>
      <c r="G101" s="4" t="inlineStr">
        <is>
          <t>김민석</t>
        </is>
      </c>
      <c r="H101" s="4" t="inlineStr">
        <is>
          <t>특별관계자</t>
        </is>
      </c>
      <c r="I101" s="4" t="inlineStr">
        <is>
          <t>신규상장(유상취득)(+)</t>
        </is>
      </c>
      <c r="J101" s="15" t="n">
        <v>205000</v>
      </c>
      <c r="K101" s="7" t="n">
        <v>5420</v>
      </c>
      <c r="L101" s="15" t="n">
        <v>1111100000</v>
      </c>
      <c r="M101" s="7" t="inlineStr"/>
      <c r="N101" s="14" t="inlineStr"/>
      <c r="O101" s="7" t="n">
        <v>205000</v>
      </c>
      <c r="P101" s="13" t="n">
        <v>31.16</v>
      </c>
      <c r="Q101" s="2" t="inlineStr">
        <is>
          <t>20230314000834</t>
        </is>
      </c>
      <c r="R101" s="3">
        <f>HYPERLINK("https://dart.fss.or.kr/dsaf001/main.do?rcpNo=20230314000834", "공시열람")</f>
        <v/>
      </c>
    </row>
    <row r="102">
      <c r="A102" s="2" t="inlineStr">
        <is>
          <t>2023-03-14</t>
        </is>
      </c>
      <c r="B102" s="4" t="inlineStr">
        <is>
          <t>라온텍</t>
        </is>
      </c>
      <c r="C102" s="2" t="inlineStr">
        <is>
          <t>418420</t>
        </is>
      </c>
      <c r="D102" s="2" t="inlineStr">
        <is>
          <t>대량보유</t>
        </is>
      </c>
      <c r="E102" s="2" t="inlineStr">
        <is>
          <t>2023-03-09</t>
        </is>
      </c>
      <c r="F102" s="2" t="inlineStr">
        <is>
          <t>2023-03-09</t>
        </is>
      </c>
      <c r="G102" s="4" t="inlineStr">
        <is>
          <t>김민석</t>
        </is>
      </c>
      <c r="H102" s="4" t="inlineStr">
        <is>
          <t>특별관계자</t>
        </is>
      </c>
      <c r="I102" s="4" t="inlineStr">
        <is>
          <t>신규상장(무상취득)(+)</t>
        </is>
      </c>
      <c r="J102" s="15" t="n">
        <v>155500</v>
      </c>
      <c r="K102" s="7" t="n">
        <v>5420</v>
      </c>
      <c r="L102" s="15" t="n">
        <v>842810000</v>
      </c>
      <c r="M102" s="7" t="inlineStr"/>
      <c r="N102" s="14" t="inlineStr"/>
      <c r="O102" s="7" t="n">
        <v>155500</v>
      </c>
      <c r="P102" s="13" t="n">
        <v>31.16</v>
      </c>
      <c r="Q102" s="2" t="inlineStr">
        <is>
          <t>20230314000834</t>
        </is>
      </c>
      <c r="R102" s="3">
        <f>HYPERLINK("https://dart.fss.or.kr/dsaf001/main.do?rcpNo=20230314000834", "공시열람")</f>
        <v/>
      </c>
    </row>
    <row r="103">
      <c r="A103" s="2" t="inlineStr">
        <is>
          <t>2023-03-14</t>
        </is>
      </c>
      <c r="B103" s="4" t="inlineStr">
        <is>
          <t>라온텍</t>
        </is>
      </c>
      <c r="C103" s="2" t="inlineStr">
        <is>
          <t>418420</t>
        </is>
      </c>
      <c r="D103" s="2" t="inlineStr">
        <is>
          <t>대량보유</t>
        </is>
      </c>
      <c r="E103" s="2" t="inlineStr">
        <is>
          <t>2023-03-09</t>
        </is>
      </c>
      <c r="F103" s="2" t="inlineStr">
        <is>
          <t>2023-03-09</t>
        </is>
      </c>
      <c r="G103" s="4" t="inlineStr">
        <is>
          <t>김선욱</t>
        </is>
      </c>
      <c r="H103" s="4" t="inlineStr">
        <is>
          <t>특별관계자</t>
        </is>
      </c>
      <c r="I103" s="4" t="inlineStr">
        <is>
          <t>신규상장(유상취득)(+)</t>
        </is>
      </c>
      <c r="J103" s="15" t="n">
        <v>50000</v>
      </c>
      <c r="K103" s="7" t="n">
        <v>5420</v>
      </c>
      <c r="L103" s="15" t="n">
        <v>271000000</v>
      </c>
      <c r="M103" s="7" t="inlineStr"/>
      <c r="N103" s="14" t="inlineStr"/>
      <c r="O103" s="7" t="n">
        <v>50000</v>
      </c>
      <c r="P103" s="13" t="n">
        <v>31.16</v>
      </c>
      <c r="Q103" s="2" t="inlineStr">
        <is>
          <t>20230314000834</t>
        </is>
      </c>
      <c r="R103" s="3">
        <f>HYPERLINK("https://dart.fss.or.kr/dsaf001/main.do?rcpNo=20230314000834", "공시열람")</f>
        <v/>
      </c>
    </row>
    <row r="104">
      <c r="A104" s="2" t="inlineStr">
        <is>
          <t>2023-03-14</t>
        </is>
      </c>
      <c r="B104" s="4" t="inlineStr">
        <is>
          <t>라온텍</t>
        </is>
      </c>
      <c r="C104" s="2" t="inlineStr">
        <is>
          <t>418420</t>
        </is>
      </c>
      <c r="D104" s="2" t="inlineStr">
        <is>
          <t>대량보유</t>
        </is>
      </c>
      <c r="E104" s="2" t="inlineStr">
        <is>
          <t>2023-03-09</t>
        </is>
      </c>
      <c r="F104" s="2" t="inlineStr">
        <is>
          <t>2023-03-09</t>
        </is>
      </c>
      <c r="G104" s="4" t="inlineStr">
        <is>
          <t>김보은</t>
        </is>
      </c>
      <c r="H104" s="4" t="inlineStr">
        <is>
          <t>최대주주</t>
        </is>
      </c>
      <c r="I104" s="4" t="inlineStr">
        <is>
          <t>신규상장(유상취득)(+)</t>
        </is>
      </c>
      <c r="J104" s="15" t="n">
        <v>5940000</v>
      </c>
      <c r="K104" s="7" t="n">
        <v>5420</v>
      </c>
      <c r="L104" s="15" t="n">
        <v>32194800000</v>
      </c>
      <c r="M104" s="7" t="inlineStr"/>
      <c r="N104" s="14" t="inlineStr"/>
      <c r="O104" s="7" t="n">
        <v>5940000</v>
      </c>
      <c r="P104" s="13" t="n">
        <v>31.16</v>
      </c>
      <c r="Q104" s="2" t="inlineStr">
        <is>
          <t>20230314000834</t>
        </is>
      </c>
      <c r="R104" s="3">
        <f>HYPERLINK("https://dart.fss.or.kr/dsaf001/main.do?rcpNo=20230314000834", "공시열람")</f>
        <v/>
      </c>
    </row>
  </sheetData>
  <autoFilter ref="A1:R10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22"/>
  <cols>
    <col width="12" customWidth="1" min="1" max="1"/>
    <col width="16" customWidth="1" min="2" max="2"/>
    <col hidden="1" width="10" customWidth="1" min="3" max="3"/>
    <col hidden="1" width="10" customWidth="1" min="4" max="4"/>
    <col width="12" customWidth="1" min="5" max="5"/>
    <col width="12" customWidth="1" min="6" max="6"/>
    <col width="20" customWidth="1" min="7" max="7"/>
    <col width="14" customWidth="1" min="8" max="8"/>
    <col width="14" customWidth="1" min="9" max="9"/>
    <col width="14" customWidth="1" min="10" max="10"/>
    <col width="12" customWidth="1" min="11" max="11"/>
    <col width="16" customWidth="1" min="12" max="12"/>
    <col width="16" customWidth="1" min="13" max="13"/>
    <col width="10" customWidth="1" min="14" max="14"/>
    <col width="16" customWidth="1" min="15" max="15"/>
    <col width="10" customWidth="1" min="16" max="16"/>
    <col width="18" customWidth="1" min="17" max="17"/>
    <col width="10" customWidth="1" min="18" max="18"/>
  </cols>
  <sheetData>
    <row r="1" ht="25" customHeight="1">
      <c r="A1" s="1" t="inlineStr">
        <is>
          <t>접수일자</t>
        </is>
      </c>
      <c r="B1" s="1" t="inlineStr">
        <is>
          <t>회사명</t>
        </is>
      </c>
      <c r="C1" s="1" t="inlineStr">
        <is>
          <t>종목코드</t>
        </is>
      </c>
      <c r="D1" s="1" t="inlineStr">
        <is>
          <t>보고구분</t>
        </is>
      </c>
      <c r="E1" s="1" t="inlineStr">
        <is>
          <t>거래 시작일</t>
        </is>
      </c>
      <c r="F1" s="1" t="inlineStr">
        <is>
          <t>거래 종료일</t>
        </is>
      </c>
      <c r="G1" s="1" t="inlineStr">
        <is>
          <t>보고자(주체)</t>
        </is>
      </c>
      <c r="H1" s="1" t="inlineStr">
        <is>
          <t>관계</t>
        </is>
      </c>
      <c r="I1" s="1" t="inlineStr">
        <is>
          <t>변동사유</t>
        </is>
      </c>
      <c r="J1" s="1" t="inlineStr">
        <is>
          <t>증감(주)</t>
        </is>
      </c>
      <c r="K1" s="1" t="inlineStr">
        <is>
          <t>단가(원)</t>
        </is>
      </c>
      <c r="L1" s="1" t="inlineStr">
        <is>
          <t>거래액(원)</t>
        </is>
      </c>
      <c r="M1" s="1" t="inlineStr">
        <is>
          <t>변동전 보유(주)</t>
        </is>
      </c>
      <c r="N1" s="1" t="inlineStr">
        <is>
          <t>변동전 비율(%)</t>
        </is>
      </c>
      <c r="O1" s="1" t="inlineStr">
        <is>
          <t>변동후 보유(주)</t>
        </is>
      </c>
      <c r="P1" s="1" t="inlineStr">
        <is>
          <t>보유비율(%)</t>
        </is>
      </c>
      <c r="Q1" s="1" t="inlineStr">
        <is>
          <t>접수번호</t>
        </is>
      </c>
      <c r="R1" s="1" t="inlineStr">
        <is>
          <t>DART링크</t>
        </is>
      </c>
    </row>
    <row r="2">
      <c r="A2" s="2" t="inlineStr">
        <is>
          <t>2026-09-04</t>
        </is>
      </c>
      <c r="B2" s="4" t="inlineStr">
        <is>
          <t>라온텍</t>
        </is>
      </c>
      <c r="C2" s="2" t="inlineStr">
        <is>
          <t>418420</t>
        </is>
      </c>
      <c r="D2" s="2" t="inlineStr">
        <is>
          <t>대량보유</t>
        </is>
      </c>
      <c r="E2" s="2" t="inlineStr">
        <is>
          <t>2026-08-31</t>
        </is>
      </c>
      <c r="F2" s="2" t="inlineStr">
        <is>
          <t>2026-08-31</t>
        </is>
      </c>
      <c r="G2" s="4" t="inlineStr">
        <is>
          <t>김민석</t>
        </is>
      </c>
      <c r="H2" s="4" t="inlineStr">
        <is>
          <t>특별관계자</t>
        </is>
      </c>
      <c r="I2" s="4" t="inlineStr">
        <is>
          <t>증여(-)</t>
        </is>
      </c>
      <c r="J2" s="12" t="n">
        <v>-40000</v>
      </c>
      <c r="K2" s="7" t="n">
        <v>4025</v>
      </c>
      <c r="L2" s="12" t="n">
        <v>-161000000</v>
      </c>
      <c r="M2" s="7" t="n">
        <v>8522295</v>
      </c>
      <c r="N2" s="13" t="n">
        <v>27.69</v>
      </c>
      <c r="O2" s="7" t="n">
        <v>214625</v>
      </c>
      <c r="P2" s="13" t="n">
        <v>27.56</v>
      </c>
      <c r="Q2" s="2" t="inlineStr">
        <is>
          <t>20260904000182</t>
        </is>
      </c>
      <c r="R2" s="3">
        <f>HYPERLINK("https://dart.fss.or.kr/dsaf001/main.do?rcpNo=20260904000182", "공시열람")</f>
        <v/>
      </c>
    </row>
    <row r="3">
      <c r="A3" s="2" t="inlineStr">
        <is>
          <t>2026-09-04</t>
        </is>
      </c>
      <c r="B3" s="4" t="inlineStr">
        <is>
          <t>라온텍</t>
        </is>
      </c>
      <c r="C3" s="2" t="inlineStr">
        <is>
          <t>418420</t>
        </is>
      </c>
      <c r="D3" s="2" t="inlineStr">
        <is>
          <t>임원보고</t>
        </is>
      </c>
      <c r="E3" s="2" t="inlineStr">
        <is>
          <t>2026-08-31</t>
        </is>
      </c>
      <c r="F3" s="2" t="inlineStr">
        <is>
          <t>2026-08-31</t>
        </is>
      </c>
      <c r="G3" s="4" t="inlineStr">
        <is>
          <t>김민석</t>
        </is>
      </c>
      <c r="H3" s="4" t="inlineStr">
        <is>
          <t>등기임원 연구소장</t>
        </is>
      </c>
      <c r="I3" s="4" t="inlineStr">
        <is>
          <t>증여(-)</t>
        </is>
      </c>
      <c r="J3" s="12" t="n">
        <v>-40000</v>
      </c>
      <c r="K3" s="7" t="n">
        <v>4025</v>
      </c>
      <c r="L3" s="12" t="n">
        <v>-161000000</v>
      </c>
      <c r="M3" s="7" t="inlineStr"/>
      <c r="N3" s="14" t="inlineStr"/>
      <c r="O3" s="7" t="n">
        <v>214625</v>
      </c>
      <c r="P3" s="13" t="n">
        <v>0.7</v>
      </c>
      <c r="Q3" s="2" t="inlineStr">
        <is>
          <t>20260904000197</t>
        </is>
      </c>
      <c r="R3" s="3">
        <f>HYPERLINK("https://dart.fss.or.kr/dsaf001/main.do?rcpNo=20260904000197", "공시열람")</f>
        <v/>
      </c>
    </row>
    <row r="4">
      <c r="A4" s="2" t="inlineStr">
        <is>
          <t>2026-09-04</t>
        </is>
      </c>
      <c r="B4" s="4" t="inlineStr">
        <is>
          <t>라온텍</t>
        </is>
      </c>
      <c r="C4" s="2" t="inlineStr">
        <is>
          <t>418420</t>
        </is>
      </c>
      <c r="D4" s="2" t="inlineStr">
        <is>
          <t>임원보고</t>
        </is>
      </c>
      <c r="E4" s="2" t="inlineStr">
        <is>
          <t>2026-08-31</t>
        </is>
      </c>
      <c r="F4" s="2" t="inlineStr">
        <is>
          <t>2026-08-31</t>
        </is>
      </c>
      <c r="G4" s="4" t="inlineStr">
        <is>
          <t>이광수</t>
        </is>
      </c>
      <c r="H4" s="4" t="inlineStr">
        <is>
          <t>비등기임원 전무이사</t>
        </is>
      </c>
      <c r="I4" s="4" t="inlineStr">
        <is>
          <t>증여(-)</t>
        </is>
      </c>
      <c r="J4" s="12" t="n">
        <v>-40000</v>
      </c>
      <c r="K4" s="7" t="n">
        <v>4025</v>
      </c>
      <c r="L4" s="12" t="n">
        <v>-161000000</v>
      </c>
      <c r="M4" s="7" t="inlineStr"/>
      <c r="N4" s="14" t="inlineStr"/>
      <c r="O4" s="7" t="n">
        <v>213350</v>
      </c>
      <c r="P4" s="13" t="n">
        <v>0.6899999999999999</v>
      </c>
      <c r="Q4" s="2" t="inlineStr">
        <is>
          <t>20260904000202</t>
        </is>
      </c>
      <c r="R4" s="3">
        <f>HYPERLINK("https://dart.fss.or.kr/dsaf001/main.do?rcpNo=20260904000202", "공시열람")</f>
        <v/>
      </c>
    </row>
    <row r="5">
      <c r="A5" s="2" t="inlineStr">
        <is>
          <t>2026-08-21</t>
        </is>
      </c>
      <c r="B5" s="4" t="inlineStr">
        <is>
          <t>라온텍</t>
        </is>
      </c>
      <c r="C5" s="2" t="inlineStr">
        <is>
          <t>418420</t>
        </is>
      </c>
      <c r="D5" s="2" t="inlineStr">
        <is>
          <t>대량보유</t>
        </is>
      </c>
      <c r="E5" s="2" t="inlineStr">
        <is>
          <t>2026-08-18</t>
        </is>
      </c>
      <c r="F5" s="2" t="inlineStr">
        <is>
          <t>2026-08-18</t>
        </is>
      </c>
      <c r="G5" s="4" t="inlineStr">
        <is>
          <t>정민수</t>
        </is>
      </c>
      <c r="H5" s="4" t="inlineStr">
        <is>
          <t>특별관계자</t>
        </is>
      </c>
      <c r="I5" s="4" t="inlineStr">
        <is>
          <t>증여(-)</t>
        </is>
      </c>
      <c r="J5" s="12" t="n">
        <v>-305000</v>
      </c>
      <c r="K5" s="7" t="n">
        <v>4155</v>
      </c>
      <c r="L5" s="12" t="n">
        <v>-1267275000</v>
      </c>
      <c r="M5" s="7" t="n">
        <v>8827295</v>
      </c>
      <c r="N5" s="13" t="n">
        <v>28.68</v>
      </c>
      <c r="O5" s="7" t="n">
        <v>772500</v>
      </c>
      <c r="P5" s="13" t="n">
        <v>27.69</v>
      </c>
      <c r="Q5" s="2" t="inlineStr">
        <is>
          <t>20260821000660</t>
        </is>
      </c>
      <c r="R5" s="3">
        <f>HYPERLINK("https://dart.fss.or.kr/dsaf001/main.do?rcpNo=20260821000660", "공시열람")</f>
        <v/>
      </c>
    </row>
    <row r="6">
      <c r="A6" s="2" t="inlineStr">
        <is>
          <t>2026-08-21</t>
        </is>
      </c>
      <c r="B6" s="4" t="inlineStr">
        <is>
          <t>라온텍</t>
        </is>
      </c>
      <c r="C6" s="2" t="inlineStr">
        <is>
          <t>418420</t>
        </is>
      </c>
      <c r="D6" s="2" t="inlineStr">
        <is>
          <t>임원보고</t>
        </is>
      </c>
      <c r="E6" s="2" t="inlineStr">
        <is>
          <t>2026-08-18</t>
        </is>
      </c>
      <c r="F6" s="2" t="inlineStr">
        <is>
          <t>2026-08-18</t>
        </is>
      </c>
      <c r="G6" s="4" t="inlineStr">
        <is>
          <t>정민수</t>
        </is>
      </c>
      <c r="H6" s="4" t="inlineStr">
        <is>
          <t>등기임원 연구소장</t>
        </is>
      </c>
      <c r="I6" s="4" t="inlineStr">
        <is>
          <t>증여(-)</t>
        </is>
      </c>
      <c r="J6" s="12" t="n">
        <v>-305000</v>
      </c>
      <c r="K6" s="7" t="n">
        <v>4155</v>
      </c>
      <c r="L6" s="12" t="n">
        <v>-1267275000</v>
      </c>
      <c r="M6" s="7" t="inlineStr"/>
      <c r="N6" s="14" t="inlineStr"/>
      <c r="O6" s="7" t="n">
        <v>772500</v>
      </c>
      <c r="P6" s="13" t="n">
        <v>2.51</v>
      </c>
      <c r="Q6" s="2" t="inlineStr">
        <is>
          <t>20260821000666</t>
        </is>
      </c>
      <c r="R6" s="3">
        <f>HYPERLINK("https://dart.fss.or.kr/dsaf001/main.do?rcpNo=20260821000666", "공시열람")</f>
        <v/>
      </c>
    </row>
    <row r="7">
      <c r="A7" s="2" t="inlineStr">
        <is>
          <t>2026-07-09</t>
        </is>
      </c>
      <c r="B7" s="4" t="inlineStr">
        <is>
          <t>라온텍</t>
        </is>
      </c>
      <c r="C7" s="2" t="inlineStr">
        <is>
          <t>418420</t>
        </is>
      </c>
      <c r="D7" s="2" t="inlineStr">
        <is>
          <t>대량보유</t>
        </is>
      </c>
      <c r="E7" s="2" t="inlineStr">
        <is>
          <t>2026-07-06</t>
        </is>
      </c>
      <c r="F7" s="2" t="inlineStr">
        <is>
          <t>2026-07-06</t>
        </is>
      </c>
      <c r="G7" s="4" t="inlineStr">
        <is>
          <t>김채영</t>
        </is>
      </c>
      <c r="H7" s="4" t="inlineStr">
        <is>
          <t>특별관계자</t>
        </is>
      </c>
      <c r="I7" s="4" t="inlineStr">
        <is>
          <t>장내매수(+)</t>
        </is>
      </c>
      <c r="J7" s="15" t="n">
        <v>2688</v>
      </c>
      <c r="K7" s="7" t="n">
        <v>3785</v>
      </c>
      <c r="L7" s="15" t="n">
        <v>10174080</v>
      </c>
      <c r="M7" s="7" t="n">
        <v>8822307</v>
      </c>
      <c r="N7" s="13" t="n">
        <v>28.67</v>
      </c>
      <c r="O7" s="7" t="n">
        <v>2688</v>
      </c>
      <c r="P7" s="13" t="n">
        <v>28.68</v>
      </c>
      <c r="Q7" s="2" t="inlineStr">
        <is>
          <t>20260709000313</t>
        </is>
      </c>
      <c r="R7" s="3">
        <f>HYPERLINK("https://dart.fss.or.kr/dsaf001/main.do?rcpNo=20260709000313", "공시열람")</f>
        <v/>
      </c>
    </row>
    <row r="8">
      <c r="A8" s="2" t="inlineStr">
        <is>
          <t>2026-07-09</t>
        </is>
      </c>
      <c r="B8" s="4" t="inlineStr">
        <is>
          <t>라온텍</t>
        </is>
      </c>
      <c r="C8" s="2" t="inlineStr">
        <is>
          <t>418420</t>
        </is>
      </c>
      <c r="D8" s="2" t="inlineStr">
        <is>
          <t>대량보유</t>
        </is>
      </c>
      <c r="E8" s="2" t="inlineStr">
        <is>
          <t>2026-07-06</t>
        </is>
      </c>
      <c r="F8" s="2" t="inlineStr">
        <is>
          <t>2026-07-06</t>
        </is>
      </c>
      <c r="G8" s="4" t="inlineStr">
        <is>
          <t>김현지</t>
        </is>
      </c>
      <c r="H8" s="4" t="inlineStr">
        <is>
          <t>특별관계자</t>
        </is>
      </c>
      <c r="I8" s="4" t="inlineStr">
        <is>
          <t>장내매수(+)</t>
        </is>
      </c>
      <c r="J8" s="15" t="n">
        <v>2300</v>
      </c>
      <c r="K8" s="7" t="n">
        <v>3976</v>
      </c>
      <c r="L8" s="15" t="n">
        <v>9144800</v>
      </c>
      <c r="M8" s="7" t="n">
        <v>8822307</v>
      </c>
      <c r="N8" s="13" t="n">
        <v>28.67</v>
      </c>
      <c r="O8" s="7" t="n">
        <v>2300</v>
      </c>
      <c r="P8" s="13" t="n">
        <v>28.68</v>
      </c>
      <c r="Q8" s="2" t="inlineStr">
        <is>
          <t>20260709000313</t>
        </is>
      </c>
      <c r="R8" s="3">
        <f>HYPERLINK("https://dart.fss.or.kr/dsaf001/main.do?rcpNo=20260709000313", "공시열람")</f>
        <v/>
      </c>
    </row>
    <row r="9">
      <c r="A9" s="2" t="inlineStr">
        <is>
          <t>2026-06-15</t>
        </is>
      </c>
      <c r="B9" s="4" t="inlineStr">
        <is>
          <t>라온텍</t>
        </is>
      </c>
      <c r="C9" s="2" t="inlineStr">
        <is>
          <t>418420</t>
        </is>
      </c>
      <c r="D9" s="2" t="inlineStr">
        <is>
          <t>임원보고</t>
        </is>
      </c>
      <c r="E9" s="2" t="inlineStr">
        <is>
          <t>2026-06-11</t>
        </is>
      </c>
      <c r="F9" s="2" t="inlineStr">
        <is>
          <t>2026-06-11</t>
        </is>
      </c>
      <c r="G9" s="4" t="inlineStr">
        <is>
          <t>이광수</t>
        </is>
      </c>
      <c r="H9" s="4" t="inlineStr">
        <is>
          <t>비등기임원 전무이사</t>
        </is>
      </c>
      <c r="I9" s="4" t="inlineStr">
        <is>
          <t>주식매수선택권(+)</t>
        </is>
      </c>
      <c r="J9" s="15" t="n">
        <v>17500</v>
      </c>
      <c r="K9" s="7" t="n">
        <v>5460</v>
      </c>
      <c r="L9" s="15" t="n">
        <v>95550000</v>
      </c>
      <c r="M9" s="7" t="inlineStr"/>
      <c r="N9" s="14" t="inlineStr"/>
      <c r="O9" s="7" t="n">
        <v>253350</v>
      </c>
      <c r="P9" s="13" t="n">
        <v>0.82</v>
      </c>
      <c r="Q9" s="2" t="inlineStr">
        <is>
          <t>20260615000240</t>
        </is>
      </c>
      <c r="R9" s="3">
        <f>HYPERLINK("https://dart.fss.or.kr/dsaf001/main.do?rcpNo=20260615000240", "공시열람")</f>
        <v/>
      </c>
    </row>
    <row r="10">
      <c r="A10" s="2" t="inlineStr">
        <is>
          <t>2026-06-15</t>
        </is>
      </c>
      <c r="B10" s="4" t="inlineStr">
        <is>
          <t>라온텍</t>
        </is>
      </c>
      <c r="C10" s="2" t="inlineStr">
        <is>
          <t>418420</t>
        </is>
      </c>
      <c r="D10" s="2" t="inlineStr">
        <is>
          <t>임원보고</t>
        </is>
      </c>
      <c r="E10" s="2" t="inlineStr">
        <is>
          <t>2026-06-11</t>
        </is>
      </c>
      <c r="F10" s="2" t="inlineStr">
        <is>
          <t>2026-06-11</t>
        </is>
      </c>
      <c r="G10" s="4" t="inlineStr">
        <is>
          <t>이정환</t>
        </is>
      </c>
      <c r="H10" s="4" t="inlineStr">
        <is>
          <t>비등기임원 상무이사</t>
        </is>
      </c>
      <c r="I10" s="4" t="inlineStr">
        <is>
          <t>주식매수선택권(+)</t>
        </is>
      </c>
      <c r="J10" s="15" t="n">
        <v>3000</v>
      </c>
      <c r="K10" s="7" t="n">
        <v>5460</v>
      </c>
      <c r="L10" s="15" t="n">
        <v>16380000</v>
      </c>
      <c r="M10" s="7" t="inlineStr"/>
      <c r="N10" s="14" t="inlineStr"/>
      <c r="O10" s="7" t="n">
        <v>62000</v>
      </c>
      <c r="P10" s="13" t="n">
        <v>0.2</v>
      </c>
      <c r="Q10" s="2" t="inlineStr">
        <is>
          <t>20260615000258</t>
        </is>
      </c>
      <c r="R10" s="3">
        <f>HYPERLINK("https://dart.fss.or.kr/dsaf001/main.do?rcpNo=20260615000258", "공시열람")</f>
        <v/>
      </c>
    </row>
    <row r="11">
      <c r="A11" s="2" t="inlineStr">
        <is>
          <t>2026-06-15</t>
        </is>
      </c>
      <c r="B11" s="4" t="inlineStr">
        <is>
          <t>라온텍</t>
        </is>
      </c>
      <c r="C11" s="2" t="inlineStr">
        <is>
          <t>418420</t>
        </is>
      </c>
      <c r="D11" s="2" t="inlineStr">
        <is>
          <t>임원보고</t>
        </is>
      </c>
      <c r="E11" s="2" t="inlineStr">
        <is>
          <t>2026-06-11</t>
        </is>
      </c>
      <c r="F11" s="2" t="inlineStr">
        <is>
          <t>2026-06-11</t>
        </is>
      </c>
      <c r="G11" s="4" t="inlineStr">
        <is>
          <t>김민석</t>
        </is>
      </c>
      <c r="H11" s="4" t="inlineStr">
        <is>
          <t>등기임원 연구소장</t>
        </is>
      </c>
      <c r="I11" s="4" t="inlineStr">
        <is>
          <t>주식매수선택권(+)</t>
        </is>
      </c>
      <c r="J11" s="15" t="n">
        <v>11625</v>
      </c>
      <c r="K11" s="7" t="n">
        <v>5460</v>
      </c>
      <c r="L11" s="15" t="n">
        <v>63472500</v>
      </c>
      <c r="M11" s="7" t="inlineStr"/>
      <c r="N11" s="14" t="inlineStr"/>
      <c r="O11" s="7" t="n">
        <v>254625</v>
      </c>
      <c r="P11" s="13" t="n">
        <v>0.83</v>
      </c>
      <c r="Q11" s="2" t="inlineStr">
        <is>
          <t>20260615000249</t>
        </is>
      </c>
      <c r="R11" s="3">
        <f>HYPERLINK("https://dart.fss.or.kr/dsaf001/main.do?rcpNo=20260615000249", "공시열람")</f>
        <v/>
      </c>
    </row>
    <row r="12">
      <c r="A12" s="2" t="inlineStr">
        <is>
          <t>2026-06-15</t>
        </is>
      </c>
      <c r="B12" s="4" t="inlineStr">
        <is>
          <t>라온텍</t>
        </is>
      </c>
      <c r="C12" s="2" t="inlineStr">
        <is>
          <t>418420</t>
        </is>
      </c>
      <c r="D12" s="2" t="inlineStr">
        <is>
          <t>임원보고</t>
        </is>
      </c>
      <c r="E12" s="2" t="inlineStr">
        <is>
          <t>2026-06-11</t>
        </is>
      </c>
      <c r="F12" s="2" t="inlineStr">
        <is>
          <t>2026-06-11</t>
        </is>
      </c>
      <c r="G12" s="4" t="inlineStr">
        <is>
          <t>한성준</t>
        </is>
      </c>
      <c r="H12" s="4" t="inlineStr">
        <is>
          <t>비등기임원 상무이사</t>
        </is>
      </c>
      <c r="I12" s="4" t="inlineStr">
        <is>
          <t>주식매수선택권(+)</t>
        </is>
      </c>
      <c r="J12" s="15" t="n">
        <v>10000</v>
      </c>
      <c r="K12" s="7" t="n">
        <v>5460</v>
      </c>
      <c r="L12" s="15" t="n">
        <v>54600000</v>
      </c>
      <c r="M12" s="7" t="inlineStr"/>
      <c r="N12" s="14" t="inlineStr"/>
      <c r="O12" s="7" t="n">
        <v>234801</v>
      </c>
      <c r="P12" s="13" t="n">
        <v>0.76</v>
      </c>
      <c r="Q12" s="2" t="inlineStr">
        <is>
          <t>20260615000267</t>
        </is>
      </c>
      <c r="R12" s="3">
        <f>HYPERLINK("https://dart.fss.or.kr/dsaf001/main.do?rcpNo=20260615000267", "공시열람")</f>
        <v/>
      </c>
    </row>
    <row r="13">
      <c r="A13" s="2" t="inlineStr">
        <is>
          <t>2026-06-15</t>
        </is>
      </c>
      <c r="B13" s="4" t="inlineStr">
        <is>
          <t>라온텍</t>
        </is>
      </c>
      <c r="C13" s="2" t="inlineStr">
        <is>
          <t>418420</t>
        </is>
      </c>
      <c r="D13" s="2" t="inlineStr">
        <is>
          <t>대량보유</t>
        </is>
      </c>
      <c r="E13" s="2" t="inlineStr">
        <is>
          <t>2026-06-11</t>
        </is>
      </c>
      <c r="F13" s="2" t="inlineStr">
        <is>
          <t>2026-06-11</t>
        </is>
      </c>
      <c r="G13" s="4" t="inlineStr">
        <is>
          <t>김민석</t>
        </is>
      </c>
      <c r="H13" s="4" t="inlineStr">
        <is>
          <t>특별관계자</t>
        </is>
      </c>
      <c r="I13" s="4" t="inlineStr">
        <is>
          <t>주식매수청구권 행사(+)</t>
        </is>
      </c>
      <c r="J13" s="15" t="n">
        <v>11625</v>
      </c>
      <c r="K13" s="7" t="n">
        <v>2400</v>
      </c>
      <c r="L13" s="15" t="n">
        <v>27900000</v>
      </c>
      <c r="M13" s="7" t="n">
        <v>8822307</v>
      </c>
      <c r="N13" s="13" t="n">
        <v>28.74</v>
      </c>
      <c r="O13" s="7" t="n">
        <v>254625</v>
      </c>
      <c r="P13" s="13" t="n">
        <v>28.67</v>
      </c>
      <c r="Q13" s="2" t="inlineStr">
        <is>
          <t>20260615000230</t>
        </is>
      </c>
      <c r="R13" s="3">
        <f>HYPERLINK("https://dart.fss.or.kr/dsaf001/main.do?rcpNo=20260615000230", "공시열람")</f>
        <v/>
      </c>
    </row>
    <row r="14">
      <c r="A14" s="2" t="inlineStr">
        <is>
          <t>2026-06-15</t>
        </is>
      </c>
      <c r="B14" s="4" t="inlineStr">
        <is>
          <t>라온텍</t>
        </is>
      </c>
      <c r="C14" s="2" t="inlineStr">
        <is>
          <t>418420</t>
        </is>
      </c>
      <c r="D14" s="2" t="inlineStr">
        <is>
          <t>대량보유</t>
        </is>
      </c>
      <c r="E14" s="2" t="inlineStr">
        <is>
          <t>2026-06-11</t>
        </is>
      </c>
      <c r="F14" s="2" t="inlineStr">
        <is>
          <t>2026-06-11</t>
        </is>
      </c>
      <c r="G14" s="4" t="inlineStr">
        <is>
          <t>김민석</t>
        </is>
      </c>
      <c r="H14" s="4" t="inlineStr">
        <is>
          <t>특별관계자</t>
        </is>
      </c>
      <c r="I14" s="4" t="inlineStr">
        <is>
          <t>주식매수선택권행사(-)</t>
        </is>
      </c>
      <c r="J14" s="12" t="n">
        <v>-11625</v>
      </c>
      <c r="K14" s="7" t="n">
        <v>2400</v>
      </c>
      <c r="L14" s="12" t="n">
        <v>-27900000</v>
      </c>
      <c r="M14" s="7" t="n">
        <v>8822307</v>
      </c>
      <c r="N14" s="13" t="n">
        <v>28.74</v>
      </c>
      <c r="O14" s="7" t="n">
        <v>16375</v>
      </c>
      <c r="P14" s="13" t="n">
        <v>28.67</v>
      </c>
      <c r="Q14" s="2" t="inlineStr">
        <is>
          <t>20260615000230</t>
        </is>
      </c>
      <c r="R14" s="3">
        <f>HYPERLINK("https://dart.fss.or.kr/dsaf001/main.do?rcpNo=20260615000230", "공시열람")</f>
        <v/>
      </c>
    </row>
    <row r="15">
      <c r="A15" s="2" t="inlineStr">
        <is>
          <t>2026-05-15</t>
        </is>
      </c>
      <c r="B15" s="4" t="inlineStr">
        <is>
          <t>라온텍</t>
        </is>
      </c>
      <c r="C15" s="2" t="inlineStr">
        <is>
          <t>418420</t>
        </is>
      </c>
      <c r="D15" s="2" t="inlineStr">
        <is>
          <t>임원보고</t>
        </is>
      </c>
      <c r="E15" s="2" t="inlineStr">
        <is>
          <t>2026-05-12</t>
        </is>
      </c>
      <c r="F15" s="2" t="inlineStr">
        <is>
          <t>2026-05-12</t>
        </is>
      </c>
      <c r="G15" s="4" t="inlineStr">
        <is>
          <t>조성재</t>
        </is>
      </c>
      <c r="H15" s="4" t="inlineStr">
        <is>
          <t>비등기임원 부사장</t>
        </is>
      </c>
      <c r="I15" s="4" t="inlineStr">
        <is>
          <t>증여(-)</t>
        </is>
      </c>
      <c r="J15" s="12" t="n">
        <v>-25000</v>
      </c>
      <c r="K15" s="7" t="n">
        <v>9440</v>
      </c>
      <c r="L15" s="12" t="n">
        <v>-236000000</v>
      </c>
      <c r="M15" s="7" t="inlineStr"/>
      <c r="N15" s="14" t="inlineStr"/>
      <c r="O15" s="7" t="n">
        <v>358940</v>
      </c>
      <c r="P15" s="13" t="n">
        <v>1.17</v>
      </c>
      <c r="Q15" s="2" t="inlineStr">
        <is>
          <t>20260515002920</t>
        </is>
      </c>
      <c r="R15" s="3">
        <f>HYPERLINK("https://dart.fss.or.kr/dsaf001/main.do?rcpNo=20260515002920", "공시열람")</f>
        <v/>
      </c>
    </row>
    <row r="16">
      <c r="A16" s="2" t="inlineStr">
        <is>
          <t>2026-04-10</t>
        </is>
      </c>
      <c r="B16" s="4" t="inlineStr">
        <is>
          <t>라온텍</t>
        </is>
      </c>
      <c r="C16" s="2" t="inlineStr">
        <is>
          <t>418420</t>
        </is>
      </c>
      <c r="D16" s="2" t="inlineStr">
        <is>
          <t>대량보유</t>
        </is>
      </c>
      <c r="E16" s="2" t="inlineStr">
        <is>
          <t>2026-04-08</t>
        </is>
      </c>
      <c r="F16" s="2" t="inlineStr">
        <is>
          <t>2026-04-08</t>
        </is>
      </c>
      <c r="G16" s="4" t="inlineStr">
        <is>
          <t>김민석</t>
        </is>
      </c>
      <c r="H16" s="4" t="inlineStr">
        <is>
          <t>특별관계자</t>
        </is>
      </c>
      <c r="I16" s="4" t="inlineStr">
        <is>
          <t>주식매수선택권행사(-)</t>
        </is>
      </c>
      <c r="J16" s="12" t="n">
        <v>-20750</v>
      </c>
      <c r="K16" s="7" t="n">
        <v>1725</v>
      </c>
      <c r="L16" s="12" t="n">
        <v>-35793750</v>
      </c>
      <c r="M16" s="7" t="n">
        <v>8822307</v>
      </c>
      <c r="N16" s="13" t="n">
        <v>28.95</v>
      </c>
      <c r="O16" s="7" t="n">
        <v>28000</v>
      </c>
      <c r="P16" s="13" t="n">
        <v>28.74</v>
      </c>
      <c r="Q16" s="2" t="inlineStr">
        <is>
          <t>20260410002196</t>
        </is>
      </c>
      <c r="R16" s="3">
        <f>HYPERLINK("https://dart.fss.or.kr/dsaf001/main.do?rcpNo=20260410002196", "공시열람")</f>
        <v/>
      </c>
    </row>
    <row r="17">
      <c r="A17" s="2" t="inlineStr">
        <is>
          <t>2026-04-10</t>
        </is>
      </c>
      <c r="B17" s="4" t="inlineStr">
        <is>
          <t>라온텍</t>
        </is>
      </c>
      <c r="C17" s="2" t="inlineStr">
        <is>
          <t>418420</t>
        </is>
      </c>
      <c r="D17" s="2" t="inlineStr">
        <is>
          <t>대량보유</t>
        </is>
      </c>
      <c r="E17" s="2" t="inlineStr">
        <is>
          <t>2026-04-08</t>
        </is>
      </c>
      <c r="F17" s="2" t="inlineStr">
        <is>
          <t>2026-04-08</t>
        </is>
      </c>
      <c r="G17" s="4" t="inlineStr">
        <is>
          <t>김민석</t>
        </is>
      </c>
      <c r="H17" s="4" t="inlineStr">
        <is>
          <t>특별관계자</t>
        </is>
      </c>
      <c r="I17" s="4" t="inlineStr">
        <is>
          <t>주식매수선택권행사(+)</t>
        </is>
      </c>
      <c r="J17" s="15" t="n">
        <v>12000</v>
      </c>
      <c r="K17" s="7" t="n">
        <v>2400</v>
      </c>
      <c r="L17" s="15" t="n">
        <v>28800000</v>
      </c>
      <c r="M17" s="7" t="n">
        <v>8822307</v>
      </c>
      <c r="N17" s="13" t="n">
        <v>28.95</v>
      </c>
      <c r="O17" s="7" t="n">
        <v>243000</v>
      </c>
      <c r="P17" s="13" t="n">
        <v>28.74</v>
      </c>
      <c r="Q17" s="2" t="inlineStr">
        <is>
          <t>20260410002196</t>
        </is>
      </c>
      <c r="R17" s="3">
        <f>HYPERLINK("https://dart.fss.or.kr/dsaf001/main.do?rcpNo=20260410002196", "공시열람")</f>
        <v/>
      </c>
    </row>
    <row r="18">
      <c r="A18" s="2" t="inlineStr">
        <is>
          <t>2026-04-10</t>
        </is>
      </c>
      <c r="B18" s="4" t="inlineStr">
        <is>
          <t>라온텍</t>
        </is>
      </c>
      <c r="C18" s="2" t="inlineStr">
        <is>
          <t>418420</t>
        </is>
      </c>
      <c r="D18" s="2" t="inlineStr">
        <is>
          <t>대량보유</t>
        </is>
      </c>
      <c r="E18" s="2" t="inlineStr">
        <is>
          <t>2026-04-08</t>
        </is>
      </c>
      <c r="F18" s="2" t="inlineStr">
        <is>
          <t>2026-04-08</t>
        </is>
      </c>
      <c r="G18" s="4" t="inlineStr">
        <is>
          <t>김민석</t>
        </is>
      </c>
      <c r="H18" s="4" t="inlineStr">
        <is>
          <t>특별관계자</t>
        </is>
      </c>
      <c r="I18" s="4" t="inlineStr">
        <is>
          <t>주식매수청구권 행사(+)</t>
        </is>
      </c>
      <c r="J18" s="15" t="n">
        <v>8750</v>
      </c>
      <c r="K18" s="7" t="n">
        <v>800</v>
      </c>
      <c r="L18" s="15" t="n">
        <v>7000000</v>
      </c>
      <c r="M18" s="7" t="n">
        <v>8822307</v>
      </c>
      <c r="N18" s="13" t="n">
        <v>28.95</v>
      </c>
      <c r="O18" s="7" t="n">
        <v>231000</v>
      </c>
      <c r="P18" s="13" t="n">
        <v>28.74</v>
      </c>
      <c r="Q18" s="2" t="inlineStr">
        <is>
          <t>20260410002196</t>
        </is>
      </c>
      <c r="R18" s="3">
        <f>HYPERLINK("https://dart.fss.or.kr/dsaf001/main.do?rcpNo=20260410002196", "공시열람")</f>
        <v/>
      </c>
    </row>
    <row r="19">
      <c r="A19" s="2" t="inlineStr">
        <is>
          <t>2026-04-10</t>
        </is>
      </c>
      <c r="B19" s="4" t="inlineStr">
        <is>
          <t>라온텍</t>
        </is>
      </c>
      <c r="C19" s="2" t="inlineStr">
        <is>
          <t>418420</t>
        </is>
      </c>
      <c r="D19" s="2" t="inlineStr">
        <is>
          <t>임원보고</t>
        </is>
      </c>
      <c r="E19" s="2" t="inlineStr">
        <is>
          <t>2026-04-08</t>
        </is>
      </c>
      <c r="F19" s="2" t="inlineStr">
        <is>
          <t>2026-04-08</t>
        </is>
      </c>
      <c r="G19" s="4" t="inlineStr">
        <is>
          <t>김민석</t>
        </is>
      </c>
      <c r="H19" s="4" t="inlineStr">
        <is>
          <t>등기임원 연구소장</t>
        </is>
      </c>
      <c r="I19" s="4" t="inlineStr">
        <is>
          <t>주식매수선택권(+)</t>
        </is>
      </c>
      <c r="J19" s="15" t="n">
        <v>20750</v>
      </c>
      <c r="K19" s="7" t="n">
        <v>5790</v>
      </c>
      <c r="L19" s="15" t="n">
        <v>120142500</v>
      </c>
      <c r="M19" s="7" t="inlineStr"/>
      <c r="N19" s="14" t="inlineStr"/>
      <c r="O19" s="7" t="n">
        <v>243000</v>
      </c>
      <c r="P19" s="13" t="n">
        <v>0.79</v>
      </c>
      <c r="Q19" s="2" t="inlineStr">
        <is>
          <t>20260410002240</t>
        </is>
      </c>
      <c r="R19" s="3">
        <f>HYPERLINK("https://dart.fss.or.kr/dsaf001/main.do?rcpNo=20260410002240", "공시열람")</f>
        <v/>
      </c>
    </row>
    <row r="20">
      <c r="A20" s="2" t="inlineStr">
        <is>
          <t>2026-04-10</t>
        </is>
      </c>
      <c r="B20" s="4" t="inlineStr">
        <is>
          <t>라온텍</t>
        </is>
      </c>
      <c r="C20" s="2" t="inlineStr">
        <is>
          <t>418420</t>
        </is>
      </c>
      <c r="D20" s="2" t="inlineStr">
        <is>
          <t>임원보고</t>
        </is>
      </c>
      <c r="E20" s="2" t="inlineStr">
        <is>
          <t>2026-04-08</t>
        </is>
      </c>
      <c r="F20" s="2" t="inlineStr">
        <is>
          <t>2026-04-08</t>
        </is>
      </c>
      <c r="G20" s="4" t="inlineStr">
        <is>
          <t>한성준</t>
        </is>
      </c>
      <c r="H20" s="4" t="inlineStr">
        <is>
          <t>비등기임원 상무이사</t>
        </is>
      </c>
      <c r="I20" s="4" t="inlineStr">
        <is>
          <t>주식매수선택권(+)</t>
        </is>
      </c>
      <c r="J20" s="15" t="n">
        <v>7500</v>
      </c>
      <c r="K20" s="7" t="n">
        <v>5790</v>
      </c>
      <c r="L20" s="15" t="n">
        <v>43425000</v>
      </c>
      <c r="M20" s="7" t="inlineStr"/>
      <c r="N20" s="14" t="inlineStr"/>
      <c r="O20" s="7" t="n">
        <v>224801</v>
      </c>
      <c r="P20" s="13" t="n">
        <v>0.73</v>
      </c>
      <c r="Q20" s="2" t="inlineStr">
        <is>
          <t>20260410002268</t>
        </is>
      </c>
      <c r="R20" s="3">
        <f>HYPERLINK("https://dart.fss.or.kr/dsaf001/main.do?rcpNo=20260410002268", "공시열람")</f>
        <v/>
      </c>
    </row>
    <row r="21">
      <c r="A21" s="2" t="inlineStr">
        <is>
          <t>2026-04-10</t>
        </is>
      </c>
      <c r="B21" s="4" t="inlineStr">
        <is>
          <t>라온텍</t>
        </is>
      </c>
      <c r="C21" s="2" t="inlineStr">
        <is>
          <t>418420</t>
        </is>
      </c>
      <c r="D21" s="2" t="inlineStr">
        <is>
          <t>임원보고</t>
        </is>
      </c>
      <c r="E21" s="2" t="inlineStr">
        <is>
          <t>2026-04-08</t>
        </is>
      </c>
      <c r="F21" s="2" t="inlineStr">
        <is>
          <t>2026-04-08</t>
        </is>
      </c>
      <c r="G21" s="4" t="inlineStr">
        <is>
          <t>조성재</t>
        </is>
      </c>
      <c r="H21" s="4" t="inlineStr">
        <is>
          <t>비등기임원 부사장</t>
        </is>
      </c>
      <c r="I21" s="4" t="inlineStr">
        <is>
          <t>주식매수선택권(+)</t>
        </is>
      </c>
      <c r="J21" s="15" t="n">
        <v>33750</v>
      </c>
      <c r="K21" s="7" t="n">
        <v>5790</v>
      </c>
      <c r="L21" s="15" t="n">
        <v>195412500</v>
      </c>
      <c r="M21" s="7" t="inlineStr"/>
      <c r="N21" s="14" t="inlineStr"/>
      <c r="O21" s="7" t="n">
        <v>383940</v>
      </c>
      <c r="P21" s="13" t="n">
        <v>1.25</v>
      </c>
      <c r="Q21" s="2" t="inlineStr">
        <is>
          <t>20260410002300</t>
        </is>
      </c>
      <c r="R21" s="3">
        <f>HYPERLINK("https://dart.fss.or.kr/dsaf001/main.do?rcpNo=20260410002300", "공시열람")</f>
        <v/>
      </c>
    </row>
    <row r="22">
      <c r="A22" s="2" t="inlineStr">
        <is>
          <t>2026-04-10</t>
        </is>
      </c>
      <c r="B22" s="4" t="inlineStr">
        <is>
          <t>라온텍</t>
        </is>
      </c>
      <c r="C22" s="2" t="inlineStr">
        <is>
          <t>418420</t>
        </is>
      </c>
      <c r="D22" s="2" t="inlineStr">
        <is>
          <t>임원보고</t>
        </is>
      </c>
      <c r="E22" s="2" t="inlineStr">
        <is>
          <t>2026-04-08</t>
        </is>
      </c>
      <c r="F22" s="2" t="inlineStr">
        <is>
          <t>2026-04-08</t>
        </is>
      </c>
      <c r="G22" s="4" t="inlineStr">
        <is>
          <t>이정환</t>
        </is>
      </c>
      <c r="H22" s="4" t="inlineStr">
        <is>
          <t>비등기임원 상무이사</t>
        </is>
      </c>
      <c r="I22" s="4" t="inlineStr">
        <is>
          <t>주식매수선택권(+)</t>
        </is>
      </c>
      <c r="J22" s="15" t="n">
        <v>12500</v>
      </c>
      <c r="K22" s="7" t="n">
        <v>5790</v>
      </c>
      <c r="L22" s="15" t="n">
        <v>72375000</v>
      </c>
      <c r="M22" s="7" t="inlineStr"/>
      <c r="N22" s="14" t="inlineStr"/>
      <c r="O22" s="7" t="n">
        <v>59000</v>
      </c>
      <c r="P22" s="13" t="n">
        <v>0.19</v>
      </c>
      <c r="Q22" s="2" t="inlineStr">
        <is>
          <t>20260410002467</t>
        </is>
      </c>
      <c r="R22" s="3">
        <f>HYPERLINK("https://dart.fss.or.kr/dsaf001/main.do?rcpNo=20260410002467", "공시열람")</f>
        <v/>
      </c>
    </row>
    <row r="23">
      <c r="A23" s="2" t="inlineStr">
        <is>
          <t>2026-03-30</t>
        </is>
      </c>
      <c r="B23" s="4" t="inlineStr">
        <is>
          <t>라온텍</t>
        </is>
      </c>
      <c r="C23" s="2" t="inlineStr">
        <is>
          <t>418420</t>
        </is>
      </c>
      <c r="D23" s="2" t="inlineStr">
        <is>
          <t>대량보유</t>
        </is>
      </c>
      <c r="E23" s="2" t="inlineStr"/>
      <c r="F23" s="2" t="inlineStr"/>
      <c r="G23" s="4" t="inlineStr">
        <is>
          <t>김보은</t>
        </is>
      </c>
      <c r="H23" s="4" t="inlineStr">
        <is>
          <t>최대주주</t>
        </is>
      </c>
      <c r="I23" s="4" t="inlineStr">
        <is>
          <t>주식담보대출</t>
        </is>
      </c>
      <c r="J23" s="7" t="inlineStr"/>
      <c r="K23" s="7" t="inlineStr"/>
      <c r="L23" s="7" t="inlineStr"/>
      <c r="M23" s="7" t="n">
        <v>8822307</v>
      </c>
      <c r="N23" s="13" t="n">
        <v>28.95</v>
      </c>
      <c r="O23" s="7" t="inlineStr"/>
      <c r="P23" s="13" t="n">
        <v>28.95</v>
      </c>
      <c r="Q23" s="2" t="inlineStr">
        <is>
          <t>20260330001792</t>
        </is>
      </c>
      <c r="R23" s="3">
        <f>HYPERLINK("https://dart.fss.or.kr/dsaf001/main.do?rcpNo=20260330001792", "공시열람")</f>
        <v/>
      </c>
    </row>
    <row r="24">
      <c r="A24" s="2" t="inlineStr">
        <is>
          <t>2026-02-06</t>
        </is>
      </c>
      <c r="B24" s="4" t="inlineStr">
        <is>
          <t>라온텍</t>
        </is>
      </c>
      <c r="C24" s="2" t="inlineStr">
        <is>
          <t>418420</t>
        </is>
      </c>
      <c r="D24" s="2" t="inlineStr">
        <is>
          <t>대량보유</t>
        </is>
      </c>
      <c r="E24" s="2" t="inlineStr">
        <is>
          <t>2026-02-04</t>
        </is>
      </c>
      <c r="F24" s="2" t="inlineStr">
        <is>
          <t>2026-02-05</t>
        </is>
      </c>
      <c r="G24" s="4" t="inlineStr">
        <is>
          <t>정민수</t>
        </is>
      </c>
      <c r="H24" s="4" t="inlineStr">
        <is>
          <t>특별관계자</t>
        </is>
      </c>
      <c r="I24" s="4" t="inlineStr">
        <is>
          <t>장내매도(-)</t>
        </is>
      </c>
      <c r="J24" s="12" t="n">
        <v>-72950</v>
      </c>
      <c r="K24" s="7" t="n">
        <v>6032</v>
      </c>
      <c r="L24" s="12" t="n">
        <v>-440034400</v>
      </c>
      <c r="M24" s="7" t="n">
        <v>8895257</v>
      </c>
      <c r="N24" s="13" t="n">
        <v>29.19</v>
      </c>
      <c r="O24" s="7" t="n">
        <v>1077500</v>
      </c>
      <c r="P24" s="13" t="n">
        <v>28.95</v>
      </c>
      <c r="Q24" s="2" t="inlineStr">
        <is>
          <t>20260206002095</t>
        </is>
      </c>
      <c r="R24" s="3">
        <f>HYPERLINK("https://dart.fss.or.kr/dsaf001/main.do?rcpNo=20260206002095", "공시열람")</f>
        <v/>
      </c>
    </row>
    <row r="25">
      <c r="A25" s="2" t="inlineStr">
        <is>
          <t>2026-02-06</t>
        </is>
      </c>
      <c r="B25" s="4" t="inlineStr">
        <is>
          <t>라온텍</t>
        </is>
      </c>
      <c r="C25" s="2" t="inlineStr">
        <is>
          <t>418420</t>
        </is>
      </c>
      <c r="D25" s="2" t="inlineStr">
        <is>
          <t>임원보고</t>
        </is>
      </c>
      <c r="E25" s="2" t="inlineStr">
        <is>
          <t>2026-02-04</t>
        </is>
      </c>
      <c r="F25" s="2" t="inlineStr">
        <is>
          <t>2026-02-05</t>
        </is>
      </c>
      <c r="G25" s="4" t="inlineStr">
        <is>
          <t>정민수</t>
        </is>
      </c>
      <c r="H25" s="4" t="inlineStr">
        <is>
          <t>등기임원 연구소장</t>
        </is>
      </c>
      <c r="I25" s="4" t="inlineStr">
        <is>
          <t>장내매도(-)</t>
        </is>
      </c>
      <c r="J25" s="12" t="n">
        <v>-72950</v>
      </c>
      <c r="K25" s="7" t="n">
        <v>6296</v>
      </c>
      <c r="L25" s="12" t="n">
        <v>-459293200</v>
      </c>
      <c r="M25" s="7" t="inlineStr"/>
      <c r="N25" s="14" t="inlineStr"/>
      <c r="O25" s="7" t="n">
        <v>1077500</v>
      </c>
      <c r="P25" s="13" t="n">
        <v>3.54</v>
      </c>
      <c r="Q25" s="2" t="inlineStr">
        <is>
          <t>20260206002106</t>
        </is>
      </c>
      <c r="R25" s="3">
        <f>HYPERLINK("https://dart.fss.or.kr/dsaf001/main.do?rcpNo=20260206002106", "공시열람")</f>
        <v/>
      </c>
    </row>
    <row r="26">
      <c r="A26" s="2" t="inlineStr">
        <is>
          <t>2026-02-06</t>
        </is>
      </c>
      <c r="B26" s="4" t="inlineStr">
        <is>
          <t>라온텍</t>
        </is>
      </c>
      <c r="C26" s="2" t="inlineStr">
        <is>
          <t>418420</t>
        </is>
      </c>
      <c r="D26" s="2" t="inlineStr">
        <is>
          <t>임원보고</t>
        </is>
      </c>
      <c r="E26" s="2" t="inlineStr">
        <is>
          <t>2026-02-06</t>
        </is>
      </c>
      <c r="F26" s="2" t="inlineStr">
        <is>
          <t>2026-02-06</t>
        </is>
      </c>
      <c r="G26" s="4" t="inlineStr">
        <is>
          <t>조성재</t>
        </is>
      </c>
      <c r="H26" s="4" t="inlineStr">
        <is>
          <t>비등기임원 부사장</t>
        </is>
      </c>
      <c r="I26" s="4" t="inlineStr">
        <is>
          <t>증여(-)</t>
        </is>
      </c>
      <c r="J26" s="12" t="n">
        <v>-35000</v>
      </c>
      <c r="K26" s="7" t="n">
        <v>5840</v>
      </c>
      <c r="L26" s="12" t="n">
        <v>-204400000</v>
      </c>
      <c r="M26" s="7" t="inlineStr"/>
      <c r="N26" s="14" t="inlineStr"/>
      <c r="O26" s="7" t="n">
        <v>350190</v>
      </c>
      <c r="P26" s="13" t="n">
        <v>1.15</v>
      </c>
      <c r="Q26" s="2" t="inlineStr">
        <is>
          <t>20260206002115</t>
        </is>
      </c>
      <c r="R26" s="3">
        <f>HYPERLINK("https://dart.fss.or.kr/dsaf001/main.do?rcpNo=20260206002115", "공시열람")</f>
        <v/>
      </c>
    </row>
    <row r="27">
      <c r="A27" s="2" t="inlineStr">
        <is>
          <t>2025-12-08</t>
        </is>
      </c>
      <c r="B27" s="4" t="inlineStr">
        <is>
          <t>라온텍</t>
        </is>
      </c>
      <c r="C27" s="2" t="inlineStr">
        <is>
          <t>418420</t>
        </is>
      </c>
      <c r="D27" s="2" t="inlineStr">
        <is>
          <t>임원보고</t>
        </is>
      </c>
      <c r="E27" s="2" t="inlineStr">
        <is>
          <t>2025-12-03</t>
        </is>
      </c>
      <c r="F27" s="2" t="inlineStr">
        <is>
          <t>2025-12-03</t>
        </is>
      </c>
      <c r="G27" s="4" t="inlineStr">
        <is>
          <t>이광수</t>
        </is>
      </c>
      <c r="H27" s="4" t="inlineStr">
        <is>
          <t>비등기임원 전무이사</t>
        </is>
      </c>
      <c r="I27" s="4" t="inlineStr">
        <is>
          <t>장내매수(+)</t>
        </is>
      </c>
      <c r="J27" s="15" t="n">
        <v>1106</v>
      </c>
      <c r="K27" s="7" t="n">
        <v>4930</v>
      </c>
      <c r="L27" s="15" t="n">
        <v>5452580</v>
      </c>
      <c r="M27" s="7" t="inlineStr"/>
      <c r="N27" s="14" t="inlineStr"/>
      <c r="O27" s="7" t="n">
        <v>235850</v>
      </c>
      <c r="P27" s="13" t="n">
        <v>0.77</v>
      </c>
      <c r="Q27" s="2" t="inlineStr">
        <is>
          <t>20251208000061</t>
        </is>
      </c>
      <c r="R27" s="3">
        <f>HYPERLINK("https://dart.fss.or.kr/dsaf001/main.do?rcpNo=20251208000061", "공시열람")</f>
        <v/>
      </c>
    </row>
    <row r="28">
      <c r="A28" s="2" t="inlineStr">
        <is>
          <t>2025-12-04</t>
        </is>
      </c>
      <c r="B28" s="4" t="inlineStr">
        <is>
          <t>라온텍</t>
        </is>
      </c>
      <c r="C28" s="2" t="inlineStr">
        <is>
          <t>418420</t>
        </is>
      </c>
      <c r="D28" s="2" t="inlineStr">
        <is>
          <t>임원보고</t>
        </is>
      </c>
      <c r="E28" s="2" t="inlineStr">
        <is>
          <t>2025-11-27</t>
        </is>
      </c>
      <c r="F28" s="2" t="inlineStr">
        <is>
          <t>2025-11-27</t>
        </is>
      </c>
      <c r="G28" s="4" t="inlineStr">
        <is>
          <t>김민석</t>
        </is>
      </c>
      <c r="H28" s="4" t="inlineStr">
        <is>
          <t>등기임원 연구소장</t>
        </is>
      </c>
      <c r="I28" s="4" t="inlineStr">
        <is>
          <t>주식매수선택권(+)</t>
        </is>
      </c>
      <c r="J28" s="15" t="n">
        <v>13250</v>
      </c>
      <c r="K28" s="7" t="n">
        <v>4115</v>
      </c>
      <c r="L28" s="15" t="n">
        <v>54523750</v>
      </c>
      <c r="M28" s="7" t="inlineStr"/>
      <c r="N28" s="14" t="inlineStr"/>
      <c r="O28" s="7" t="n">
        <v>222250</v>
      </c>
      <c r="P28" s="13" t="n">
        <v>0.73</v>
      </c>
      <c r="Q28" s="2" t="inlineStr">
        <is>
          <t>20251204000323</t>
        </is>
      </c>
      <c r="R28" s="3">
        <f>HYPERLINK("https://dart.fss.or.kr/dsaf001/main.do?rcpNo=20251204000323", "공시열람")</f>
        <v/>
      </c>
    </row>
    <row r="29">
      <c r="A29" s="2" t="inlineStr">
        <is>
          <t>2025-12-04</t>
        </is>
      </c>
      <c r="B29" s="4" t="inlineStr">
        <is>
          <t>라온텍</t>
        </is>
      </c>
      <c r="C29" s="2" t="inlineStr">
        <is>
          <t>418420</t>
        </is>
      </c>
      <c r="D29" s="2" t="inlineStr">
        <is>
          <t>임원보고</t>
        </is>
      </c>
      <c r="E29" s="2" t="inlineStr">
        <is>
          <t>2025-11-27</t>
        </is>
      </c>
      <c r="F29" s="2" t="inlineStr">
        <is>
          <t>2025-11-27</t>
        </is>
      </c>
      <c r="G29" s="4" t="inlineStr">
        <is>
          <t>한성준</t>
        </is>
      </c>
      <c r="H29" s="4" t="inlineStr">
        <is>
          <t>비등기임원 상무이사</t>
        </is>
      </c>
      <c r="I29" s="4" t="inlineStr">
        <is>
          <t>주식매수선택권(+)</t>
        </is>
      </c>
      <c r="J29" s="15" t="n">
        <v>15000</v>
      </c>
      <c r="K29" s="7" t="n">
        <v>4115</v>
      </c>
      <c r="L29" s="15" t="n">
        <v>61725000</v>
      </c>
      <c r="M29" s="7" t="inlineStr"/>
      <c r="N29" s="14" t="inlineStr"/>
      <c r="O29" s="7" t="n">
        <v>217301</v>
      </c>
      <c r="P29" s="13" t="n">
        <v>0.71</v>
      </c>
      <c r="Q29" s="2" t="inlineStr">
        <is>
          <t>20251204000324</t>
        </is>
      </c>
      <c r="R29" s="3">
        <f>HYPERLINK("https://dart.fss.or.kr/dsaf001/main.do?rcpNo=20251204000324", "공시열람")</f>
        <v/>
      </c>
    </row>
    <row r="30">
      <c r="A30" s="2" t="inlineStr">
        <is>
          <t>2025-12-04</t>
        </is>
      </c>
      <c r="B30" s="4" t="inlineStr">
        <is>
          <t>라온텍</t>
        </is>
      </c>
      <c r="C30" s="2" t="inlineStr">
        <is>
          <t>418420</t>
        </is>
      </c>
      <c r="D30" s="2" t="inlineStr">
        <is>
          <t>임원보고</t>
        </is>
      </c>
      <c r="E30" s="2" t="inlineStr">
        <is>
          <t>2025-11-27</t>
        </is>
      </c>
      <c r="F30" s="2" t="inlineStr">
        <is>
          <t>2025-11-27</t>
        </is>
      </c>
      <c r="G30" s="4" t="inlineStr">
        <is>
          <t>정민수</t>
        </is>
      </c>
      <c r="H30" s="4" t="inlineStr">
        <is>
          <t>등기임원 연구소장</t>
        </is>
      </c>
      <c r="I30" s="4" t="inlineStr">
        <is>
          <t>주식매수선택권(+)</t>
        </is>
      </c>
      <c r="J30" s="15" t="n">
        <v>17500</v>
      </c>
      <c r="K30" s="7" t="n">
        <v>4115</v>
      </c>
      <c r="L30" s="15" t="n">
        <v>72012500</v>
      </c>
      <c r="M30" s="7" t="inlineStr"/>
      <c r="N30" s="14" t="inlineStr"/>
      <c r="O30" s="7" t="n">
        <v>1150450</v>
      </c>
      <c r="P30" s="13" t="n">
        <v>3.78</v>
      </c>
      <c r="Q30" s="2" t="inlineStr">
        <is>
          <t>20251204000321</t>
        </is>
      </c>
      <c r="R30" s="3">
        <f>HYPERLINK("https://dart.fss.or.kr/dsaf001/main.do?rcpNo=20251204000321", "공시열람")</f>
        <v/>
      </c>
    </row>
    <row r="31">
      <c r="A31" s="2" t="inlineStr">
        <is>
          <t>2025-12-03</t>
        </is>
      </c>
      <c r="B31" s="4" t="inlineStr">
        <is>
          <t>라온텍</t>
        </is>
      </c>
      <c r="C31" s="2" t="inlineStr">
        <is>
          <t>418420</t>
        </is>
      </c>
      <c r="D31" s="2" t="inlineStr">
        <is>
          <t>대량보유</t>
        </is>
      </c>
      <c r="E31" s="2" t="inlineStr">
        <is>
          <t>2025-11-27</t>
        </is>
      </c>
      <c r="F31" s="2" t="inlineStr">
        <is>
          <t>2025-11-27</t>
        </is>
      </c>
      <c r="G31" s="4" t="inlineStr">
        <is>
          <t>김민석</t>
        </is>
      </c>
      <c r="H31" s="4" t="inlineStr">
        <is>
          <t>특별관계자</t>
        </is>
      </c>
      <c r="I31" s="4" t="inlineStr">
        <is>
          <t>주식매수선택권행사(-)</t>
        </is>
      </c>
      <c r="J31" s="12" t="n">
        <v>-13250</v>
      </c>
      <c r="K31" s="7" t="n">
        <v>4115</v>
      </c>
      <c r="L31" s="12" t="n">
        <v>-54523750</v>
      </c>
      <c r="M31" s="7" t="n">
        <v>8895257</v>
      </c>
      <c r="N31" s="13" t="n">
        <v>29.32</v>
      </c>
      <c r="O31" s="7" t="n">
        <v>48750</v>
      </c>
      <c r="P31" s="13" t="n">
        <v>29.19</v>
      </c>
      <c r="Q31" s="2" t="inlineStr">
        <is>
          <t>20251203000326</t>
        </is>
      </c>
      <c r="R31" s="3">
        <f>HYPERLINK("https://dart.fss.or.kr/dsaf001/main.do?rcpNo=20251203000326", "공시열람")</f>
        <v/>
      </c>
    </row>
    <row r="32">
      <c r="A32" s="2" t="inlineStr">
        <is>
          <t>2025-12-03</t>
        </is>
      </c>
      <c r="B32" s="4" t="inlineStr">
        <is>
          <t>라온텍</t>
        </is>
      </c>
      <c r="C32" s="2" t="inlineStr">
        <is>
          <t>418420</t>
        </is>
      </c>
      <c r="D32" s="2" t="inlineStr">
        <is>
          <t>대량보유</t>
        </is>
      </c>
      <c r="E32" s="2" t="inlineStr">
        <is>
          <t>2025-11-27</t>
        </is>
      </c>
      <c r="F32" s="2" t="inlineStr">
        <is>
          <t>2025-11-27</t>
        </is>
      </c>
      <c r="G32" s="4" t="inlineStr">
        <is>
          <t>김민석</t>
        </is>
      </c>
      <c r="H32" s="4" t="inlineStr">
        <is>
          <t>특별관계자</t>
        </is>
      </c>
      <c r="I32" s="4" t="inlineStr">
        <is>
          <t>주식매수선택권행사(+)</t>
        </is>
      </c>
      <c r="J32" s="15" t="n">
        <v>13250</v>
      </c>
      <c r="K32" s="7" t="n">
        <v>2400</v>
      </c>
      <c r="L32" s="15" t="n">
        <v>31800000</v>
      </c>
      <c r="M32" s="7" t="n">
        <v>8895257</v>
      </c>
      <c r="N32" s="13" t="n">
        <v>29.32</v>
      </c>
      <c r="O32" s="7" t="n">
        <v>222250</v>
      </c>
      <c r="P32" s="13" t="n">
        <v>29.19</v>
      </c>
      <c r="Q32" s="2" t="inlineStr">
        <is>
          <t>20251203000326</t>
        </is>
      </c>
      <c r="R32" s="3">
        <f>HYPERLINK("https://dart.fss.or.kr/dsaf001/main.do?rcpNo=20251203000326", "공시열람")</f>
        <v/>
      </c>
    </row>
    <row r="33">
      <c r="A33" s="2" t="inlineStr">
        <is>
          <t>2025-12-03</t>
        </is>
      </c>
      <c r="B33" s="4" t="inlineStr">
        <is>
          <t>라온텍</t>
        </is>
      </c>
      <c r="C33" s="2" t="inlineStr">
        <is>
          <t>418420</t>
        </is>
      </c>
      <c r="D33" s="2" t="inlineStr">
        <is>
          <t>대량보유</t>
        </is>
      </c>
      <c r="E33" s="2" t="inlineStr">
        <is>
          <t>2025-11-27</t>
        </is>
      </c>
      <c r="F33" s="2" t="inlineStr">
        <is>
          <t>2025-11-27</t>
        </is>
      </c>
      <c r="G33" s="4" t="inlineStr">
        <is>
          <t>정민수</t>
        </is>
      </c>
      <c r="H33" s="4" t="inlineStr">
        <is>
          <t>특별관계자</t>
        </is>
      </c>
      <c r="I33" s="4" t="inlineStr">
        <is>
          <t>주식매수선택권행사(-)</t>
        </is>
      </c>
      <c r="J33" s="12" t="n">
        <v>-17500</v>
      </c>
      <c r="K33" s="7" t="n">
        <v>4115</v>
      </c>
      <c r="L33" s="12" t="n">
        <v>-72012500</v>
      </c>
      <c r="M33" s="7" t="n">
        <v>8895257</v>
      </c>
      <c r="N33" s="13" t="n">
        <v>29.32</v>
      </c>
      <c r="O33" s="7" t="n">
        <v>75750</v>
      </c>
      <c r="P33" s="13" t="n">
        <v>29.19</v>
      </c>
      <c r="Q33" s="2" t="inlineStr">
        <is>
          <t>20251203000326</t>
        </is>
      </c>
      <c r="R33" s="3">
        <f>HYPERLINK("https://dart.fss.or.kr/dsaf001/main.do?rcpNo=20251203000326", "공시열람")</f>
        <v/>
      </c>
    </row>
    <row r="34">
      <c r="A34" s="2" t="inlineStr">
        <is>
          <t>2025-12-03</t>
        </is>
      </c>
      <c r="B34" s="4" t="inlineStr">
        <is>
          <t>라온텍</t>
        </is>
      </c>
      <c r="C34" s="2" t="inlineStr">
        <is>
          <t>418420</t>
        </is>
      </c>
      <c r="D34" s="2" t="inlineStr">
        <is>
          <t>대량보유</t>
        </is>
      </c>
      <c r="E34" s="2" t="inlineStr">
        <is>
          <t>2025-11-27</t>
        </is>
      </c>
      <c r="F34" s="2" t="inlineStr">
        <is>
          <t>2025-11-27</t>
        </is>
      </c>
      <c r="G34" s="4" t="inlineStr">
        <is>
          <t>정민수</t>
        </is>
      </c>
      <c r="H34" s="4" t="inlineStr">
        <is>
          <t>특별관계자</t>
        </is>
      </c>
      <c r="I34" s="4" t="inlineStr">
        <is>
          <t>주식매수선택권행사(+)</t>
        </is>
      </c>
      <c r="J34" s="15" t="n">
        <v>17500</v>
      </c>
      <c r="K34" s="7" t="n">
        <v>800</v>
      </c>
      <c r="L34" s="15" t="n">
        <v>14000000</v>
      </c>
      <c r="M34" s="7" t="n">
        <v>8895257</v>
      </c>
      <c r="N34" s="13" t="n">
        <v>29.32</v>
      </c>
      <c r="O34" s="7" t="n">
        <v>1150450</v>
      </c>
      <c r="P34" s="13" t="n">
        <v>29.19</v>
      </c>
      <c r="Q34" s="2" t="inlineStr">
        <is>
          <t>20251203000326</t>
        </is>
      </c>
      <c r="R34" s="3">
        <f>HYPERLINK("https://dart.fss.or.kr/dsaf001/main.do?rcpNo=20251203000326", "공시열람")</f>
        <v/>
      </c>
    </row>
    <row r="35">
      <c r="A35" s="2" t="inlineStr">
        <is>
          <t>2025-12-03</t>
        </is>
      </c>
      <c r="B35" s="4" t="inlineStr">
        <is>
          <t>라온텍</t>
        </is>
      </c>
      <c r="C35" s="2" t="inlineStr">
        <is>
          <t>418420</t>
        </is>
      </c>
      <c r="D35" s="2" t="inlineStr">
        <is>
          <t>임원보고</t>
        </is>
      </c>
      <c r="E35" s="2" t="inlineStr">
        <is>
          <t>2025-11-27</t>
        </is>
      </c>
      <c r="F35" s="2" t="inlineStr">
        <is>
          <t>2025-11-27</t>
        </is>
      </c>
      <c r="G35" s="4" t="inlineStr">
        <is>
          <t>정민수</t>
        </is>
      </c>
      <c r="H35" s="4" t="inlineStr">
        <is>
          <t>등기임원 연구소장</t>
        </is>
      </c>
      <c r="I35" s="4" t="inlineStr">
        <is>
          <t>주식매수선택권(+)</t>
        </is>
      </c>
      <c r="J35" s="15" t="n">
        <v>17500</v>
      </c>
      <c r="K35" s="7" t="n">
        <v>4115</v>
      </c>
      <c r="L35" s="15" t="n">
        <v>72012500</v>
      </c>
      <c r="M35" s="7" t="inlineStr"/>
      <c r="N35" s="14" t="inlineStr"/>
      <c r="O35" s="7" t="n">
        <v>1150450</v>
      </c>
      <c r="P35" s="13" t="n">
        <v>3.78</v>
      </c>
      <c r="Q35" s="2" t="inlineStr">
        <is>
          <t>20251203000335</t>
        </is>
      </c>
      <c r="R35" s="3">
        <f>HYPERLINK("https://dart.fss.or.kr/dsaf001/main.do?rcpNo=20251203000335", "공시열람")</f>
        <v/>
      </c>
    </row>
    <row r="36">
      <c r="A36" s="2" t="inlineStr">
        <is>
          <t>2025-12-03</t>
        </is>
      </c>
      <c r="B36" s="4" t="inlineStr">
        <is>
          <t>라온텍</t>
        </is>
      </c>
      <c r="C36" s="2" t="inlineStr">
        <is>
          <t>418420</t>
        </is>
      </c>
      <c r="D36" s="2" t="inlineStr">
        <is>
          <t>임원보고</t>
        </is>
      </c>
      <c r="E36" s="2" t="inlineStr">
        <is>
          <t>2025-11-27</t>
        </is>
      </c>
      <c r="F36" s="2" t="inlineStr">
        <is>
          <t>2025-11-27</t>
        </is>
      </c>
      <c r="G36" s="4" t="inlineStr">
        <is>
          <t>김민석</t>
        </is>
      </c>
      <c r="H36" s="4" t="inlineStr">
        <is>
          <t>등기임원 연구소장</t>
        </is>
      </c>
      <c r="I36" s="4" t="inlineStr">
        <is>
          <t>주식매수선택권(+)</t>
        </is>
      </c>
      <c r="J36" s="15" t="n">
        <v>13250</v>
      </c>
      <c r="K36" s="7" t="n">
        <v>4115</v>
      </c>
      <c r="L36" s="15" t="n">
        <v>54523750</v>
      </c>
      <c r="M36" s="7" t="inlineStr"/>
      <c r="N36" s="14" t="inlineStr"/>
      <c r="O36" s="7" t="n">
        <v>222250</v>
      </c>
      <c r="P36" s="13" t="n">
        <v>0.73</v>
      </c>
      <c r="Q36" s="2" t="inlineStr">
        <is>
          <t>20251203000342</t>
        </is>
      </c>
      <c r="R36" s="3">
        <f>HYPERLINK("https://dart.fss.or.kr/dsaf001/main.do?rcpNo=20251203000342", "공시열람")</f>
        <v/>
      </c>
    </row>
    <row r="37">
      <c r="A37" s="2" t="inlineStr">
        <is>
          <t>2025-12-03</t>
        </is>
      </c>
      <c r="B37" s="4" t="inlineStr">
        <is>
          <t>라온텍</t>
        </is>
      </c>
      <c r="C37" s="2" t="inlineStr">
        <is>
          <t>418420</t>
        </is>
      </c>
      <c r="D37" s="2" t="inlineStr">
        <is>
          <t>임원보고</t>
        </is>
      </c>
      <c r="E37" s="2" t="inlineStr">
        <is>
          <t>2025-11-27</t>
        </is>
      </c>
      <c r="F37" s="2" t="inlineStr">
        <is>
          <t>2025-11-27</t>
        </is>
      </c>
      <c r="G37" s="4" t="inlineStr">
        <is>
          <t>한성준</t>
        </is>
      </c>
      <c r="H37" s="4" t="inlineStr">
        <is>
          <t>비등기임원 상무이사</t>
        </is>
      </c>
      <c r="I37" s="4" t="inlineStr">
        <is>
          <t>주식매수선택권(+)</t>
        </is>
      </c>
      <c r="J37" s="15" t="n">
        <v>15000</v>
      </c>
      <c r="K37" s="7" t="n">
        <v>4115</v>
      </c>
      <c r="L37" s="15" t="n">
        <v>61725000</v>
      </c>
      <c r="M37" s="7" t="inlineStr"/>
      <c r="N37" s="14" t="inlineStr"/>
      <c r="O37" s="7" t="n">
        <v>217301</v>
      </c>
      <c r="P37" s="13" t="n">
        <v>0.71</v>
      </c>
      <c r="Q37" s="2" t="inlineStr">
        <is>
          <t>20251203000347</t>
        </is>
      </c>
      <c r="R37" s="3">
        <f>HYPERLINK("https://dart.fss.or.kr/dsaf001/main.do?rcpNo=20251203000347", "공시열람")</f>
        <v/>
      </c>
    </row>
    <row r="38">
      <c r="A38" s="2" t="inlineStr">
        <is>
          <t>2025-12-03</t>
        </is>
      </c>
      <c r="B38" s="4" t="inlineStr">
        <is>
          <t>라온텍</t>
        </is>
      </c>
      <c r="C38" s="2" t="inlineStr">
        <is>
          <t>418420</t>
        </is>
      </c>
      <c r="D38" s="2" t="inlineStr">
        <is>
          <t>임원보고</t>
        </is>
      </c>
      <c r="E38" s="2" t="inlineStr">
        <is>
          <t>2025-11-27</t>
        </is>
      </c>
      <c r="F38" s="2" t="inlineStr">
        <is>
          <t>2025-11-27</t>
        </is>
      </c>
      <c r="G38" s="4" t="inlineStr">
        <is>
          <t>이광수</t>
        </is>
      </c>
      <c r="H38" s="4" t="inlineStr">
        <is>
          <t>비등기임원 전무이사</t>
        </is>
      </c>
      <c r="I38" s="4" t="inlineStr">
        <is>
          <t>주식매수선택권(+)</t>
        </is>
      </c>
      <c r="J38" s="15" t="n">
        <v>8750</v>
      </c>
      <c r="K38" s="7" t="n">
        <v>4115</v>
      </c>
      <c r="L38" s="15" t="n">
        <v>36006250</v>
      </c>
      <c r="M38" s="7" t="inlineStr"/>
      <c r="N38" s="14" t="inlineStr"/>
      <c r="O38" s="7" t="n">
        <v>234744</v>
      </c>
      <c r="P38" s="13" t="n">
        <v>0.77</v>
      </c>
      <c r="Q38" s="2" t="inlineStr">
        <is>
          <t>20251203000349</t>
        </is>
      </c>
      <c r="R38" s="3">
        <f>HYPERLINK("https://dart.fss.or.kr/dsaf001/main.do?rcpNo=20251203000349", "공시열람")</f>
        <v/>
      </c>
    </row>
    <row r="39">
      <c r="A39" s="2" t="inlineStr">
        <is>
          <t>2025-12-03</t>
        </is>
      </c>
      <c r="B39" s="4" t="inlineStr">
        <is>
          <t>라온텍</t>
        </is>
      </c>
      <c r="C39" s="2" t="inlineStr">
        <is>
          <t>418420</t>
        </is>
      </c>
      <c r="D39" s="2" t="inlineStr">
        <is>
          <t>임원보고</t>
        </is>
      </c>
      <c r="E39" s="2" t="inlineStr">
        <is>
          <t>2025-11-27</t>
        </is>
      </c>
      <c r="F39" s="2" t="inlineStr">
        <is>
          <t>2025-11-27</t>
        </is>
      </c>
      <c r="G39" s="4" t="inlineStr">
        <is>
          <t>조성재</t>
        </is>
      </c>
      <c r="H39" s="4" t="inlineStr">
        <is>
          <t>비등기임원 전무이사</t>
        </is>
      </c>
      <c r="I39" s="4" t="inlineStr">
        <is>
          <t>주식매수선택권(+)</t>
        </is>
      </c>
      <c r="J39" s="15" t="n">
        <v>8750</v>
      </c>
      <c r="K39" s="7" t="n">
        <v>4115</v>
      </c>
      <c r="L39" s="15" t="n">
        <v>36006250</v>
      </c>
      <c r="M39" s="7" t="inlineStr"/>
      <c r="N39" s="14" t="inlineStr"/>
      <c r="O39" s="7" t="n">
        <v>385190</v>
      </c>
      <c r="P39" s="13" t="n">
        <v>1.26</v>
      </c>
      <c r="Q39" s="2" t="inlineStr">
        <is>
          <t>20251203000353</t>
        </is>
      </c>
      <c r="R39" s="3">
        <f>HYPERLINK("https://dart.fss.or.kr/dsaf001/main.do?rcpNo=20251203000353", "공시열람")</f>
        <v/>
      </c>
    </row>
    <row r="40">
      <c r="A40" s="2" t="inlineStr">
        <is>
          <t>2025-10-17</t>
        </is>
      </c>
      <c r="B40" s="4" t="inlineStr">
        <is>
          <t>라온텍</t>
        </is>
      </c>
      <c r="C40" s="2" t="inlineStr">
        <is>
          <t>418420</t>
        </is>
      </c>
      <c r="D40" s="2" t="inlineStr">
        <is>
          <t>임원보고</t>
        </is>
      </c>
      <c r="E40" s="2" t="inlineStr">
        <is>
          <t>2025-10-15</t>
        </is>
      </c>
      <c r="F40" s="2" t="inlineStr">
        <is>
          <t>2025-10-15</t>
        </is>
      </c>
      <c r="G40" s="4" t="inlineStr">
        <is>
          <t>한성준</t>
        </is>
      </c>
      <c r="H40" s="4" t="inlineStr">
        <is>
          <t>비등기임원 상무이사</t>
        </is>
      </c>
      <c r="I40" s="4" t="inlineStr">
        <is>
          <t>증여(-)</t>
        </is>
      </c>
      <c r="J40" s="12" t="n">
        <v>-100000</v>
      </c>
      <c r="K40" s="7" t="n">
        <v>4990</v>
      </c>
      <c r="L40" s="12" t="n">
        <v>-499000000</v>
      </c>
      <c r="M40" s="7" t="inlineStr"/>
      <c r="N40" s="14" t="inlineStr"/>
      <c r="O40" s="7" t="n">
        <v>202301</v>
      </c>
      <c r="P40" s="13" t="n">
        <v>0.67</v>
      </c>
      <c r="Q40" s="2" t="inlineStr">
        <is>
          <t>20251017000488</t>
        </is>
      </c>
      <c r="R40" s="3">
        <f>HYPERLINK("https://dart.fss.or.kr/dsaf001/main.do?rcpNo=20251017000488", "공시열람")</f>
        <v/>
      </c>
    </row>
    <row r="41">
      <c r="A41" s="2" t="inlineStr">
        <is>
          <t>2025-10-02</t>
        </is>
      </c>
      <c r="B41" s="4" t="inlineStr">
        <is>
          <t>라온텍</t>
        </is>
      </c>
      <c r="C41" s="2" t="inlineStr">
        <is>
          <t>418420</t>
        </is>
      </c>
      <c r="D41" s="2" t="inlineStr">
        <is>
          <t>임원보고</t>
        </is>
      </c>
      <c r="E41" s="2" t="inlineStr">
        <is>
          <t>2025-09-29</t>
        </is>
      </c>
      <c r="F41" s="2" t="inlineStr">
        <is>
          <t>2025-09-29</t>
        </is>
      </c>
      <c r="G41" s="4" t="inlineStr">
        <is>
          <t>이광수</t>
        </is>
      </c>
      <c r="H41" s="4" t="inlineStr">
        <is>
          <t>비등기임원 전무이사</t>
        </is>
      </c>
      <c r="I41" s="4" t="inlineStr">
        <is>
          <t>증여(-)</t>
        </is>
      </c>
      <c r="J41" s="12" t="n">
        <v>-100000</v>
      </c>
      <c r="K41" s="7" t="n">
        <v>4810</v>
      </c>
      <c r="L41" s="12" t="n">
        <v>-481000000</v>
      </c>
      <c r="M41" s="7" t="inlineStr"/>
      <c r="N41" s="14" t="inlineStr"/>
      <c r="O41" s="7" t="n">
        <v>225994</v>
      </c>
      <c r="P41" s="13" t="n">
        <v>0.74</v>
      </c>
      <c r="Q41" s="2" t="inlineStr">
        <is>
          <t>20251002000575</t>
        </is>
      </c>
      <c r="R41" s="3">
        <f>HYPERLINK("https://dart.fss.or.kr/dsaf001/main.do?rcpNo=20251002000575", "공시열람")</f>
        <v/>
      </c>
    </row>
    <row r="42">
      <c r="A42" s="2" t="inlineStr">
        <is>
          <t>2025-10-02</t>
        </is>
      </c>
      <c r="B42" s="4" t="inlineStr">
        <is>
          <t>라온텍</t>
        </is>
      </c>
      <c r="C42" s="2" t="inlineStr">
        <is>
          <t>418420</t>
        </is>
      </c>
      <c r="D42" s="2" t="inlineStr">
        <is>
          <t>임원보고</t>
        </is>
      </c>
      <c r="E42" s="2" t="inlineStr">
        <is>
          <t>2025-09-29</t>
        </is>
      </c>
      <c r="F42" s="2" t="inlineStr">
        <is>
          <t>2025-09-29</t>
        </is>
      </c>
      <c r="G42" s="4" t="inlineStr">
        <is>
          <t>김민석</t>
        </is>
      </c>
      <c r="H42" s="4" t="inlineStr">
        <is>
          <t>등기임원 연구소장</t>
        </is>
      </c>
      <c r="I42" s="4" t="inlineStr">
        <is>
          <t>증여(-)</t>
        </is>
      </c>
      <c r="J42" s="12" t="n">
        <v>-93500</v>
      </c>
      <c r="K42" s="7" t="n">
        <v>4810</v>
      </c>
      <c r="L42" s="12" t="n">
        <v>-449735000</v>
      </c>
      <c r="M42" s="7" t="inlineStr"/>
      <c r="N42" s="14" t="inlineStr"/>
      <c r="O42" s="7" t="n">
        <v>209000</v>
      </c>
      <c r="P42" s="13" t="n">
        <v>0.6899999999999999</v>
      </c>
      <c r="Q42" s="2" t="inlineStr">
        <is>
          <t>20251002000579</t>
        </is>
      </c>
      <c r="R42" s="3">
        <f>HYPERLINK("https://dart.fss.or.kr/dsaf001/main.do?rcpNo=20251002000579", "공시열람")</f>
        <v/>
      </c>
    </row>
    <row r="43">
      <c r="A43" s="2" t="inlineStr">
        <is>
          <t>2025-10-02</t>
        </is>
      </c>
      <c r="B43" s="4" t="inlineStr">
        <is>
          <t>라온텍</t>
        </is>
      </c>
      <c r="C43" s="2" t="inlineStr">
        <is>
          <t>418420</t>
        </is>
      </c>
      <c r="D43" s="2" t="inlineStr">
        <is>
          <t>대량보유</t>
        </is>
      </c>
      <c r="E43" s="2" t="inlineStr">
        <is>
          <t>2025-09-29</t>
        </is>
      </c>
      <c r="F43" s="2" t="inlineStr">
        <is>
          <t>2025-09-29</t>
        </is>
      </c>
      <c r="G43" s="4" t="inlineStr">
        <is>
          <t>김민석</t>
        </is>
      </c>
      <c r="H43" s="4" t="inlineStr">
        <is>
          <t>특별관계자</t>
        </is>
      </c>
      <c r="I43" s="4" t="inlineStr">
        <is>
          <t>증여(-)</t>
        </is>
      </c>
      <c r="J43" s="12" t="n">
        <v>-93500</v>
      </c>
      <c r="K43" s="7" t="n">
        <v>4810</v>
      </c>
      <c r="L43" s="12" t="n">
        <v>-449735000</v>
      </c>
      <c r="M43" s="7" t="n">
        <v>8988757</v>
      </c>
      <c r="N43" s="13" t="n">
        <v>29.63</v>
      </c>
      <c r="O43" s="7" t="n">
        <v>209000</v>
      </c>
      <c r="P43" s="13" t="n">
        <v>29.32</v>
      </c>
      <c r="Q43" s="2" t="inlineStr">
        <is>
          <t>20251002000588</t>
        </is>
      </c>
      <c r="R43" s="3">
        <f>HYPERLINK("https://dart.fss.or.kr/dsaf001/main.do?rcpNo=20251002000588", "공시열람")</f>
        <v/>
      </c>
    </row>
    <row r="44">
      <c r="A44" s="2" t="inlineStr">
        <is>
          <t>2025-08-26</t>
        </is>
      </c>
      <c r="B44" s="4" t="inlineStr">
        <is>
          <t>라온텍</t>
        </is>
      </c>
      <c r="C44" s="2" t="inlineStr">
        <is>
          <t>418420</t>
        </is>
      </c>
      <c r="D44" s="2" t="inlineStr">
        <is>
          <t>대량보유</t>
        </is>
      </c>
      <c r="E44" s="2" t="inlineStr">
        <is>
          <t>2025-08-20</t>
        </is>
      </c>
      <c r="F44" s="2" t="inlineStr">
        <is>
          <t>2025-08-20</t>
        </is>
      </c>
      <c r="G44" s="4" t="inlineStr">
        <is>
          <t>대신-뉴젠-엠포드신기술투자조합제1호</t>
        </is>
      </c>
      <c r="H44" s="4" t="inlineStr">
        <is>
          <t>특별관계자</t>
        </is>
      </c>
      <c r="I44" s="4" t="inlineStr">
        <is>
          <t>CB인수(+)</t>
        </is>
      </c>
      <c r="J44" s="15" t="n">
        <v>1355483</v>
      </c>
      <c r="K44" s="7" t="n">
        <v>4906</v>
      </c>
      <c r="L44" s="15" t="n">
        <v>6649999598</v>
      </c>
      <c r="M44" s="7" t="inlineStr"/>
      <c r="N44" s="14" t="inlineStr"/>
      <c r="O44" s="7" t="n">
        <v>1355483</v>
      </c>
      <c r="P44" s="13" t="n">
        <v>5.25</v>
      </c>
      <c r="Q44" s="2" t="inlineStr">
        <is>
          <t>20250826000386</t>
        </is>
      </c>
      <c r="R44" s="3">
        <f>HYPERLINK("https://dart.fss.or.kr/dsaf001/main.do?rcpNo=20250826000386", "공시열람")</f>
        <v/>
      </c>
    </row>
    <row r="45">
      <c r="A45" s="2" t="inlineStr">
        <is>
          <t>2025-08-26</t>
        </is>
      </c>
      <c r="B45" s="4" t="inlineStr">
        <is>
          <t>라온텍</t>
        </is>
      </c>
      <c r="C45" s="2" t="inlineStr">
        <is>
          <t>418420</t>
        </is>
      </c>
      <c r="D45" s="2" t="inlineStr">
        <is>
          <t>대량보유</t>
        </is>
      </c>
      <c r="E45" s="2" t="inlineStr">
        <is>
          <t>2025-08-20</t>
        </is>
      </c>
      <c r="F45" s="2" t="inlineStr">
        <is>
          <t>2025-08-20</t>
        </is>
      </c>
      <c r="G45" s="4" t="inlineStr">
        <is>
          <t>2024대신-킹고GrowthCapital신기술투자조합</t>
        </is>
      </c>
      <c r="H45" s="4" t="inlineStr">
        <is>
          <t>특별관계자</t>
        </is>
      </c>
      <c r="I45" s="4" t="inlineStr">
        <is>
          <t>CB인수(+)</t>
        </is>
      </c>
      <c r="J45" s="15" t="n">
        <v>326131</v>
      </c>
      <c r="K45" s="7" t="n">
        <v>4906</v>
      </c>
      <c r="L45" s="15" t="n">
        <v>1599998686</v>
      </c>
      <c r="M45" s="7" t="inlineStr"/>
      <c r="N45" s="14" t="inlineStr"/>
      <c r="O45" s="7" t="n">
        <v>326131</v>
      </c>
      <c r="P45" s="13" t="n">
        <v>5.25</v>
      </c>
      <c r="Q45" s="2" t="inlineStr">
        <is>
          <t>20250826000386</t>
        </is>
      </c>
      <c r="R45" s="3">
        <f>HYPERLINK("https://dart.fss.or.kr/dsaf001/main.do?rcpNo=20250826000386", "공시열람")</f>
        <v/>
      </c>
    </row>
    <row r="46">
      <c r="A46" s="2" t="inlineStr">
        <is>
          <t>2025-04-10</t>
        </is>
      </c>
      <c r="B46" s="4" t="inlineStr">
        <is>
          <t>라온텍</t>
        </is>
      </c>
      <c r="C46" s="2" t="inlineStr">
        <is>
          <t>418420</t>
        </is>
      </c>
      <c r="D46" s="2" t="inlineStr">
        <is>
          <t>임원보고</t>
        </is>
      </c>
      <c r="E46" s="2" t="inlineStr">
        <is>
          <t>2025-04-10</t>
        </is>
      </c>
      <c r="F46" s="2" t="inlineStr">
        <is>
          <t>2025-04-10</t>
        </is>
      </c>
      <c r="G46" s="4" t="inlineStr">
        <is>
          <t>김민석</t>
        </is>
      </c>
      <c r="H46" s="4" t="inlineStr">
        <is>
          <t>등기임원 연구소장</t>
        </is>
      </c>
      <c r="I46" s="4" t="inlineStr">
        <is>
          <t>주식매수선택권(+)</t>
        </is>
      </c>
      <c r="J46" s="15" t="n">
        <v>17500</v>
      </c>
      <c r="K46" s="7" t="n">
        <v>800</v>
      </c>
      <c r="L46" s="15" t="n">
        <v>14000000</v>
      </c>
      <c r="M46" s="7" t="inlineStr"/>
      <c r="N46" s="14" t="inlineStr"/>
      <c r="O46" s="7" t="n">
        <v>302500</v>
      </c>
      <c r="P46" s="13" t="n">
        <v>1</v>
      </c>
      <c r="Q46" s="2" t="inlineStr">
        <is>
          <t>20250410002864</t>
        </is>
      </c>
      <c r="R46" s="3">
        <f>HYPERLINK("https://dart.fss.or.kr/dsaf001/main.do?rcpNo=20250410002864", "공시열람")</f>
        <v/>
      </c>
    </row>
    <row r="47">
      <c r="A47" s="2" t="inlineStr">
        <is>
          <t>2025-04-10</t>
        </is>
      </c>
      <c r="B47" s="4" t="inlineStr">
        <is>
          <t>라온텍</t>
        </is>
      </c>
      <c r="C47" s="2" t="inlineStr">
        <is>
          <t>418420</t>
        </is>
      </c>
      <c r="D47" s="2" t="inlineStr">
        <is>
          <t>임원보고</t>
        </is>
      </c>
      <c r="E47" s="2" t="inlineStr">
        <is>
          <t>2025-04-10</t>
        </is>
      </c>
      <c r="F47" s="2" t="inlineStr">
        <is>
          <t>2025-04-10</t>
        </is>
      </c>
      <c r="G47" s="4" t="inlineStr">
        <is>
          <t>한성준</t>
        </is>
      </c>
      <c r="H47" s="4" t="inlineStr">
        <is>
          <t>비등기임원 상무이사</t>
        </is>
      </c>
      <c r="I47" s="4" t="inlineStr">
        <is>
          <t>장내매수(+)</t>
        </is>
      </c>
      <c r="J47" s="15" t="n">
        <v>5000</v>
      </c>
      <c r="K47" s="7" t="n">
        <v>800</v>
      </c>
      <c r="L47" s="15" t="n">
        <v>4000000</v>
      </c>
      <c r="M47" s="7" t="inlineStr"/>
      <c r="N47" s="14" t="inlineStr"/>
      <c r="O47" s="7" t="n">
        <v>302301</v>
      </c>
      <c r="P47" s="13" t="n">
        <v>1</v>
      </c>
      <c r="Q47" s="2" t="inlineStr">
        <is>
          <t>20250410002910</t>
        </is>
      </c>
      <c r="R47" s="3">
        <f>HYPERLINK("https://dart.fss.or.kr/dsaf001/main.do?rcpNo=20250410002910", "공시열람")</f>
        <v/>
      </c>
    </row>
    <row r="48">
      <c r="A48" s="2" t="inlineStr">
        <is>
          <t>2025-04-10</t>
        </is>
      </c>
      <c r="B48" s="4" t="inlineStr">
        <is>
          <t>라온텍</t>
        </is>
      </c>
      <c r="C48" s="2" t="inlineStr">
        <is>
          <t>418420</t>
        </is>
      </c>
      <c r="D48" s="2" t="inlineStr">
        <is>
          <t>임원보고</t>
        </is>
      </c>
      <c r="E48" s="2" t="inlineStr">
        <is>
          <t>2025-04-10</t>
        </is>
      </c>
      <c r="F48" s="2" t="inlineStr">
        <is>
          <t>2025-04-10</t>
        </is>
      </c>
      <c r="G48" s="4" t="inlineStr">
        <is>
          <t>조성재</t>
        </is>
      </c>
      <c r="H48" s="4" t="inlineStr">
        <is>
          <t>비등기임원 전무이사</t>
        </is>
      </c>
      <c r="I48" s="4" t="inlineStr">
        <is>
          <t>주식매수선택권(+)</t>
        </is>
      </c>
      <c r="J48" s="15" t="n">
        <v>8750</v>
      </c>
      <c r="K48" s="7" t="n">
        <v>800</v>
      </c>
      <c r="L48" s="15" t="n">
        <v>7000000</v>
      </c>
      <c r="M48" s="7" t="inlineStr"/>
      <c r="N48" s="14" t="inlineStr"/>
      <c r="O48" s="7" t="n">
        <v>376440</v>
      </c>
      <c r="P48" s="13" t="n">
        <v>1.24</v>
      </c>
      <c r="Q48" s="2" t="inlineStr">
        <is>
          <t>20250410002952</t>
        </is>
      </c>
      <c r="R48" s="3">
        <f>HYPERLINK("https://dart.fss.or.kr/dsaf001/main.do?rcpNo=20250410002952", "공시열람")</f>
        <v/>
      </c>
    </row>
    <row r="49">
      <c r="A49" s="2" t="inlineStr">
        <is>
          <t>2025-04-10</t>
        </is>
      </c>
      <c r="B49" s="4" t="inlineStr">
        <is>
          <t>라온텍</t>
        </is>
      </c>
      <c r="C49" s="2" t="inlineStr">
        <is>
          <t>418420</t>
        </is>
      </c>
      <c r="D49" s="2" t="inlineStr">
        <is>
          <t>임원보고</t>
        </is>
      </c>
      <c r="E49" s="2" t="inlineStr">
        <is>
          <t>2025-04-10</t>
        </is>
      </c>
      <c r="F49" s="2" t="inlineStr">
        <is>
          <t>2025-04-10</t>
        </is>
      </c>
      <c r="G49" s="4" t="inlineStr">
        <is>
          <t>이정환</t>
        </is>
      </c>
      <c r="H49" s="4" t="inlineStr">
        <is>
          <t>비등기임원 상무이사</t>
        </is>
      </c>
      <c r="I49" s="4" t="inlineStr">
        <is>
          <t>주식매수선택권(+)</t>
        </is>
      </c>
      <c r="J49" s="15" t="n">
        <v>15000</v>
      </c>
      <c r="K49" s="7" t="n">
        <v>800</v>
      </c>
      <c r="L49" s="15" t="n">
        <v>12000000</v>
      </c>
      <c r="M49" s="7" t="inlineStr"/>
      <c r="N49" s="14" t="inlineStr"/>
      <c r="O49" s="7" t="n">
        <v>46500</v>
      </c>
      <c r="P49" s="13" t="n">
        <v>0.15</v>
      </c>
      <c r="Q49" s="2" t="inlineStr">
        <is>
          <t>20250410002995</t>
        </is>
      </c>
      <c r="R49" s="3">
        <f>HYPERLINK("https://dart.fss.or.kr/dsaf001/main.do?rcpNo=20250410002995", "공시열람")</f>
        <v/>
      </c>
    </row>
    <row r="50">
      <c r="A50" s="2" t="inlineStr">
        <is>
          <t>2025-04-10</t>
        </is>
      </c>
      <c r="B50" s="4" t="inlineStr">
        <is>
          <t>라온텍</t>
        </is>
      </c>
      <c r="C50" s="2" t="inlineStr">
        <is>
          <t>418420</t>
        </is>
      </c>
      <c r="D50" s="2" t="inlineStr">
        <is>
          <t>대량보유</t>
        </is>
      </c>
      <c r="E50" s="2" t="inlineStr">
        <is>
          <t>2025-04-10</t>
        </is>
      </c>
      <c r="F50" s="2" t="inlineStr">
        <is>
          <t>2025-04-10</t>
        </is>
      </c>
      <c r="G50" s="4" t="inlineStr">
        <is>
          <t>김민석</t>
        </is>
      </c>
      <c r="H50" s="4" t="inlineStr">
        <is>
          <t>특별관계자</t>
        </is>
      </c>
      <c r="I50" s="4" t="inlineStr">
        <is>
          <t>주식매수선택권행사(-)</t>
        </is>
      </c>
      <c r="J50" s="12" t="n">
        <v>-17500</v>
      </c>
      <c r="K50" s="7" t="n">
        <v>800</v>
      </c>
      <c r="L50" s="12" t="n">
        <v>-14000000</v>
      </c>
      <c r="M50" s="7" t="n">
        <v>8988757</v>
      </c>
      <c r="N50" s="13" t="n">
        <v>29.85</v>
      </c>
      <c r="O50" s="7" t="n">
        <v>62000</v>
      </c>
      <c r="P50" s="13" t="n">
        <v>29.63</v>
      </c>
      <c r="Q50" s="2" t="inlineStr">
        <is>
          <t>20250410003059</t>
        </is>
      </c>
      <c r="R50" s="3">
        <f>HYPERLINK("https://dart.fss.or.kr/dsaf001/main.do?rcpNo=20250410003059", "공시열람")</f>
        <v/>
      </c>
    </row>
    <row r="51">
      <c r="A51" s="2" t="inlineStr">
        <is>
          <t>2025-04-10</t>
        </is>
      </c>
      <c r="B51" s="4" t="inlineStr">
        <is>
          <t>라온텍</t>
        </is>
      </c>
      <c r="C51" s="2" t="inlineStr">
        <is>
          <t>418420</t>
        </is>
      </c>
      <c r="D51" s="2" t="inlineStr">
        <is>
          <t>대량보유</t>
        </is>
      </c>
      <c r="E51" s="2" t="inlineStr">
        <is>
          <t>2025-04-10</t>
        </is>
      </c>
      <c r="F51" s="2" t="inlineStr">
        <is>
          <t>2025-04-10</t>
        </is>
      </c>
      <c r="G51" s="4" t="inlineStr">
        <is>
          <t>김민석</t>
        </is>
      </c>
      <c r="H51" s="4" t="inlineStr">
        <is>
          <t>특별관계자</t>
        </is>
      </c>
      <c r="I51" s="4" t="inlineStr">
        <is>
          <t>주식매수선택권행사(+)</t>
        </is>
      </c>
      <c r="J51" s="15" t="n">
        <v>17500</v>
      </c>
      <c r="K51" s="7" t="n">
        <v>800</v>
      </c>
      <c r="L51" s="15" t="n">
        <v>14000000</v>
      </c>
      <c r="M51" s="7" t="n">
        <v>8988757</v>
      </c>
      <c r="N51" s="13" t="n">
        <v>29.85</v>
      </c>
      <c r="O51" s="7" t="n">
        <v>302500</v>
      </c>
      <c r="P51" s="13" t="n">
        <v>29.63</v>
      </c>
      <c r="Q51" s="2" t="inlineStr">
        <is>
          <t>20250410003059</t>
        </is>
      </c>
      <c r="R51" s="3">
        <f>HYPERLINK("https://dart.fss.or.kr/dsaf001/main.do?rcpNo=20250410003059", "공시열람")</f>
        <v/>
      </c>
    </row>
    <row r="52">
      <c r="A52" s="2" t="inlineStr">
        <is>
          <t>2025-04-10</t>
        </is>
      </c>
      <c r="B52" s="4" t="inlineStr">
        <is>
          <t>라온텍</t>
        </is>
      </c>
      <c r="C52" s="2" t="inlineStr">
        <is>
          <t>418420</t>
        </is>
      </c>
      <c r="D52" s="2" t="inlineStr">
        <is>
          <t>임원보고</t>
        </is>
      </c>
      <c r="E52" s="2" t="inlineStr">
        <is>
          <t>2025-04-10</t>
        </is>
      </c>
      <c r="F52" s="2" t="inlineStr">
        <is>
          <t>2025-04-10</t>
        </is>
      </c>
      <c r="G52" s="4" t="inlineStr">
        <is>
          <t>한성준</t>
        </is>
      </c>
      <c r="H52" s="4" t="inlineStr">
        <is>
          <t>비등기임원 상무이사</t>
        </is>
      </c>
      <c r="I52" s="4" t="inlineStr">
        <is>
          <t>주식매수선택권(+)</t>
        </is>
      </c>
      <c r="J52" s="15" t="n">
        <v>10000</v>
      </c>
      <c r="K52" s="7" t="n">
        <v>800</v>
      </c>
      <c r="L52" s="15" t="n">
        <v>8000000</v>
      </c>
      <c r="M52" s="7" t="inlineStr"/>
      <c r="N52" s="14" t="inlineStr"/>
      <c r="O52" s="7" t="n">
        <v>302301</v>
      </c>
      <c r="P52" s="13" t="n">
        <v>1</v>
      </c>
      <c r="Q52" s="2" t="inlineStr">
        <is>
          <t>20250410003121</t>
        </is>
      </c>
      <c r="R52" s="3">
        <f>HYPERLINK("https://dart.fss.or.kr/dsaf001/main.do?rcpNo=20250410003121", "공시열람")</f>
        <v/>
      </c>
    </row>
    <row r="53">
      <c r="A53" s="2" t="inlineStr">
        <is>
          <t>2025-04-10</t>
        </is>
      </c>
      <c r="B53" s="4" t="inlineStr">
        <is>
          <t>라온텍</t>
        </is>
      </c>
      <c r="C53" s="2" t="inlineStr">
        <is>
          <t>418420</t>
        </is>
      </c>
      <c r="D53" s="2" t="inlineStr">
        <is>
          <t>임원보고</t>
        </is>
      </c>
      <c r="E53" s="2" t="inlineStr">
        <is>
          <t>2025-04-10</t>
        </is>
      </c>
      <c r="F53" s="2" t="inlineStr">
        <is>
          <t>2025-04-10</t>
        </is>
      </c>
      <c r="G53" s="4" t="inlineStr">
        <is>
          <t>한성준</t>
        </is>
      </c>
      <c r="H53" s="4" t="inlineStr">
        <is>
          <t>비등기임원 상무이사</t>
        </is>
      </c>
      <c r="I53" s="4" t="inlineStr">
        <is>
          <t>장내매수(+)</t>
        </is>
      </c>
      <c r="J53" s="15" t="n">
        <v>5000</v>
      </c>
      <c r="K53" s="7" t="n">
        <v>800</v>
      </c>
      <c r="L53" s="15" t="n">
        <v>4000000</v>
      </c>
      <c r="M53" s="7" t="inlineStr"/>
      <c r="N53" s="14" t="inlineStr"/>
      <c r="O53" s="7" t="n">
        <v>302301</v>
      </c>
      <c r="P53" s="13" t="n">
        <v>1</v>
      </c>
      <c r="Q53" s="2" t="inlineStr">
        <is>
          <t>20250410003121</t>
        </is>
      </c>
      <c r="R53" s="3">
        <f>HYPERLINK("https://dart.fss.or.kr/dsaf001/main.do?rcpNo=20250410003121", "공시열람")</f>
        <v/>
      </c>
    </row>
    <row r="54">
      <c r="A54" s="2" t="inlineStr">
        <is>
          <t>2025-04-08</t>
        </is>
      </c>
      <c r="B54" s="4" t="inlineStr">
        <is>
          <t>라온텍</t>
        </is>
      </c>
      <c r="C54" s="2" t="inlineStr">
        <is>
          <t>418420</t>
        </is>
      </c>
      <c r="D54" s="2" t="inlineStr">
        <is>
          <t>임원보고</t>
        </is>
      </c>
      <c r="E54" s="2" t="inlineStr">
        <is>
          <t>2025-04-02</t>
        </is>
      </c>
      <c r="F54" s="2" t="inlineStr">
        <is>
          <t>2025-04-02</t>
        </is>
      </c>
      <c r="G54" s="4" t="inlineStr">
        <is>
          <t>조성재</t>
        </is>
      </c>
      <c r="H54" s="4" t="inlineStr">
        <is>
          <t>비등기임원 전무이사</t>
        </is>
      </c>
      <c r="I54" s="4" t="inlineStr">
        <is>
          <t>장내매수(+)</t>
        </is>
      </c>
      <c r="J54" s="15" t="n">
        <v>3940</v>
      </c>
      <c r="K54" s="7" t="n">
        <v>2457</v>
      </c>
      <c r="L54" s="15" t="n">
        <v>9680580</v>
      </c>
      <c r="M54" s="7" t="inlineStr"/>
      <c r="N54" s="14" t="inlineStr"/>
      <c r="O54" s="7" t="n">
        <v>367690</v>
      </c>
      <c r="P54" s="13" t="n">
        <v>1.22</v>
      </c>
      <c r="Q54" s="2" t="inlineStr">
        <is>
          <t>20250408002367</t>
        </is>
      </c>
      <c r="R54" s="3">
        <f>HYPERLINK("https://dart.fss.or.kr/dsaf001/main.do?rcpNo=20250408002367", "공시열람")</f>
        <v/>
      </c>
    </row>
    <row r="55">
      <c r="A55" s="2" t="inlineStr">
        <is>
          <t>2025-03-28</t>
        </is>
      </c>
      <c r="B55" s="4" t="inlineStr">
        <is>
          <t>라온텍</t>
        </is>
      </c>
      <c r="C55" s="2" t="inlineStr">
        <is>
          <t>418420</t>
        </is>
      </c>
      <c r="D55" s="2" t="inlineStr">
        <is>
          <t>임원보고</t>
        </is>
      </c>
      <c r="E55" s="2" t="inlineStr">
        <is>
          <t>2025-03-26</t>
        </is>
      </c>
      <c r="F55" s="2" t="inlineStr">
        <is>
          <t>2025-03-27</t>
        </is>
      </c>
      <c r="G55" s="4" t="inlineStr">
        <is>
          <t>정민수</t>
        </is>
      </c>
      <c r="H55" s="4" t="inlineStr">
        <is>
          <t>등기임원 연구소장</t>
        </is>
      </c>
      <c r="I55" s="4" t="inlineStr">
        <is>
          <t>장내매수(+)</t>
        </is>
      </c>
      <c r="J55" s="15" t="n">
        <v>6700</v>
      </c>
      <c r="K55" s="7" t="n">
        <v>2672</v>
      </c>
      <c r="L55" s="15" t="n">
        <v>17902400</v>
      </c>
      <c r="M55" s="7" t="inlineStr"/>
      <c r="N55" s="14" t="inlineStr"/>
      <c r="O55" s="7" t="n">
        <v>1132950</v>
      </c>
      <c r="P55" s="13" t="n">
        <v>3.76</v>
      </c>
      <c r="Q55" s="2" t="inlineStr">
        <is>
          <t>20250328001663</t>
        </is>
      </c>
      <c r="R55" s="3">
        <f>HYPERLINK("https://dart.fss.or.kr/dsaf001/main.do?rcpNo=20250328001663", "공시열람")</f>
        <v/>
      </c>
    </row>
    <row r="56">
      <c r="A56" s="2" t="inlineStr">
        <is>
          <t>2025-03-28</t>
        </is>
      </c>
      <c r="B56" s="4" t="inlineStr">
        <is>
          <t>라온텍</t>
        </is>
      </c>
      <c r="C56" s="2" t="inlineStr">
        <is>
          <t>418420</t>
        </is>
      </c>
      <c r="D56" s="2" t="inlineStr">
        <is>
          <t>임원보고</t>
        </is>
      </c>
      <c r="E56" s="2" t="inlineStr">
        <is>
          <t>2025-03-26</t>
        </is>
      </c>
      <c r="F56" s="2" t="inlineStr">
        <is>
          <t>2025-03-27</t>
        </is>
      </c>
      <c r="G56" s="4" t="inlineStr">
        <is>
          <t>김민석</t>
        </is>
      </c>
      <c r="H56" s="4" t="inlineStr">
        <is>
          <t>등기임원 연구소장</t>
        </is>
      </c>
      <c r="I56" s="4" t="inlineStr">
        <is>
          <t>장내매수(+)</t>
        </is>
      </c>
      <c r="J56" s="15" t="n">
        <v>4000</v>
      </c>
      <c r="K56" s="7" t="n">
        <v>2661</v>
      </c>
      <c r="L56" s="15" t="n">
        <v>10644000</v>
      </c>
      <c r="M56" s="7" t="inlineStr"/>
      <c r="N56" s="14" t="inlineStr"/>
      <c r="O56" s="7" t="n">
        <v>285000</v>
      </c>
      <c r="P56" s="13" t="n">
        <v>0.95</v>
      </c>
      <c r="Q56" s="2" t="inlineStr">
        <is>
          <t>20250328001708</t>
        </is>
      </c>
      <c r="R56" s="3">
        <f>HYPERLINK("https://dart.fss.or.kr/dsaf001/main.do?rcpNo=20250328001708", "공시열람")</f>
        <v/>
      </c>
    </row>
    <row r="57">
      <c r="A57" s="2" t="inlineStr">
        <is>
          <t>2025-03-28</t>
        </is>
      </c>
      <c r="B57" s="4" t="inlineStr">
        <is>
          <t>라온텍</t>
        </is>
      </c>
      <c r="C57" s="2" t="inlineStr">
        <is>
          <t>418420</t>
        </is>
      </c>
      <c r="D57" s="2" t="inlineStr">
        <is>
          <t>대량보유</t>
        </is>
      </c>
      <c r="E57" s="2" t="inlineStr">
        <is>
          <t>2025-03-26</t>
        </is>
      </c>
      <c r="F57" s="2" t="inlineStr">
        <is>
          <t>2025-03-27</t>
        </is>
      </c>
      <c r="G57" s="4" t="inlineStr">
        <is>
          <t>김민석</t>
        </is>
      </c>
      <c r="H57" s="4" t="inlineStr">
        <is>
          <t>특별관계자</t>
        </is>
      </c>
      <c r="I57" s="4" t="inlineStr">
        <is>
          <t>장내매수(+)</t>
        </is>
      </c>
      <c r="J57" s="15" t="n">
        <v>4000</v>
      </c>
      <c r="K57" s="7" t="n">
        <v>2661</v>
      </c>
      <c r="L57" s="15" t="n">
        <v>10644000</v>
      </c>
      <c r="M57" s="7" t="n">
        <v>8978057</v>
      </c>
      <c r="N57" s="13" t="n">
        <v>29.82</v>
      </c>
      <c r="O57" s="7" t="n">
        <v>364500</v>
      </c>
      <c r="P57" s="13" t="n">
        <v>29.85</v>
      </c>
      <c r="Q57" s="2" t="inlineStr">
        <is>
          <t>20250328001762</t>
        </is>
      </c>
      <c r="R57" s="3">
        <f>HYPERLINK("https://dart.fss.or.kr/dsaf001/main.do?rcpNo=20250328001762", "공시열람")</f>
        <v/>
      </c>
    </row>
    <row r="58">
      <c r="A58" s="2" t="inlineStr">
        <is>
          <t>2025-03-28</t>
        </is>
      </c>
      <c r="B58" s="4" t="inlineStr">
        <is>
          <t>라온텍</t>
        </is>
      </c>
      <c r="C58" s="2" t="inlineStr">
        <is>
          <t>418420</t>
        </is>
      </c>
      <c r="D58" s="2" t="inlineStr">
        <is>
          <t>대량보유</t>
        </is>
      </c>
      <c r="E58" s="2" t="inlineStr">
        <is>
          <t>2025-03-26</t>
        </is>
      </c>
      <c r="F58" s="2" t="inlineStr">
        <is>
          <t>2025-03-27</t>
        </is>
      </c>
      <c r="G58" s="4" t="inlineStr">
        <is>
          <t>정민수</t>
        </is>
      </c>
      <c r="H58" s="4" t="inlineStr">
        <is>
          <t>특별관계자</t>
        </is>
      </c>
      <c r="I58" s="4" t="inlineStr">
        <is>
          <t>장내매수(+)</t>
        </is>
      </c>
      <c r="J58" s="15" t="n">
        <v>6700</v>
      </c>
      <c r="K58" s="7" t="n">
        <v>2672</v>
      </c>
      <c r="L58" s="15" t="n">
        <v>17902400</v>
      </c>
      <c r="M58" s="7" t="n">
        <v>8978057</v>
      </c>
      <c r="N58" s="13" t="n">
        <v>29.82</v>
      </c>
      <c r="O58" s="7" t="n">
        <v>1226200</v>
      </c>
      <c r="P58" s="13" t="n">
        <v>29.85</v>
      </c>
      <c r="Q58" s="2" t="inlineStr">
        <is>
          <t>20250328001762</t>
        </is>
      </c>
      <c r="R58" s="3">
        <f>HYPERLINK("https://dart.fss.or.kr/dsaf001/main.do?rcpNo=20250328001762", "공시열람")</f>
        <v/>
      </c>
    </row>
    <row r="59">
      <c r="A59" s="2" t="inlineStr">
        <is>
          <t>2025-03-27</t>
        </is>
      </c>
      <c r="B59" s="4" t="inlineStr">
        <is>
          <t>라온텍</t>
        </is>
      </c>
      <c r="C59" s="2" t="inlineStr">
        <is>
          <t>418420</t>
        </is>
      </c>
      <c r="D59" s="2" t="inlineStr">
        <is>
          <t>임원보고</t>
        </is>
      </c>
      <c r="E59" s="2" t="inlineStr">
        <is>
          <t>2025-03-25</t>
        </is>
      </c>
      <c r="F59" s="2" t="inlineStr">
        <is>
          <t>2025-03-26</t>
        </is>
      </c>
      <c r="G59" s="4" t="inlineStr">
        <is>
          <t>이광수</t>
        </is>
      </c>
      <c r="H59" s="4" t="inlineStr">
        <is>
          <t>비등기임원 상무이사</t>
        </is>
      </c>
      <c r="I59" s="4" t="inlineStr">
        <is>
          <t>장내매수(+)</t>
        </is>
      </c>
      <c r="J59" s="15" t="n">
        <v>5494</v>
      </c>
      <c r="K59" s="7" t="n">
        <v>2698</v>
      </c>
      <c r="L59" s="15" t="n">
        <v>14822812</v>
      </c>
      <c r="M59" s="7" t="inlineStr"/>
      <c r="N59" s="14" t="inlineStr"/>
      <c r="O59" s="7" t="n">
        <v>325994</v>
      </c>
      <c r="P59" s="13" t="n">
        <v>1.08</v>
      </c>
      <c r="Q59" s="2" t="inlineStr">
        <is>
          <t>20250327000671</t>
        </is>
      </c>
      <c r="R59" s="3">
        <f>HYPERLINK("https://dart.fss.or.kr/dsaf001/main.do?rcpNo=20250327000671", "공시열람")</f>
        <v/>
      </c>
    </row>
    <row r="60">
      <c r="A60" s="2" t="inlineStr">
        <is>
          <t>2025-03-24</t>
        </is>
      </c>
      <c r="B60" s="4" t="inlineStr">
        <is>
          <t>라온텍</t>
        </is>
      </c>
      <c r="C60" s="2" t="inlineStr">
        <is>
          <t>418420</t>
        </is>
      </c>
      <c r="D60" s="2" t="inlineStr">
        <is>
          <t>임원보고</t>
        </is>
      </c>
      <c r="E60" s="2" t="inlineStr">
        <is>
          <t>2025-03-24</t>
        </is>
      </c>
      <c r="F60" s="2" t="inlineStr">
        <is>
          <t>2025-03-24</t>
        </is>
      </c>
      <c r="G60" s="4" t="inlineStr">
        <is>
          <t>한성준</t>
        </is>
      </c>
      <c r="H60" s="4" t="inlineStr">
        <is>
          <t>비등기임원 상무이사</t>
        </is>
      </c>
      <c r="I60" s="4" t="inlineStr">
        <is>
          <t>장내매수(+)</t>
        </is>
      </c>
      <c r="J60" s="15" t="n">
        <v>9176</v>
      </c>
      <c r="K60" s="7" t="n">
        <v>2711</v>
      </c>
      <c r="L60" s="15" t="n">
        <v>24876136</v>
      </c>
      <c r="M60" s="7" t="inlineStr"/>
      <c r="N60" s="14" t="inlineStr"/>
      <c r="O60" s="7" t="n">
        <v>297301</v>
      </c>
      <c r="P60" s="13" t="n">
        <v>0.99</v>
      </c>
      <c r="Q60" s="2" t="inlineStr">
        <is>
          <t>20250324000502</t>
        </is>
      </c>
      <c r="R60" s="3">
        <f>HYPERLINK("https://dart.fss.or.kr/dsaf001/main.do?rcpNo=20250324000502", "공시열람")</f>
        <v/>
      </c>
    </row>
    <row r="61">
      <c r="A61" s="2" t="inlineStr">
        <is>
          <t>2024-12-11</t>
        </is>
      </c>
      <c r="B61" s="4" t="inlineStr">
        <is>
          <t>라온텍</t>
        </is>
      </c>
      <c r="C61" s="2" t="inlineStr">
        <is>
          <t>418420</t>
        </is>
      </c>
      <c r="D61" s="2" t="inlineStr">
        <is>
          <t>대량보유</t>
        </is>
      </c>
      <c r="E61" s="2" t="inlineStr">
        <is>
          <t>2024-12-06</t>
        </is>
      </c>
      <c r="F61" s="2" t="inlineStr">
        <is>
          <t>2024-12-06</t>
        </is>
      </c>
      <c r="G61" s="4" t="inlineStr">
        <is>
          <t>고성은</t>
        </is>
      </c>
      <c r="H61" s="4" t="inlineStr">
        <is>
          <t>특별관계자</t>
        </is>
      </c>
      <c r="I61" s="4" t="inlineStr">
        <is>
          <t>장내매수(+)</t>
        </is>
      </c>
      <c r="J61" s="15" t="n">
        <v>14000</v>
      </c>
      <c r="K61" s="7" t="n">
        <v>2747</v>
      </c>
      <c r="L61" s="15" t="n">
        <v>38458000</v>
      </c>
      <c r="M61" s="7" t="n">
        <v>8964057</v>
      </c>
      <c r="N61" s="13" t="n">
        <v>29.77</v>
      </c>
      <c r="O61" s="7" t="n">
        <v>1199000</v>
      </c>
      <c r="P61" s="13" t="n">
        <v>29.82</v>
      </c>
      <c r="Q61" s="2" t="inlineStr">
        <is>
          <t>20241211000166</t>
        </is>
      </c>
      <c r="R61" s="3">
        <f>HYPERLINK("https://dart.fss.or.kr/dsaf001/main.do?rcpNo=20241211000166", "공시열람")</f>
        <v/>
      </c>
    </row>
    <row r="62">
      <c r="A62" s="2" t="inlineStr">
        <is>
          <t>2024-09-09</t>
        </is>
      </c>
      <c r="B62" s="4" t="inlineStr">
        <is>
          <t>라온텍</t>
        </is>
      </c>
      <c r="C62" s="2" t="inlineStr">
        <is>
          <t>418420</t>
        </is>
      </c>
      <c r="D62" s="2" t="inlineStr">
        <is>
          <t>대량보유</t>
        </is>
      </c>
      <c r="E62" s="2" t="inlineStr">
        <is>
          <t>2024-09-05</t>
        </is>
      </c>
      <c r="F62" s="2" t="inlineStr">
        <is>
          <t>2024-09-05</t>
        </is>
      </c>
      <c r="G62" s="4" t="inlineStr">
        <is>
          <t>김보은</t>
        </is>
      </c>
      <c r="H62" s="4" t="inlineStr">
        <is>
          <t>최대주주</t>
        </is>
      </c>
      <c r="I62" s="4" t="inlineStr">
        <is>
          <t>장외매수(+)</t>
        </is>
      </c>
      <c r="J62" s="15" t="n">
        <v>101557</v>
      </c>
      <c r="K62" s="7" t="n">
        <v>4246</v>
      </c>
      <c r="L62" s="15" t="n">
        <v>431211022</v>
      </c>
      <c r="M62" s="7" t="n">
        <v>8862500</v>
      </c>
      <c r="N62" s="13" t="n">
        <v>29.44</v>
      </c>
      <c r="O62" s="7" t="n">
        <v>6041557</v>
      </c>
      <c r="P62" s="13" t="n">
        <v>29.77</v>
      </c>
      <c r="Q62" s="2" t="inlineStr">
        <is>
          <t>20240909000045</t>
        </is>
      </c>
      <c r="R62" s="3">
        <f>HYPERLINK("https://dart.fss.or.kr/dsaf001/main.do?rcpNo=20240909000045", "공시열람")</f>
        <v/>
      </c>
    </row>
    <row r="63">
      <c r="A63" s="2" t="inlineStr">
        <is>
          <t>2024-09-09</t>
        </is>
      </c>
      <c r="B63" s="4" t="inlineStr">
        <is>
          <t>라온텍</t>
        </is>
      </c>
      <c r="C63" s="2" t="inlineStr">
        <is>
          <t>418420</t>
        </is>
      </c>
      <c r="D63" s="2" t="inlineStr">
        <is>
          <t>임원보고</t>
        </is>
      </c>
      <c r="E63" s="2" t="inlineStr">
        <is>
          <t>2024-09-05</t>
        </is>
      </c>
      <c r="F63" s="2" t="inlineStr">
        <is>
          <t>2024-09-05</t>
        </is>
      </c>
      <c r="G63" s="4" t="inlineStr">
        <is>
          <t>김보은</t>
        </is>
      </c>
      <c r="H63" s="4" t="inlineStr">
        <is>
          <t>등기임원 대표이사, 10%이상주주</t>
        </is>
      </c>
      <c r="I63" s="4" t="inlineStr">
        <is>
          <t>장외매수(+)</t>
        </is>
      </c>
      <c r="J63" s="15" t="n">
        <v>101557</v>
      </c>
      <c r="K63" s="7" t="n">
        <v>4246</v>
      </c>
      <c r="L63" s="15" t="n">
        <v>431211022</v>
      </c>
      <c r="M63" s="7" t="inlineStr"/>
      <c r="N63" s="14" t="inlineStr"/>
      <c r="O63" s="7" t="n">
        <v>6041557</v>
      </c>
      <c r="P63" s="13" t="n">
        <v>20.07</v>
      </c>
      <c r="Q63" s="2" t="inlineStr">
        <is>
          <t>20240909000051</t>
        </is>
      </c>
      <c r="R63" s="3">
        <f>HYPERLINK("https://dart.fss.or.kr/dsaf001/main.do?rcpNo=20240909000051", "공시열람")</f>
        <v/>
      </c>
    </row>
    <row r="64">
      <c r="A64" s="2" t="inlineStr">
        <is>
          <t>2024-04-11</t>
        </is>
      </c>
      <c r="B64" s="4" t="inlineStr">
        <is>
          <t>라온텍</t>
        </is>
      </c>
      <c r="C64" s="2" t="inlineStr">
        <is>
          <t>418420</t>
        </is>
      </c>
      <c r="D64" s="2" t="inlineStr">
        <is>
          <t>대량보유</t>
        </is>
      </c>
      <c r="E64" s="2" t="inlineStr">
        <is>
          <t>2024-04-08</t>
        </is>
      </c>
      <c r="F64" s="2" t="inlineStr">
        <is>
          <t>2024-04-08</t>
        </is>
      </c>
      <c r="G64" s="4" t="inlineStr">
        <is>
          <t>김민석</t>
        </is>
      </c>
      <c r="H64" s="4" t="inlineStr">
        <is>
          <t>특별관계자</t>
        </is>
      </c>
      <c r="I64" s="4" t="inlineStr">
        <is>
          <t>주식매수선택권행사(-)</t>
        </is>
      </c>
      <c r="J64" s="12" t="n">
        <v>-44000</v>
      </c>
      <c r="K64" s="7" t="n">
        <v>1245</v>
      </c>
      <c r="L64" s="12" t="n">
        <v>-54780000</v>
      </c>
      <c r="M64" s="7" t="n">
        <v>8862500</v>
      </c>
      <c r="N64" s="13" t="n">
        <v>30</v>
      </c>
      <c r="O64" s="7" t="n">
        <v>79500</v>
      </c>
      <c r="P64" s="13" t="n">
        <v>29.44</v>
      </c>
      <c r="Q64" s="2" t="inlineStr">
        <is>
          <t>20240411004148</t>
        </is>
      </c>
      <c r="R64" s="3">
        <f>HYPERLINK("https://dart.fss.or.kr/dsaf001/main.do?rcpNo=20240411004148", "공시열람")</f>
        <v/>
      </c>
    </row>
    <row r="65">
      <c r="A65" s="2" t="inlineStr">
        <is>
          <t>2024-04-11</t>
        </is>
      </c>
      <c r="B65" s="4" t="inlineStr">
        <is>
          <t>라온텍</t>
        </is>
      </c>
      <c r="C65" s="2" t="inlineStr">
        <is>
          <t>418420</t>
        </is>
      </c>
      <c r="D65" s="2" t="inlineStr">
        <is>
          <t>임원보고</t>
        </is>
      </c>
      <c r="E65" s="2" t="inlineStr">
        <is>
          <t>2023-03-15</t>
        </is>
      </c>
      <c r="F65" s="2" t="inlineStr">
        <is>
          <t>2023-03-15</t>
        </is>
      </c>
      <c r="G65" s="4" t="inlineStr">
        <is>
          <t>조성재</t>
        </is>
      </c>
      <c r="H65" s="4" t="inlineStr">
        <is>
          <t>비등기임원 전무이사</t>
        </is>
      </c>
      <c r="I65" s="4" t="inlineStr">
        <is>
          <t>주식매수선택권(+)</t>
        </is>
      </c>
      <c r="J65" s="15" t="n">
        <v>43750</v>
      </c>
      <c r="K65" s="7" t="n">
        <v>800</v>
      </c>
      <c r="L65" s="15" t="n">
        <v>35000000</v>
      </c>
      <c r="M65" s="7" t="inlineStr"/>
      <c r="N65" s="14" t="inlineStr"/>
      <c r="O65" s="7" t="n">
        <v>363750</v>
      </c>
      <c r="P65" s="13" t="n">
        <v>1.21</v>
      </c>
      <c r="Q65" s="2" t="inlineStr">
        <is>
          <t>20240411004011</t>
        </is>
      </c>
      <c r="R65" s="3">
        <f>HYPERLINK("https://dart.fss.or.kr/dsaf001/main.do?rcpNo=20240411004011", "공시열람")</f>
        <v/>
      </c>
    </row>
    <row r="66">
      <c r="A66" s="2" t="inlineStr">
        <is>
          <t>2024-04-11</t>
        </is>
      </c>
      <c r="B66" s="4" t="inlineStr">
        <is>
          <t>라온텍</t>
        </is>
      </c>
      <c r="C66" s="2" t="inlineStr">
        <is>
          <t>418420</t>
        </is>
      </c>
      <c r="D66" s="2" t="inlineStr">
        <is>
          <t>대량보유</t>
        </is>
      </c>
      <c r="E66" s="2" t="inlineStr">
        <is>
          <t>2024-04-08</t>
        </is>
      </c>
      <c r="F66" s="2" t="inlineStr">
        <is>
          <t>2024-04-08</t>
        </is>
      </c>
      <c r="G66" s="4" t="inlineStr">
        <is>
          <t>김민석</t>
        </is>
      </c>
      <c r="H66" s="4" t="inlineStr">
        <is>
          <t>특별관계자</t>
        </is>
      </c>
      <c r="I66" s="4" t="inlineStr">
        <is>
          <t>주식매수선택권행사(+)</t>
        </is>
      </c>
      <c r="J66" s="15" t="n">
        <v>44000</v>
      </c>
      <c r="K66" s="7" t="n">
        <v>1245</v>
      </c>
      <c r="L66" s="15" t="n">
        <v>54780000</v>
      </c>
      <c r="M66" s="7" t="n">
        <v>8862500</v>
      </c>
      <c r="N66" s="13" t="n">
        <v>30</v>
      </c>
      <c r="O66" s="7" t="n">
        <v>281000</v>
      </c>
      <c r="P66" s="13" t="n">
        <v>29.44</v>
      </c>
      <c r="Q66" s="2" t="inlineStr">
        <is>
          <t>20240411004148</t>
        </is>
      </c>
      <c r="R66" s="3">
        <f>HYPERLINK("https://dart.fss.or.kr/dsaf001/main.do?rcpNo=20240411004148", "공시열람")</f>
        <v/>
      </c>
    </row>
    <row r="67">
      <c r="A67" s="2" t="inlineStr">
        <is>
          <t>2024-04-11</t>
        </is>
      </c>
      <c r="B67" s="4" t="inlineStr">
        <is>
          <t>라온텍</t>
        </is>
      </c>
      <c r="C67" s="2" t="inlineStr">
        <is>
          <t>418420</t>
        </is>
      </c>
      <c r="D67" s="2" t="inlineStr">
        <is>
          <t>대량보유</t>
        </is>
      </c>
      <c r="E67" s="2" t="inlineStr">
        <is>
          <t>2024-04-08</t>
        </is>
      </c>
      <c r="F67" s="2" t="inlineStr">
        <is>
          <t>2024-04-08</t>
        </is>
      </c>
      <c r="G67" s="4" t="inlineStr">
        <is>
          <t>정민수</t>
        </is>
      </c>
      <c r="H67" s="4" t="inlineStr">
        <is>
          <t>특별관계자</t>
        </is>
      </c>
      <c r="I67" s="4" t="inlineStr">
        <is>
          <t>주식매수선택권행사(-)</t>
        </is>
      </c>
      <c r="J67" s="12" t="n">
        <v>-43750</v>
      </c>
      <c r="K67" s="7" t="n">
        <v>800</v>
      </c>
      <c r="L67" s="12" t="n">
        <v>-35000000</v>
      </c>
      <c r="M67" s="7" t="n">
        <v>8862500</v>
      </c>
      <c r="N67" s="13" t="n">
        <v>30</v>
      </c>
      <c r="O67" s="7" t="n">
        <v>93250</v>
      </c>
      <c r="P67" s="13" t="n">
        <v>29.44</v>
      </c>
      <c r="Q67" s="2" t="inlineStr">
        <is>
          <t>20240411004148</t>
        </is>
      </c>
      <c r="R67" s="3">
        <f>HYPERLINK("https://dart.fss.or.kr/dsaf001/main.do?rcpNo=20240411004148", "공시열람")</f>
        <v/>
      </c>
    </row>
    <row r="68">
      <c r="A68" s="2" t="inlineStr">
        <is>
          <t>2024-04-11</t>
        </is>
      </c>
      <c r="B68" s="4" t="inlineStr">
        <is>
          <t>라온텍</t>
        </is>
      </c>
      <c r="C68" s="2" t="inlineStr">
        <is>
          <t>418420</t>
        </is>
      </c>
      <c r="D68" s="2" t="inlineStr">
        <is>
          <t>임원보고</t>
        </is>
      </c>
      <c r="E68" s="2" t="inlineStr">
        <is>
          <t>2024-04-08</t>
        </is>
      </c>
      <c r="F68" s="2" t="inlineStr">
        <is>
          <t>2024-04-08</t>
        </is>
      </c>
      <c r="G68" s="4" t="inlineStr">
        <is>
          <t>이정환</t>
        </is>
      </c>
      <c r="H68" s="4" t="inlineStr">
        <is>
          <t>비등기임원 상무이사</t>
        </is>
      </c>
      <c r="I68" s="4" t="inlineStr">
        <is>
          <t>주식매수선택권(+)</t>
        </is>
      </c>
      <c r="J68" s="15" t="n">
        <v>26000</v>
      </c>
      <c r="K68" s="7" t="n">
        <v>1477</v>
      </c>
      <c r="L68" s="15" t="n">
        <v>38402000</v>
      </c>
      <c r="M68" s="7" t="inlineStr"/>
      <c r="N68" s="14" t="inlineStr"/>
      <c r="O68" s="7" t="n">
        <v>31500</v>
      </c>
      <c r="P68" s="13" t="n">
        <v>0.1</v>
      </c>
      <c r="Q68" s="2" t="inlineStr">
        <is>
          <t>20240411004047</t>
        </is>
      </c>
      <c r="R68" s="3">
        <f>HYPERLINK("https://dart.fss.or.kr/dsaf001/main.do?rcpNo=20240411004047", "공시열람")</f>
        <v/>
      </c>
    </row>
    <row r="69">
      <c r="A69" s="2" t="inlineStr">
        <is>
          <t>2024-04-11</t>
        </is>
      </c>
      <c r="B69" s="4" t="inlineStr">
        <is>
          <t>라온텍</t>
        </is>
      </c>
      <c r="C69" s="2" t="inlineStr">
        <is>
          <t>418420</t>
        </is>
      </c>
      <c r="D69" s="2" t="inlineStr">
        <is>
          <t>대량보유</t>
        </is>
      </c>
      <c r="E69" s="2" t="inlineStr">
        <is>
          <t>2024-04-08</t>
        </is>
      </c>
      <c r="F69" s="2" t="inlineStr">
        <is>
          <t>2024-04-08</t>
        </is>
      </c>
      <c r="G69" s="4" t="inlineStr">
        <is>
          <t>정민수</t>
        </is>
      </c>
      <c r="H69" s="4" t="inlineStr">
        <is>
          <t>특별관계자</t>
        </is>
      </c>
      <c r="I69" s="4" t="inlineStr">
        <is>
          <t>주식매수선택권행사(+)</t>
        </is>
      </c>
      <c r="J69" s="15" t="n">
        <v>43750</v>
      </c>
      <c r="K69" s="7" t="n">
        <v>800</v>
      </c>
      <c r="L69" s="15" t="n">
        <v>35000000</v>
      </c>
      <c r="M69" s="7" t="n">
        <v>8862500</v>
      </c>
      <c r="N69" s="13" t="n">
        <v>30</v>
      </c>
      <c r="O69" s="7" t="n">
        <v>1126250</v>
      </c>
      <c r="P69" s="13" t="n">
        <v>29.44</v>
      </c>
      <c r="Q69" s="2" t="inlineStr">
        <is>
          <t>20240411004148</t>
        </is>
      </c>
      <c r="R69" s="3">
        <f>HYPERLINK("https://dart.fss.or.kr/dsaf001/main.do?rcpNo=20240411004148", "공시열람")</f>
        <v/>
      </c>
    </row>
    <row r="70">
      <c r="A70" s="2" t="inlineStr">
        <is>
          <t>2024-04-11</t>
        </is>
      </c>
      <c r="B70" s="4" t="inlineStr">
        <is>
          <t>라온텍</t>
        </is>
      </c>
      <c r="C70" s="2" t="inlineStr">
        <is>
          <t>418420</t>
        </is>
      </c>
      <c r="D70" s="2" t="inlineStr">
        <is>
          <t>임원보고</t>
        </is>
      </c>
      <c r="E70" s="2" t="inlineStr">
        <is>
          <t>2024-04-08</t>
        </is>
      </c>
      <c r="F70" s="2" t="inlineStr">
        <is>
          <t>2024-04-08</t>
        </is>
      </c>
      <c r="G70" s="4" t="inlineStr">
        <is>
          <t>이광수</t>
        </is>
      </c>
      <c r="H70" s="4" t="inlineStr">
        <is>
          <t>비등기임원 상무이사</t>
        </is>
      </c>
      <c r="I70" s="4" t="inlineStr">
        <is>
          <t>주식매수선택권(+)</t>
        </is>
      </c>
      <c r="J70" s="15" t="n">
        <v>48750</v>
      </c>
      <c r="K70" s="7" t="n">
        <v>800</v>
      </c>
      <c r="L70" s="15" t="n">
        <v>39000000</v>
      </c>
      <c r="M70" s="7" t="inlineStr"/>
      <c r="N70" s="14" t="inlineStr"/>
      <c r="O70" s="7" t="n">
        <v>320500</v>
      </c>
      <c r="P70" s="13" t="n">
        <v>1.06</v>
      </c>
      <c r="Q70" s="2" t="inlineStr">
        <is>
          <t>20240411003976</t>
        </is>
      </c>
      <c r="R70" s="3">
        <f>HYPERLINK("https://dart.fss.or.kr/dsaf001/main.do?rcpNo=20240411003976", "공시열람")</f>
        <v/>
      </c>
    </row>
    <row r="71">
      <c r="A71" s="2" t="inlineStr">
        <is>
          <t>2024-04-11</t>
        </is>
      </c>
      <c r="B71" s="4" t="inlineStr">
        <is>
          <t>라온텍</t>
        </is>
      </c>
      <c r="C71" s="2" t="inlineStr">
        <is>
          <t>418420</t>
        </is>
      </c>
      <c r="D71" s="2" t="inlineStr">
        <is>
          <t>임원보고</t>
        </is>
      </c>
      <c r="E71" s="2" t="inlineStr">
        <is>
          <t>2024-04-08</t>
        </is>
      </c>
      <c r="F71" s="2" t="inlineStr">
        <is>
          <t>2024-04-08</t>
        </is>
      </c>
      <c r="G71" s="4" t="inlineStr">
        <is>
          <t>한성준</t>
        </is>
      </c>
      <c r="H71" s="4" t="inlineStr">
        <is>
          <t>비등기임원 상무이사</t>
        </is>
      </c>
      <c r="I71" s="4" t="inlineStr">
        <is>
          <t>주식매수선택권(+)</t>
        </is>
      </c>
      <c r="J71" s="15" t="n">
        <v>44500</v>
      </c>
      <c r="K71" s="7" t="n">
        <v>1339</v>
      </c>
      <c r="L71" s="15" t="n">
        <v>59585500</v>
      </c>
      <c r="M71" s="7" t="inlineStr"/>
      <c r="N71" s="14" t="inlineStr"/>
      <c r="O71" s="7" t="n">
        <v>288125</v>
      </c>
      <c r="P71" s="13" t="n">
        <v>0.96</v>
      </c>
      <c r="Q71" s="2" t="inlineStr">
        <is>
          <t>20240411003945</t>
        </is>
      </c>
      <c r="R71" s="3">
        <f>HYPERLINK("https://dart.fss.or.kr/dsaf001/main.do?rcpNo=20240411003945", "공시열람")</f>
        <v/>
      </c>
    </row>
    <row r="72">
      <c r="A72" s="2" t="inlineStr">
        <is>
          <t>2024-04-11</t>
        </is>
      </c>
      <c r="B72" s="4" t="inlineStr">
        <is>
          <t>라온텍</t>
        </is>
      </c>
      <c r="C72" s="2" t="inlineStr">
        <is>
          <t>418420</t>
        </is>
      </c>
      <c r="D72" s="2" t="inlineStr">
        <is>
          <t>임원보고</t>
        </is>
      </c>
      <c r="E72" s="2" t="inlineStr">
        <is>
          <t>2024-04-08</t>
        </is>
      </c>
      <c r="F72" s="2" t="inlineStr">
        <is>
          <t>2024-04-08</t>
        </is>
      </c>
      <c r="G72" s="4" t="inlineStr">
        <is>
          <t>김민석</t>
        </is>
      </c>
      <c r="H72" s="4" t="inlineStr">
        <is>
          <t>등기임원 연구소장</t>
        </is>
      </c>
      <c r="I72" s="4" t="inlineStr">
        <is>
          <t>주식매수선택권(+)</t>
        </is>
      </c>
      <c r="J72" s="15" t="n">
        <v>44000</v>
      </c>
      <c r="K72" s="7" t="n">
        <v>1245</v>
      </c>
      <c r="L72" s="15" t="n">
        <v>54780000</v>
      </c>
      <c r="M72" s="7" t="inlineStr"/>
      <c r="N72" s="14" t="inlineStr"/>
      <c r="O72" s="7" t="n">
        <v>281000</v>
      </c>
      <c r="P72" s="13" t="n">
        <v>0.93</v>
      </c>
      <c r="Q72" s="2" t="inlineStr">
        <is>
          <t>20240411003897</t>
        </is>
      </c>
      <c r="R72" s="3">
        <f>HYPERLINK("https://dart.fss.or.kr/dsaf001/main.do?rcpNo=20240411003897", "공시열람")</f>
        <v/>
      </c>
    </row>
    <row r="73">
      <c r="A73" s="2" t="inlineStr">
        <is>
          <t>2024-04-11</t>
        </is>
      </c>
      <c r="B73" s="4" t="inlineStr">
        <is>
          <t>라온텍</t>
        </is>
      </c>
      <c r="C73" s="2" t="inlineStr">
        <is>
          <t>418420</t>
        </is>
      </c>
      <c r="D73" s="2" t="inlineStr">
        <is>
          <t>임원보고</t>
        </is>
      </c>
      <c r="E73" s="2" t="inlineStr">
        <is>
          <t>2024-04-08</t>
        </is>
      </c>
      <c r="F73" s="2" t="inlineStr">
        <is>
          <t>2024-04-08</t>
        </is>
      </c>
      <c r="G73" s="4" t="inlineStr">
        <is>
          <t>정민수</t>
        </is>
      </c>
      <c r="H73" s="4" t="inlineStr">
        <is>
          <t>등기임원 연구소장</t>
        </is>
      </c>
      <c r="I73" s="4" t="inlineStr">
        <is>
          <t>주식매수선택권(+)</t>
        </is>
      </c>
      <c r="J73" s="15" t="n">
        <v>43750</v>
      </c>
      <c r="K73" s="7" t="n">
        <v>800</v>
      </c>
      <c r="L73" s="15" t="n">
        <v>35000000</v>
      </c>
      <c r="M73" s="7" t="inlineStr"/>
      <c r="N73" s="14" t="inlineStr"/>
      <c r="O73" s="7" t="n">
        <v>1126250</v>
      </c>
      <c r="P73" s="13" t="n">
        <v>3.74</v>
      </c>
      <c r="Q73" s="2" t="inlineStr">
        <is>
          <t>20240411003844</t>
        </is>
      </c>
      <c r="R73" s="3">
        <f>HYPERLINK("https://dart.fss.or.kr/dsaf001/main.do?rcpNo=20240411003844", "공시열람")</f>
        <v/>
      </c>
    </row>
    <row r="74">
      <c r="A74" s="2" t="inlineStr">
        <is>
          <t>2024-03-13</t>
        </is>
      </c>
      <c r="B74" s="4" t="inlineStr">
        <is>
          <t>라온텍</t>
        </is>
      </c>
      <c r="C74" s="2" t="inlineStr">
        <is>
          <t>418420</t>
        </is>
      </c>
      <c r="D74" s="2" t="inlineStr">
        <is>
          <t>임원보고</t>
        </is>
      </c>
      <c r="E74" s="2" t="inlineStr">
        <is>
          <t>2024-03-13</t>
        </is>
      </c>
      <c r="F74" s="2" t="inlineStr">
        <is>
          <t>2024-03-13</t>
        </is>
      </c>
      <c r="G74" s="4" t="inlineStr">
        <is>
          <t>이정환</t>
        </is>
      </c>
      <c r="H74" s="4" t="inlineStr">
        <is>
          <t>비등기임원 상무이사</t>
        </is>
      </c>
      <c r="I74" s="4" t="inlineStr">
        <is>
          <t>신규선임(+)</t>
        </is>
      </c>
      <c r="J74" s="15" t="n">
        <v>5500</v>
      </c>
      <c r="K74" s="7" t="n">
        <v>6270</v>
      </c>
      <c r="L74" s="15" t="n">
        <v>34485000</v>
      </c>
      <c r="M74" s="7" t="inlineStr"/>
      <c r="N74" s="14" t="inlineStr"/>
      <c r="O74" s="7" t="n">
        <v>5500</v>
      </c>
      <c r="P74" s="13" t="n">
        <v>0.02</v>
      </c>
      <c r="Q74" s="2" t="inlineStr">
        <is>
          <t>20240313000580</t>
        </is>
      </c>
      <c r="R74" s="3">
        <f>HYPERLINK("https://dart.fss.or.kr/dsaf001/main.do?rcpNo=20240313000580", "공시열람")</f>
        <v/>
      </c>
    </row>
    <row r="75">
      <c r="A75" s="2" t="inlineStr">
        <is>
          <t>2023-12-29</t>
        </is>
      </c>
      <c r="B75" s="4" t="inlineStr">
        <is>
          <t>라온텍</t>
        </is>
      </c>
      <c r="C75" s="2" t="inlineStr">
        <is>
          <t>418420</t>
        </is>
      </c>
      <c r="D75" s="2" t="inlineStr">
        <is>
          <t>대량보유</t>
        </is>
      </c>
      <c r="E75" s="2" t="inlineStr">
        <is>
          <t>2023-12-27</t>
        </is>
      </c>
      <c r="F75" s="2" t="inlineStr">
        <is>
          <t>2023-12-27</t>
        </is>
      </c>
      <c r="G75" s="4" t="inlineStr">
        <is>
          <t>김민석</t>
        </is>
      </c>
      <c r="H75" s="4" t="inlineStr">
        <is>
          <t>특별관계자</t>
        </is>
      </c>
      <c r="I75" s="4" t="inlineStr">
        <is>
          <t>주식매수선택권행사(-)</t>
        </is>
      </c>
      <c r="J75" s="12" t="n">
        <v>-12000</v>
      </c>
      <c r="K75" s="7" t="n">
        <v>800</v>
      </c>
      <c r="L75" s="12" t="n">
        <v>-9600000</v>
      </c>
      <c r="M75" s="7" t="n">
        <v>8862500</v>
      </c>
      <c r="N75" s="13" t="n">
        <v>30.95</v>
      </c>
      <c r="O75" s="7" t="n">
        <v>123500</v>
      </c>
      <c r="P75" s="13" t="n">
        <v>30</v>
      </c>
      <c r="Q75" s="2" t="inlineStr">
        <is>
          <t>20231229000372</t>
        </is>
      </c>
      <c r="R75" s="3">
        <f>HYPERLINK("https://dart.fss.or.kr/dsaf001/main.do?rcpNo=20231229000372", "공시열람")</f>
        <v/>
      </c>
    </row>
    <row r="76">
      <c r="A76" s="2" t="inlineStr">
        <is>
          <t>2023-12-29</t>
        </is>
      </c>
      <c r="B76" s="4" t="inlineStr">
        <is>
          <t>라온텍</t>
        </is>
      </c>
      <c r="C76" s="2" t="inlineStr">
        <is>
          <t>418420</t>
        </is>
      </c>
      <c r="D76" s="2" t="inlineStr">
        <is>
          <t>대량보유</t>
        </is>
      </c>
      <c r="E76" s="2" t="inlineStr">
        <is>
          <t>2023-12-27</t>
        </is>
      </c>
      <c r="F76" s="2" t="inlineStr">
        <is>
          <t>2023-12-27</t>
        </is>
      </c>
      <c r="G76" s="4" t="inlineStr">
        <is>
          <t>김민석</t>
        </is>
      </c>
      <c r="H76" s="4" t="inlineStr">
        <is>
          <t>특별관계자</t>
        </is>
      </c>
      <c r="I76" s="4" t="inlineStr">
        <is>
          <t>주식매수선택권행사(+)</t>
        </is>
      </c>
      <c r="J76" s="15" t="n">
        <v>12000</v>
      </c>
      <c r="K76" s="7" t="n">
        <v>800</v>
      </c>
      <c r="L76" s="15" t="n">
        <v>9600000</v>
      </c>
      <c r="M76" s="7" t="n">
        <v>8862500</v>
      </c>
      <c r="N76" s="13" t="n">
        <v>30.95</v>
      </c>
      <c r="O76" s="7" t="n">
        <v>237000</v>
      </c>
      <c r="P76" s="13" t="n">
        <v>30</v>
      </c>
      <c r="Q76" s="2" t="inlineStr">
        <is>
          <t>20231229000372</t>
        </is>
      </c>
      <c r="R76" s="3">
        <f>HYPERLINK("https://dart.fss.or.kr/dsaf001/main.do?rcpNo=20231229000372", "공시열람")</f>
        <v/>
      </c>
    </row>
    <row r="77">
      <c r="A77" s="2" t="inlineStr">
        <is>
          <t>2023-12-29</t>
        </is>
      </c>
      <c r="B77" s="4" t="inlineStr">
        <is>
          <t>라온텍</t>
        </is>
      </c>
      <c r="C77" s="2" t="inlineStr">
        <is>
          <t>418420</t>
        </is>
      </c>
      <c r="D77" s="2" t="inlineStr">
        <is>
          <t>임원보고</t>
        </is>
      </c>
      <c r="E77" s="2" t="inlineStr">
        <is>
          <t>2023-12-27</t>
        </is>
      </c>
      <c r="F77" s="2" t="inlineStr">
        <is>
          <t>2023-12-27</t>
        </is>
      </c>
      <c r="G77" s="4" t="inlineStr">
        <is>
          <t>김민석</t>
        </is>
      </c>
      <c r="H77" s="4" t="inlineStr">
        <is>
          <t>등기임원 연구소장</t>
        </is>
      </c>
      <c r="I77" s="4" t="inlineStr">
        <is>
          <t>주식매수선택권(+)</t>
        </is>
      </c>
      <c r="J77" s="15" t="n">
        <v>12000</v>
      </c>
      <c r="K77" s="7" t="n">
        <v>10070</v>
      </c>
      <c r="L77" s="15" t="n">
        <v>120840000</v>
      </c>
      <c r="M77" s="7" t="inlineStr"/>
      <c r="N77" s="14" t="inlineStr"/>
      <c r="O77" s="7" t="n">
        <v>237000</v>
      </c>
      <c r="P77" s="13" t="n">
        <v>0.8</v>
      </c>
      <c r="Q77" s="2" t="inlineStr">
        <is>
          <t>20231229000392</t>
        </is>
      </c>
      <c r="R77" s="3">
        <f>HYPERLINK("https://dart.fss.or.kr/dsaf001/main.do?rcpNo=20231229000392", "공시열람")</f>
        <v/>
      </c>
    </row>
    <row r="78">
      <c r="A78" s="2" t="inlineStr">
        <is>
          <t>2023-12-29</t>
        </is>
      </c>
      <c r="B78" s="4" t="inlineStr">
        <is>
          <t>라온텍</t>
        </is>
      </c>
      <c r="C78" s="2" t="inlineStr">
        <is>
          <t>418420</t>
        </is>
      </c>
      <c r="D78" s="2" t="inlineStr">
        <is>
          <t>임원보고</t>
        </is>
      </c>
      <c r="E78" s="2" t="inlineStr">
        <is>
          <t>2023-12-27</t>
        </is>
      </c>
      <c r="F78" s="2" t="inlineStr">
        <is>
          <t>2023-12-27</t>
        </is>
      </c>
      <c r="G78" s="4" t="inlineStr">
        <is>
          <t>이광수</t>
        </is>
      </c>
      <c r="H78" s="4" t="inlineStr">
        <is>
          <t>비등기임원 상무이사</t>
        </is>
      </c>
      <c r="I78" s="4" t="inlineStr">
        <is>
          <t>주식매수선택권(+)</t>
        </is>
      </c>
      <c r="J78" s="15" t="n">
        <v>15000</v>
      </c>
      <c r="K78" s="7" t="n">
        <v>10070</v>
      </c>
      <c r="L78" s="15" t="n">
        <v>151050000</v>
      </c>
      <c r="M78" s="7" t="inlineStr"/>
      <c r="N78" s="14" t="inlineStr"/>
      <c r="O78" s="7" t="n">
        <v>271750</v>
      </c>
      <c r="P78" s="13" t="n">
        <v>0.92</v>
      </c>
      <c r="Q78" s="2" t="inlineStr">
        <is>
          <t>20231229000408</t>
        </is>
      </c>
      <c r="R78" s="3">
        <f>HYPERLINK("https://dart.fss.or.kr/dsaf001/main.do?rcpNo=20231229000408", "공시열람")</f>
        <v/>
      </c>
    </row>
    <row r="79">
      <c r="A79" s="2" t="inlineStr">
        <is>
          <t>2023-12-29</t>
        </is>
      </c>
      <c r="B79" s="4" t="inlineStr">
        <is>
          <t>라온텍</t>
        </is>
      </c>
      <c r="C79" s="2" t="inlineStr">
        <is>
          <t>418420</t>
        </is>
      </c>
      <c r="D79" s="2" t="inlineStr">
        <is>
          <t>임원보고</t>
        </is>
      </c>
      <c r="E79" s="2" t="inlineStr">
        <is>
          <t>2023-12-27</t>
        </is>
      </c>
      <c r="F79" s="2" t="inlineStr">
        <is>
          <t>2023-12-27</t>
        </is>
      </c>
      <c r="G79" s="4" t="inlineStr">
        <is>
          <t>한성준</t>
        </is>
      </c>
      <c r="H79" s="4" t="inlineStr">
        <is>
          <t>비등기임원 상무이사</t>
        </is>
      </c>
      <c r="I79" s="4" t="inlineStr">
        <is>
          <t>주식매수선택권(+)</t>
        </is>
      </c>
      <c r="J79" s="15" t="n">
        <v>23000</v>
      </c>
      <c r="K79" s="7" t="n">
        <v>10070</v>
      </c>
      <c r="L79" s="15" t="n">
        <v>231610000</v>
      </c>
      <c r="M79" s="7" t="inlineStr"/>
      <c r="N79" s="14" t="inlineStr"/>
      <c r="O79" s="7" t="n">
        <v>243625</v>
      </c>
      <c r="P79" s="13" t="n">
        <v>0.82</v>
      </c>
      <c r="Q79" s="2" t="inlineStr">
        <is>
          <t>20231229000425</t>
        </is>
      </c>
      <c r="R79" s="3">
        <f>HYPERLINK("https://dart.fss.or.kr/dsaf001/main.do?rcpNo=20231229000425", "공시열람")</f>
        <v/>
      </c>
    </row>
    <row r="80">
      <c r="A80" s="2" t="inlineStr">
        <is>
          <t>2023-05-15</t>
        </is>
      </c>
      <c r="B80" s="4" t="inlineStr">
        <is>
          <t>라온텍</t>
        </is>
      </c>
      <c r="C80" s="2" t="inlineStr">
        <is>
          <t>418420</t>
        </is>
      </c>
      <c r="D80" s="2" t="inlineStr">
        <is>
          <t>대량보유</t>
        </is>
      </c>
      <c r="E80" s="2" t="inlineStr">
        <is>
          <t>2023-04-10</t>
        </is>
      </c>
      <c r="F80" s="2" t="inlineStr">
        <is>
          <t>2023-04-17</t>
        </is>
      </c>
      <c r="G80" s="4" t="inlineStr">
        <is>
          <t>대신-코너스톤신기술투자조합제1호</t>
        </is>
      </c>
      <c r="H80" s="4" t="inlineStr">
        <is>
          <t>기타</t>
        </is>
      </c>
      <c r="I80" s="4" t="inlineStr">
        <is>
          <t>장내매도(-)</t>
        </is>
      </c>
      <c r="J80" s="12" t="n">
        <v>-1347241</v>
      </c>
      <c r="K80" s="7" t="n">
        <v>8074</v>
      </c>
      <c r="L80" s="12" t="n">
        <v>-10877623834</v>
      </c>
      <c r="M80" s="7" t="n">
        <v>1804525</v>
      </c>
      <c r="N80" s="13" t="n">
        <v>6.25</v>
      </c>
      <c r="O80" s="7" t="n">
        <v>2000</v>
      </c>
      <c r="P80" s="13" t="n">
        <v>1.56</v>
      </c>
      <c r="Q80" s="2" t="inlineStr">
        <is>
          <t>20230515000951</t>
        </is>
      </c>
      <c r="R80" s="3">
        <f>HYPERLINK("https://dart.fss.or.kr/dsaf001/main.do?rcpNo=20230515000951", "공시열람")</f>
        <v/>
      </c>
    </row>
    <row r="81">
      <c r="A81" s="2" t="inlineStr">
        <is>
          <t>2023-05-10</t>
        </is>
      </c>
      <c r="B81" s="4" t="inlineStr">
        <is>
          <t>라온텍</t>
        </is>
      </c>
      <c r="C81" s="2" t="inlineStr">
        <is>
          <t>418420</t>
        </is>
      </c>
      <c r="D81" s="2" t="inlineStr">
        <is>
          <t>대량보유</t>
        </is>
      </c>
      <c r="E81" s="2" t="inlineStr">
        <is>
          <t>2023-04-10</t>
        </is>
      </c>
      <c r="F81" s="2" t="inlineStr">
        <is>
          <t>2023-04-17</t>
        </is>
      </c>
      <c r="G81" s="4" t="inlineStr">
        <is>
          <t>대신-코너스톤신기술투자조합제1호</t>
        </is>
      </c>
      <c r="H81" s="4" t="inlineStr">
        <is>
          <t>기타</t>
        </is>
      </c>
      <c r="I81" s="4" t="inlineStr">
        <is>
          <t>장내매도(-)</t>
        </is>
      </c>
      <c r="J81" s="12" t="n">
        <v>-1347241</v>
      </c>
      <c r="K81" s="7" t="n">
        <v>8074</v>
      </c>
      <c r="L81" s="12" t="n">
        <v>-10877623834</v>
      </c>
      <c r="M81" s="7" t="n">
        <v>1804525</v>
      </c>
      <c r="N81" s="13" t="n">
        <v>6.25</v>
      </c>
      <c r="O81" s="7" t="n">
        <v>2000</v>
      </c>
      <c r="P81" s="13" t="n">
        <v>1.56</v>
      </c>
      <c r="Q81" s="2" t="inlineStr">
        <is>
          <t>20230510000363</t>
        </is>
      </c>
      <c r="R81" s="3">
        <f>HYPERLINK("https://dart.fss.or.kr/dsaf001/main.do?rcpNo=20230510000363", "공시열람")</f>
        <v/>
      </c>
    </row>
    <row r="82">
      <c r="A82" s="2" t="inlineStr">
        <is>
          <t>2023-03-21</t>
        </is>
      </c>
      <c r="B82" s="4" t="inlineStr">
        <is>
          <t>라온텍</t>
        </is>
      </c>
      <c r="C82" s="2" t="inlineStr">
        <is>
          <t>418420</t>
        </is>
      </c>
      <c r="D82" s="2" t="inlineStr">
        <is>
          <t>임원보고</t>
        </is>
      </c>
      <c r="E82" s="2" t="inlineStr">
        <is>
          <t>2023-03-15</t>
        </is>
      </c>
      <c r="F82" s="2" t="inlineStr">
        <is>
          <t>2023-03-15</t>
        </is>
      </c>
      <c r="G82" s="4" t="inlineStr">
        <is>
          <t>이광수</t>
        </is>
      </c>
      <c r="H82" s="4" t="inlineStr">
        <is>
          <t>비등기임원 상무이사</t>
        </is>
      </c>
      <c r="I82" s="4" t="inlineStr">
        <is>
          <t>주식매수선택권(+)</t>
        </is>
      </c>
      <c r="J82" s="15" t="n">
        <v>15000</v>
      </c>
      <c r="K82" s="7" t="n">
        <v>5450</v>
      </c>
      <c r="L82" s="15" t="n">
        <v>81750000</v>
      </c>
      <c r="M82" s="7" t="inlineStr"/>
      <c r="N82" s="14" t="inlineStr"/>
      <c r="O82" s="7" t="n">
        <v>256750</v>
      </c>
      <c r="P82" s="13" t="n">
        <v>0.9</v>
      </c>
      <c r="Q82" s="2" t="inlineStr">
        <is>
          <t>20230321001404</t>
        </is>
      </c>
      <c r="R82" s="3">
        <f>HYPERLINK("https://dart.fss.or.kr/dsaf001/main.do?rcpNo=20230321001404", "공시열람")</f>
        <v/>
      </c>
    </row>
    <row r="83">
      <c r="A83" s="2" t="inlineStr">
        <is>
          <t>2023-03-21</t>
        </is>
      </c>
      <c r="B83" s="4" t="inlineStr">
        <is>
          <t>라온텍</t>
        </is>
      </c>
      <c r="C83" s="2" t="inlineStr">
        <is>
          <t>418420</t>
        </is>
      </c>
      <c r="D83" s="2" t="inlineStr">
        <is>
          <t>임원보고</t>
        </is>
      </c>
      <c r="E83" s="2" t="inlineStr">
        <is>
          <t>2023-03-15</t>
        </is>
      </c>
      <c r="F83" s="2" t="inlineStr">
        <is>
          <t>2023-03-15</t>
        </is>
      </c>
      <c r="G83" s="4" t="inlineStr">
        <is>
          <t>조성재</t>
        </is>
      </c>
      <c r="H83" s="4" t="inlineStr">
        <is>
          <t>비등기임원 전무이사</t>
        </is>
      </c>
      <c r="I83" s="4" t="inlineStr">
        <is>
          <t>주식매수선택권(+)</t>
        </is>
      </c>
      <c r="J83" s="15" t="n">
        <v>20000</v>
      </c>
      <c r="K83" s="7" t="n">
        <v>5450</v>
      </c>
      <c r="L83" s="15" t="n">
        <v>109000000</v>
      </c>
      <c r="M83" s="7" t="inlineStr"/>
      <c r="N83" s="14" t="inlineStr"/>
      <c r="O83" s="7" t="n">
        <v>320000</v>
      </c>
      <c r="P83" s="13" t="n">
        <v>1.12</v>
      </c>
      <c r="Q83" s="2" t="inlineStr">
        <is>
          <t>20230321001435</t>
        </is>
      </c>
      <c r="R83" s="3">
        <f>HYPERLINK("https://dart.fss.or.kr/dsaf001/main.do?rcpNo=20230321001435", "공시열람")</f>
        <v/>
      </c>
    </row>
    <row r="84">
      <c r="A84" s="2" t="inlineStr">
        <is>
          <t>2023-03-21</t>
        </is>
      </c>
      <c r="B84" s="4" t="inlineStr">
        <is>
          <t>라온텍</t>
        </is>
      </c>
      <c r="C84" s="2" t="inlineStr">
        <is>
          <t>418420</t>
        </is>
      </c>
      <c r="D84" s="2" t="inlineStr">
        <is>
          <t>대량보유</t>
        </is>
      </c>
      <c r="E84" s="2" t="inlineStr">
        <is>
          <t>2023-03-15</t>
        </is>
      </c>
      <c r="F84" s="2" t="inlineStr">
        <is>
          <t>2023-03-15</t>
        </is>
      </c>
      <c r="G84" s="4" t="inlineStr">
        <is>
          <t>정민수</t>
        </is>
      </c>
      <c r="H84" s="4" t="inlineStr">
        <is>
          <t>특별관계자</t>
        </is>
      </c>
      <c r="I84" s="4" t="inlineStr">
        <is>
          <t>주식매수선택권행사(+)</t>
        </is>
      </c>
      <c r="J84" s="15" t="n">
        <v>5000</v>
      </c>
      <c r="K84" s="7" t="n">
        <v>800</v>
      </c>
      <c r="L84" s="15" t="n">
        <v>4000000</v>
      </c>
      <c r="M84" s="7" t="n">
        <v>8862500</v>
      </c>
      <c r="N84" s="13" t="n">
        <v>31.16</v>
      </c>
      <c r="O84" s="7" t="n">
        <v>1082500</v>
      </c>
      <c r="P84" s="13" t="n">
        <v>30.95</v>
      </c>
      <c r="Q84" s="2" t="inlineStr">
        <is>
          <t>20230321001303</t>
        </is>
      </c>
      <c r="R84" s="3">
        <f>HYPERLINK("https://dart.fss.or.kr/dsaf001/main.do?rcpNo=20230321001303", "공시열람")</f>
        <v/>
      </c>
    </row>
    <row r="85">
      <c r="A85" s="2" t="inlineStr">
        <is>
          <t>2023-03-21</t>
        </is>
      </c>
      <c r="B85" s="4" t="inlineStr">
        <is>
          <t>라온텍</t>
        </is>
      </c>
      <c r="C85" s="2" t="inlineStr">
        <is>
          <t>418420</t>
        </is>
      </c>
      <c r="D85" s="2" t="inlineStr">
        <is>
          <t>임원보고</t>
        </is>
      </c>
      <c r="E85" s="2" t="inlineStr">
        <is>
          <t>2023-03-15</t>
        </is>
      </c>
      <c r="F85" s="2" t="inlineStr">
        <is>
          <t>2023-03-15</t>
        </is>
      </c>
      <c r="G85" s="4" t="inlineStr">
        <is>
          <t>김민석</t>
        </is>
      </c>
      <c r="H85" s="4" t="inlineStr">
        <is>
          <t>등기임원 연구소장</t>
        </is>
      </c>
      <c r="I85" s="4" t="inlineStr">
        <is>
          <t>주식매수선택권(+)</t>
        </is>
      </c>
      <c r="J85" s="15" t="n">
        <v>20000</v>
      </c>
      <c r="K85" s="7" t="n">
        <v>5450</v>
      </c>
      <c r="L85" s="15" t="n">
        <v>109000000</v>
      </c>
      <c r="M85" s="7" t="inlineStr"/>
      <c r="N85" s="14" t="inlineStr"/>
      <c r="O85" s="7" t="n">
        <v>225000</v>
      </c>
      <c r="P85" s="13" t="n">
        <v>0.79</v>
      </c>
      <c r="Q85" s="2" t="inlineStr">
        <is>
          <t>20230321001371</t>
        </is>
      </c>
      <c r="R85" s="3">
        <f>HYPERLINK("https://dart.fss.or.kr/dsaf001/main.do?rcpNo=20230321001371", "공시열람")</f>
        <v/>
      </c>
    </row>
    <row r="86">
      <c r="A86" s="2" t="inlineStr">
        <is>
          <t>2023-03-21</t>
        </is>
      </c>
      <c r="B86" s="4" t="inlineStr">
        <is>
          <t>라온텍</t>
        </is>
      </c>
      <c r="C86" s="2" t="inlineStr">
        <is>
          <t>418420</t>
        </is>
      </c>
      <c r="D86" s="2" t="inlineStr">
        <is>
          <t>임원보고</t>
        </is>
      </c>
      <c r="E86" s="2" t="inlineStr">
        <is>
          <t>2023-03-15</t>
        </is>
      </c>
      <c r="F86" s="2" t="inlineStr">
        <is>
          <t>2023-03-15</t>
        </is>
      </c>
      <c r="G86" s="4" t="inlineStr">
        <is>
          <t>정민수</t>
        </is>
      </c>
      <c r="H86" s="4" t="inlineStr">
        <is>
          <t>등기임원 연구소장</t>
        </is>
      </c>
      <c r="I86" s="4" t="inlineStr">
        <is>
          <t>주식매수선택권(+)</t>
        </is>
      </c>
      <c r="J86" s="15" t="n">
        <v>5000</v>
      </c>
      <c r="K86" s="7" t="n">
        <v>5450</v>
      </c>
      <c r="L86" s="15" t="n">
        <v>27250000</v>
      </c>
      <c r="M86" s="7" t="inlineStr"/>
      <c r="N86" s="14" t="inlineStr"/>
      <c r="O86" s="7" t="n">
        <v>1082500</v>
      </c>
      <c r="P86" s="13" t="n">
        <v>3.78</v>
      </c>
      <c r="Q86" s="2" t="inlineStr">
        <is>
          <t>20230321001343</t>
        </is>
      </c>
      <c r="R86" s="3">
        <f>HYPERLINK("https://dart.fss.or.kr/dsaf001/main.do?rcpNo=20230321001343", "공시열람")</f>
        <v/>
      </c>
    </row>
    <row r="87">
      <c r="A87" s="2" t="inlineStr">
        <is>
          <t>2023-03-21</t>
        </is>
      </c>
      <c r="B87" s="4" t="inlineStr">
        <is>
          <t>라온텍</t>
        </is>
      </c>
      <c r="C87" s="2" t="inlineStr">
        <is>
          <t>418420</t>
        </is>
      </c>
      <c r="D87" s="2" t="inlineStr">
        <is>
          <t>대량보유</t>
        </is>
      </c>
      <c r="E87" s="2" t="inlineStr">
        <is>
          <t>2023-03-15</t>
        </is>
      </c>
      <c r="F87" s="2" t="inlineStr">
        <is>
          <t>2023-03-15</t>
        </is>
      </c>
      <c r="G87" s="4" t="inlineStr">
        <is>
          <t>김민석</t>
        </is>
      </c>
      <c r="H87" s="4" t="inlineStr">
        <is>
          <t>특별관계자</t>
        </is>
      </c>
      <c r="I87" s="4" t="inlineStr">
        <is>
          <t>주식매수선택권행사(+)</t>
        </is>
      </c>
      <c r="J87" s="15" t="n">
        <v>20000</v>
      </c>
      <c r="K87" s="7" t="n">
        <v>800</v>
      </c>
      <c r="L87" s="15" t="n">
        <v>16000000</v>
      </c>
      <c r="M87" s="7" t="n">
        <v>8862500</v>
      </c>
      <c r="N87" s="13" t="n">
        <v>31.16</v>
      </c>
      <c r="O87" s="7" t="n">
        <v>225000</v>
      </c>
      <c r="P87" s="13" t="n">
        <v>30.95</v>
      </c>
      <c r="Q87" s="2" t="inlineStr">
        <is>
          <t>20230321001303</t>
        </is>
      </c>
      <c r="R87" s="3">
        <f>HYPERLINK("https://dart.fss.or.kr/dsaf001/main.do?rcpNo=20230321001303", "공시열람")</f>
        <v/>
      </c>
    </row>
    <row r="88">
      <c r="A88" s="2" t="inlineStr">
        <is>
          <t>2023-03-21</t>
        </is>
      </c>
      <c r="B88" s="4" t="inlineStr">
        <is>
          <t>라온텍</t>
        </is>
      </c>
      <c r="C88" s="2" t="inlineStr">
        <is>
          <t>418420</t>
        </is>
      </c>
      <c r="D88" s="2" t="inlineStr">
        <is>
          <t>대량보유</t>
        </is>
      </c>
      <c r="E88" s="2" t="inlineStr">
        <is>
          <t>2023-03-15</t>
        </is>
      </c>
      <c r="F88" s="2" t="inlineStr">
        <is>
          <t>2023-03-15</t>
        </is>
      </c>
      <c r="G88" s="4" t="inlineStr">
        <is>
          <t>김민석</t>
        </is>
      </c>
      <c r="H88" s="4" t="inlineStr">
        <is>
          <t>특별관계자</t>
        </is>
      </c>
      <c r="I88" s="4" t="inlineStr">
        <is>
          <t>주식매수선택권행사(-)</t>
        </is>
      </c>
      <c r="J88" s="12" t="n">
        <v>-20000</v>
      </c>
      <c r="K88" s="7" t="n">
        <v>800</v>
      </c>
      <c r="L88" s="12" t="n">
        <v>-16000000</v>
      </c>
      <c r="M88" s="7" t="n">
        <v>8862500</v>
      </c>
      <c r="N88" s="13" t="n">
        <v>31.16</v>
      </c>
      <c r="O88" s="7" t="n">
        <v>135500</v>
      </c>
      <c r="P88" s="13" t="n">
        <v>30.95</v>
      </c>
      <c r="Q88" s="2" t="inlineStr">
        <is>
          <t>20230321001303</t>
        </is>
      </c>
      <c r="R88" s="3">
        <f>HYPERLINK("https://dart.fss.or.kr/dsaf001/main.do?rcpNo=20230321001303", "공시열람")</f>
        <v/>
      </c>
    </row>
    <row r="89">
      <c r="A89" s="2" t="inlineStr">
        <is>
          <t>2023-03-21</t>
        </is>
      </c>
      <c r="B89" s="4" t="inlineStr">
        <is>
          <t>라온텍</t>
        </is>
      </c>
      <c r="C89" s="2" t="inlineStr">
        <is>
          <t>418420</t>
        </is>
      </c>
      <c r="D89" s="2" t="inlineStr">
        <is>
          <t>대량보유</t>
        </is>
      </c>
      <c r="E89" s="2" t="inlineStr">
        <is>
          <t>2023-03-15</t>
        </is>
      </c>
      <c r="F89" s="2" t="inlineStr">
        <is>
          <t>2023-03-15</t>
        </is>
      </c>
      <c r="G89" s="4" t="inlineStr">
        <is>
          <t>정민수</t>
        </is>
      </c>
      <c r="H89" s="4" t="inlineStr">
        <is>
          <t>특별관계자</t>
        </is>
      </c>
      <c r="I89" s="4" t="inlineStr">
        <is>
          <t>주식매수선택권행사(-)</t>
        </is>
      </c>
      <c r="J89" s="12" t="n">
        <v>-5000</v>
      </c>
      <c r="K89" s="7" t="n">
        <v>800</v>
      </c>
      <c r="L89" s="12" t="n">
        <v>-4000000</v>
      </c>
      <c r="M89" s="7" t="n">
        <v>8862500</v>
      </c>
      <c r="N89" s="13" t="n">
        <v>31.16</v>
      </c>
      <c r="O89" s="7" t="n">
        <v>137000</v>
      </c>
      <c r="P89" s="13" t="n">
        <v>30.95</v>
      </c>
      <c r="Q89" s="2" t="inlineStr">
        <is>
          <t>20230321001303</t>
        </is>
      </c>
      <c r="R89" s="3">
        <f>HYPERLINK("https://dart.fss.or.kr/dsaf001/main.do?rcpNo=20230321001303", "공시열람")</f>
        <v/>
      </c>
    </row>
    <row r="90">
      <c r="A90" s="2" t="inlineStr">
        <is>
          <t>2023-03-20</t>
        </is>
      </c>
      <c r="B90" s="4" t="inlineStr">
        <is>
          <t>라온텍</t>
        </is>
      </c>
      <c r="C90" s="2" t="inlineStr">
        <is>
          <t>418420</t>
        </is>
      </c>
      <c r="D90" s="2" t="inlineStr">
        <is>
          <t>대량보유</t>
        </is>
      </c>
      <c r="E90" s="2" t="inlineStr">
        <is>
          <t>2023-03-09</t>
        </is>
      </c>
      <c r="F90" s="2" t="inlineStr">
        <is>
          <t>2023-03-09</t>
        </is>
      </c>
      <c r="G90" s="4" t="inlineStr">
        <is>
          <t>대신증권주식회사</t>
        </is>
      </c>
      <c r="H90" s="4" t="inlineStr">
        <is>
          <t>특별관계자</t>
        </is>
      </c>
      <c r="I90" s="4" t="inlineStr">
        <is>
          <t>신규상장(+)</t>
        </is>
      </c>
      <c r="J90" s="15" t="n">
        <v>1371852</v>
      </c>
      <c r="K90" s="7" t="n">
        <v>5420</v>
      </c>
      <c r="L90" s="15" t="n">
        <v>7435437840</v>
      </c>
      <c r="M90" s="7" t="inlineStr"/>
      <c r="N90" s="14" t="inlineStr"/>
      <c r="O90" s="7" t="n">
        <v>452712</v>
      </c>
      <c r="P90" s="13" t="n">
        <v>6.25</v>
      </c>
      <c r="Q90" s="2" t="inlineStr">
        <is>
          <t>20230320000646</t>
        </is>
      </c>
      <c r="R90" s="3">
        <f>HYPERLINK("https://dart.fss.or.kr/dsaf001/main.do?rcpNo=20230320000646", "공시열람")</f>
        <v/>
      </c>
    </row>
    <row r="91">
      <c r="A91" s="2" t="inlineStr">
        <is>
          <t>2023-03-20</t>
        </is>
      </c>
      <c r="B91" s="4" t="inlineStr">
        <is>
          <t>라온텍</t>
        </is>
      </c>
      <c r="C91" s="2" t="inlineStr">
        <is>
          <t>418420</t>
        </is>
      </c>
      <c r="D91" s="2" t="inlineStr">
        <is>
          <t>대량보유</t>
        </is>
      </c>
      <c r="E91" s="2" t="inlineStr">
        <is>
          <t>2023-03-10</t>
        </is>
      </c>
      <c r="F91" s="2" t="inlineStr">
        <is>
          <t>2023-03-10</t>
        </is>
      </c>
      <c r="G91" s="4" t="inlineStr">
        <is>
          <t>대신-코너스톤신기술투자조합제1호</t>
        </is>
      </c>
      <c r="H91" s="4" t="inlineStr">
        <is>
          <t>기타</t>
        </is>
      </c>
      <c r="I91" s="4" t="inlineStr">
        <is>
          <t>장내매수(+)</t>
        </is>
      </c>
      <c r="J91" s="15" t="n">
        <v>6000</v>
      </c>
      <c r="K91" s="7" t="n">
        <v>6030</v>
      </c>
      <c r="L91" s="15" t="n">
        <v>36180000</v>
      </c>
      <c r="M91" s="7" t="inlineStr"/>
      <c r="N91" s="14" t="inlineStr"/>
      <c r="O91" s="7" t="n">
        <v>1646241</v>
      </c>
      <c r="P91" s="13" t="n">
        <v>6.25</v>
      </c>
      <c r="Q91" s="2" t="inlineStr">
        <is>
          <t>20230320000646</t>
        </is>
      </c>
      <c r="R91" s="3">
        <f>HYPERLINK("https://dart.fss.or.kr/dsaf001/main.do?rcpNo=20230320000646", "공시열람")</f>
        <v/>
      </c>
    </row>
    <row r="92">
      <c r="A92" s="2" t="inlineStr">
        <is>
          <t>2023-03-20</t>
        </is>
      </c>
      <c r="B92" s="4" t="inlineStr">
        <is>
          <t>라온텍</t>
        </is>
      </c>
      <c r="C92" s="2" t="inlineStr">
        <is>
          <t>418420</t>
        </is>
      </c>
      <c r="D92" s="2" t="inlineStr">
        <is>
          <t>대량보유</t>
        </is>
      </c>
      <c r="E92" s="2" t="inlineStr">
        <is>
          <t>2023-03-09</t>
        </is>
      </c>
      <c r="F92" s="2" t="inlineStr">
        <is>
          <t>2023-03-11</t>
        </is>
      </c>
      <c r="G92" s="4" t="inlineStr">
        <is>
          <t>대신-코너스톤신기술투자조합제1호</t>
        </is>
      </c>
      <c r="H92" s="4" t="inlineStr">
        <is>
          <t>기타</t>
        </is>
      </c>
      <c r="I92" s="4" t="inlineStr">
        <is>
          <t>장내매도(-)</t>
        </is>
      </c>
      <c r="J92" s="12" t="n">
        <v>-995272</v>
      </c>
      <c r="K92" s="7" t="n">
        <v>5922</v>
      </c>
      <c r="L92" s="12" t="n">
        <v>-5894000784</v>
      </c>
      <c r="M92" s="7" t="inlineStr"/>
      <c r="N92" s="14" t="inlineStr"/>
      <c r="O92" s="7" t="n">
        <v>1347241</v>
      </c>
      <c r="P92" s="13" t="n">
        <v>6.25</v>
      </c>
      <c r="Q92" s="2" t="inlineStr">
        <is>
          <t>20230320000646</t>
        </is>
      </c>
      <c r="R92" s="3">
        <f>HYPERLINK("https://dart.fss.or.kr/dsaf001/main.do?rcpNo=20230320000646", "공시열람")</f>
        <v/>
      </c>
    </row>
    <row r="93">
      <c r="A93" s="2" t="inlineStr">
        <is>
          <t>2023-03-20</t>
        </is>
      </c>
      <c r="B93" s="4" t="inlineStr">
        <is>
          <t>라온텍</t>
        </is>
      </c>
      <c r="C93" s="2" t="inlineStr">
        <is>
          <t>418420</t>
        </is>
      </c>
      <c r="D93" s="2" t="inlineStr">
        <is>
          <t>대량보유</t>
        </is>
      </c>
      <c r="E93" s="2" t="inlineStr">
        <is>
          <t>2023-03-09</t>
        </is>
      </c>
      <c r="F93" s="2" t="inlineStr">
        <is>
          <t>2023-03-09</t>
        </is>
      </c>
      <c r="G93" s="4" t="inlineStr">
        <is>
          <t>대신-코너스톤신기술투자조합제1호</t>
        </is>
      </c>
      <c r="H93" s="4" t="inlineStr">
        <is>
          <t>기타</t>
        </is>
      </c>
      <c r="I93" s="4" t="inlineStr">
        <is>
          <t>신규상장(+)</t>
        </is>
      </c>
      <c r="J93" s="15" t="n">
        <v>4999995</v>
      </c>
      <c r="K93" s="7" t="n">
        <v>5420</v>
      </c>
      <c r="L93" s="15" t="n">
        <v>27099972900</v>
      </c>
      <c r="M93" s="7" t="inlineStr"/>
      <c r="N93" s="14" t="inlineStr"/>
      <c r="O93" s="7" t="n">
        <v>1666665</v>
      </c>
      <c r="P93" s="13" t="n">
        <v>6.25</v>
      </c>
      <c r="Q93" s="2" t="inlineStr">
        <is>
          <t>20230320000646</t>
        </is>
      </c>
      <c r="R93" s="3">
        <f>HYPERLINK("https://dart.fss.or.kr/dsaf001/main.do?rcpNo=20230320000646", "공시열람")</f>
        <v/>
      </c>
    </row>
    <row r="94">
      <c r="A94" s="2" t="inlineStr">
        <is>
          <t>2023-03-17</t>
        </is>
      </c>
      <c r="B94" s="4" t="inlineStr">
        <is>
          <t>라온텍</t>
        </is>
      </c>
      <c r="C94" s="2" t="inlineStr">
        <is>
          <t>418420</t>
        </is>
      </c>
      <c r="D94" s="2" t="inlineStr">
        <is>
          <t>대량보유</t>
        </is>
      </c>
      <c r="E94" s="2" t="inlineStr">
        <is>
          <t>2023-03-09</t>
        </is>
      </c>
      <c r="F94" s="2" t="inlineStr">
        <is>
          <t>2023-03-09</t>
        </is>
      </c>
      <c r="G94" s="4" t="inlineStr">
        <is>
          <t>대신증권주식회사</t>
        </is>
      </c>
      <c r="H94" s="4" t="inlineStr">
        <is>
          <t>특별관계자</t>
        </is>
      </c>
      <c r="I94" s="4" t="inlineStr">
        <is>
          <t>신규상장(+)</t>
        </is>
      </c>
      <c r="J94" s="15" t="n">
        <v>457284</v>
      </c>
      <c r="K94" s="7" t="n">
        <v>5420</v>
      </c>
      <c r="L94" s="15" t="n">
        <v>2478479280</v>
      </c>
      <c r="M94" s="7" t="inlineStr"/>
      <c r="N94" s="14" t="inlineStr"/>
      <c r="O94" s="7" t="n">
        <v>452712</v>
      </c>
      <c r="P94" s="13" t="n">
        <v>6.25</v>
      </c>
      <c r="Q94" s="2" t="inlineStr">
        <is>
          <t>20230317000369</t>
        </is>
      </c>
      <c r="R94" s="3">
        <f>HYPERLINK("https://dart.fss.or.kr/dsaf001/main.do?rcpNo=20230317000369", "공시열람")</f>
        <v/>
      </c>
    </row>
    <row r="95">
      <c r="A95" s="2" t="inlineStr">
        <is>
          <t>2023-03-17</t>
        </is>
      </c>
      <c r="B95" s="4" t="inlineStr">
        <is>
          <t>라온텍</t>
        </is>
      </c>
      <c r="C95" s="2" t="inlineStr">
        <is>
          <t>418420</t>
        </is>
      </c>
      <c r="D95" s="2" t="inlineStr">
        <is>
          <t>대량보유</t>
        </is>
      </c>
      <c r="E95" s="2" t="inlineStr">
        <is>
          <t>2023-03-10</t>
        </is>
      </c>
      <c r="F95" s="2" t="inlineStr">
        <is>
          <t>2023-03-10</t>
        </is>
      </c>
      <c r="G95" s="4" t="inlineStr">
        <is>
          <t>대신-코너스톤신기술투자조합제1호</t>
        </is>
      </c>
      <c r="H95" s="4" t="inlineStr">
        <is>
          <t>기타</t>
        </is>
      </c>
      <c r="I95" s="4" t="inlineStr">
        <is>
          <t>장내매수(+)</t>
        </is>
      </c>
      <c r="J95" s="15" t="n">
        <v>2000</v>
      </c>
      <c r="K95" s="7" t="n">
        <v>6030</v>
      </c>
      <c r="L95" s="15" t="n">
        <v>12060000</v>
      </c>
      <c r="M95" s="7" t="inlineStr"/>
      <c r="N95" s="14" t="inlineStr"/>
      <c r="O95" s="7" t="n">
        <v>1646241</v>
      </c>
      <c r="P95" s="13" t="n">
        <v>6.25</v>
      </c>
      <c r="Q95" s="2" t="inlineStr">
        <is>
          <t>20230317000369</t>
        </is>
      </c>
      <c r="R95" s="3">
        <f>HYPERLINK("https://dart.fss.or.kr/dsaf001/main.do?rcpNo=20230317000369", "공시열람")</f>
        <v/>
      </c>
    </row>
    <row r="96">
      <c r="A96" s="2" t="inlineStr">
        <is>
          <t>2023-03-17</t>
        </is>
      </c>
      <c r="B96" s="4" t="inlineStr">
        <is>
          <t>라온텍</t>
        </is>
      </c>
      <c r="C96" s="2" t="inlineStr">
        <is>
          <t>418420</t>
        </is>
      </c>
      <c r="D96" s="2" t="inlineStr">
        <is>
          <t>대량보유</t>
        </is>
      </c>
      <c r="E96" s="2" t="inlineStr">
        <is>
          <t>2023-03-09</t>
        </is>
      </c>
      <c r="F96" s="2" t="inlineStr">
        <is>
          <t>2023-03-11</t>
        </is>
      </c>
      <c r="G96" s="4" t="inlineStr">
        <is>
          <t>대신-코너스톤신기술투자조합제1호</t>
        </is>
      </c>
      <c r="H96" s="4" t="inlineStr">
        <is>
          <t>기타</t>
        </is>
      </c>
      <c r="I96" s="4" t="inlineStr">
        <is>
          <t>장내매도(-)</t>
        </is>
      </c>
      <c r="J96" s="12" t="n">
        <v>-352424</v>
      </c>
      <c r="K96" s="7" t="n">
        <v>5924</v>
      </c>
      <c r="L96" s="12" t="n">
        <v>-2087759776</v>
      </c>
      <c r="M96" s="7" t="inlineStr"/>
      <c r="N96" s="14" t="inlineStr"/>
      <c r="O96" s="7" t="n">
        <v>1316241</v>
      </c>
      <c r="P96" s="13" t="n">
        <v>6.25</v>
      </c>
      <c r="Q96" s="2" t="inlineStr">
        <is>
          <t>20230317000369</t>
        </is>
      </c>
      <c r="R96" s="3">
        <f>HYPERLINK("https://dart.fss.or.kr/dsaf001/main.do?rcpNo=20230317000369", "공시열람")</f>
        <v/>
      </c>
    </row>
    <row r="97">
      <c r="A97" s="2" t="inlineStr">
        <is>
          <t>2023-03-17</t>
        </is>
      </c>
      <c r="B97" s="4" t="inlineStr">
        <is>
          <t>라온텍</t>
        </is>
      </c>
      <c r="C97" s="2" t="inlineStr">
        <is>
          <t>418420</t>
        </is>
      </c>
      <c r="D97" s="2" t="inlineStr">
        <is>
          <t>대량보유</t>
        </is>
      </c>
      <c r="E97" s="2" t="inlineStr">
        <is>
          <t>2023-03-09</t>
        </is>
      </c>
      <c r="F97" s="2" t="inlineStr">
        <is>
          <t>2023-03-09</t>
        </is>
      </c>
      <c r="G97" s="4" t="inlineStr">
        <is>
          <t>대신-코너스톤신기술투자조합제1호</t>
        </is>
      </c>
      <c r="H97" s="4" t="inlineStr">
        <is>
          <t>기타</t>
        </is>
      </c>
      <c r="I97" s="4" t="inlineStr">
        <is>
          <t>신규상장(+)</t>
        </is>
      </c>
      <c r="J97" s="15" t="n">
        <v>1666665</v>
      </c>
      <c r="K97" s="7" t="n">
        <v>5420</v>
      </c>
      <c r="L97" s="15" t="n">
        <v>9033324300</v>
      </c>
      <c r="M97" s="7" t="inlineStr"/>
      <c r="N97" s="14" t="inlineStr"/>
      <c r="O97" s="7" t="n">
        <v>1666665</v>
      </c>
      <c r="P97" s="13" t="n">
        <v>6.25</v>
      </c>
      <c r="Q97" s="2" t="inlineStr">
        <is>
          <t>20230317000369</t>
        </is>
      </c>
      <c r="R97" s="3">
        <f>HYPERLINK("https://dart.fss.or.kr/dsaf001/main.do?rcpNo=20230317000369", "공시열람")</f>
        <v/>
      </c>
    </row>
    <row r="98">
      <c r="A98" s="2" t="inlineStr">
        <is>
          <t>2023-03-16</t>
        </is>
      </c>
      <c r="B98" s="4" t="inlineStr">
        <is>
          <t>라온텍</t>
        </is>
      </c>
      <c r="C98" s="2" t="inlineStr">
        <is>
          <t>418420</t>
        </is>
      </c>
      <c r="D98" s="2" t="inlineStr">
        <is>
          <t>대량보유</t>
        </is>
      </c>
      <c r="E98" s="2" t="inlineStr">
        <is>
          <t>2023-03-10</t>
        </is>
      </c>
      <c r="F98" s="2" t="inlineStr">
        <is>
          <t>2023-03-10</t>
        </is>
      </c>
      <c r="G98" s="4" t="inlineStr">
        <is>
          <t>대신-코너스톤신기술투자조합제1호</t>
        </is>
      </c>
      <c r="H98" s="4" t="inlineStr">
        <is>
          <t>기타</t>
        </is>
      </c>
      <c r="I98" s="4" t="inlineStr">
        <is>
          <t>장내매수(+)</t>
        </is>
      </c>
      <c r="J98" s="15" t="n">
        <v>2000</v>
      </c>
      <c r="K98" s="7" t="n">
        <v>6030</v>
      </c>
      <c r="L98" s="15" t="n">
        <v>12060000</v>
      </c>
      <c r="M98" s="7" t="inlineStr"/>
      <c r="N98" s="14" t="inlineStr"/>
      <c r="O98" s="7" t="n">
        <v>1646241</v>
      </c>
      <c r="P98" s="13" t="n">
        <v>6.25</v>
      </c>
      <c r="Q98" s="2" t="inlineStr">
        <is>
          <t>20230316001088</t>
        </is>
      </c>
      <c r="R98" s="3">
        <f>HYPERLINK("https://dart.fss.or.kr/dsaf001/main.do?rcpNo=20230316001088", "공시열람")</f>
        <v/>
      </c>
    </row>
    <row r="99">
      <c r="A99" s="2" t="inlineStr">
        <is>
          <t>2023-03-16</t>
        </is>
      </c>
      <c r="B99" s="4" t="inlineStr">
        <is>
          <t>라온텍</t>
        </is>
      </c>
      <c r="C99" s="2" t="inlineStr">
        <is>
          <t>418420</t>
        </is>
      </c>
      <c r="D99" s="2" t="inlineStr">
        <is>
          <t>대량보유</t>
        </is>
      </c>
      <c r="E99" s="2" t="inlineStr">
        <is>
          <t>2023-03-09</t>
        </is>
      </c>
      <c r="F99" s="2" t="inlineStr">
        <is>
          <t>2023-03-11</t>
        </is>
      </c>
      <c r="G99" s="4" t="inlineStr">
        <is>
          <t>대신-코너스톤신기술투자조합제1호</t>
        </is>
      </c>
      <c r="H99" s="4" t="inlineStr">
        <is>
          <t>기타</t>
        </is>
      </c>
      <c r="I99" s="4" t="inlineStr">
        <is>
          <t>장내매도(-)</t>
        </is>
      </c>
      <c r="J99" s="12" t="n">
        <v>-352424</v>
      </c>
      <c r="K99" s="7" t="n">
        <v>5924</v>
      </c>
      <c r="L99" s="12" t="n">
        <v>-2087759776</v>
      </c>
      <c r="M99" s="7" t="inlineStr"/>
      <c r="N99" s="14" t="inlineStr"/>
      <c r="O99" s="7" t="n">
        <v>1316241</v>
      </c>
      <c r="P99" s="13" t="n">
        <v>6.25</v>
      </c>
      <c r="Q99" s="2" t="inlineStr">
        <is>
          <t>20230316001088</t>
        </is>
      </c>
      <c r="R99" s="3">
        <f>HYPERLINK("https://dart.fss.or.kr/dsaf001/main.do?rcpNo=20230316001088", "공시열람")</f>
        <v/>
      </c>
    </row>
    <row r="100">
      <c r="A100" s="2" t="inlineStr">
        <is>
          <t>2023-03-16</t>
        </is>
      </c>
      <c r="B100" s="4" t="inlineStr">
        <is>
          <t>라온텍</t>
        </is>
      </c>
      <c r="C100" s="2" t="inlineStr">
        <is>
          <t>418420</t>
        </is>
      </c>
      <c r="D100" s="2" t="inlineStr">
        <is>
          <t>대량보유</t>
        </is>
      </c>
      <c r="E100" s="2" t="inlineStr">
        <is>
          <t>2023-03-09</t>
        </is>
      </c>
      <c r="F100" s="2" t="inlineStr">
        <is>
          <t>2023-03-09</t>
        </is>
      </c>
      <c r="G100" s="4" t="inlineStr">
        <is>
          <t>대신-코너스톤신기술투자조합제1호</t>
        </is>
      </c>
      <c r="H100" s="4" t="inlineStr">
        <is>
          <t>기타</t>
        </is>
      </c>
      <c r="I100" s="4" t="inlineStr">
        <is>
          <t>신규상장(+)</t>
        </is>
      </c>
      <c r="J100" s="15" t="n">
        <v>1666665</v>
      </c>
      <c r="K100" s="7" t="n">
        <v>5420</v>
      </c>
      <c r="L100" s="15" t="n">
        <v>9033324300</v>
      </c>
      <c r="M100" s="7" t="inlineStr"/>
      <c r="N100" s="14" t="inlineStr"/>
      <c r="O100" s="7" t="n">
        <v>1666665</v>
      </c>
      <c r="P100" s="13" t="n">
        <v>6.25</v>
      </c>
      <c r="Q100" s="2" t="inlineStr">
        <is>
          <t>20230316001088</t>
        </is>
      </c>
      <c r="R100" s="3">
        <f>HYPERLINK("https://dart.fss.or.kr/dsaf001/main.do?rcpNo=20230316001088", "공시열람")</f>
        <v/>
      </c>
    </row>
    <row r="101">
      <c r="A101" s="2" t="inlineStr">
        <is>
          <t>2023-03-16</t>
        </is>
      </c>
      <c r="B101" s="4" t="inlineStr">
        <is>
          <t>라온텍</t>
        </is>
      </c>
      <c r="C101" s="2" t="inlineStr">
        <is>
          <t>418420</t>
        </is>
      </c>
      <c r="D101" s="2" t="inlineStr">
        <is>
          <t>대량보유</t>
        </is>
      </c>
      <c r="E101" s="2" t="inlineStr">
        <is>
          <t>2023-03-09</t>
        </is>
      </c>
      <c r="F101" s="2" t="inlineStr">
        <is>
          <t>2023-03-09</t>
        </is>
      </c>
      <c r="G101" s="4" t="inlineStr">
        <is>
          <t>대신증권주식회사</t>
        </is>
      </c>
      <c r="H101" s="4" t="inlineStr">
        <is>
          <t>특별관계자</t>
        </is>
      </c>
      <c r="I101" s="4" t="inlineStr">
        <is>
          <t>신규상장(+)</t>
        </is>
      </c>
      <c r="J101" s="15" t="n">
        <v>457284</v>
      </c>
      <c r="K101" s="7" t="n">
        <v>5420</v>
      </c>
      <c r="L101" s="15" t="n">
        <v>2478479280</v>
      </c>
      <c r="M101" s="7" t="inlineStr"/>
      <c r="N101" s="14" t="inlineStr"/>
      <c r="O101" s="7" t="n">
        <v>452712</v>
      </c>
      <c r="P101" s="13" t="n">
        <v>6.25</v>
      </c>
      <c r="Q101" s="2" t="inlineStr">
        <is>
          <t>20230316001088</t>
        </is>
      </c>
      <c r="R101" s="3">
        <f>HYPERLINK("https://dart.fss.or.kr/dsaf001/main.do?rcpNo=20230316001088", "공시열람")</f>
        <v/>
      </c>
    </row>
    <row r="102">
      <c r="A102" s="2" t="inlineStr">
        <is>
          <t>2023-03-15</t>
        </is>
      </c>
      <c r="B102" s="4" t="inlineStr">
        <is>
          <t>라온텍</t>
        </is>
      </c>
      <c r="C102" s="2" t="inlineStr">
        <is>
          <t>418420</t>
        </is>
      </c>
      <c r="D102" s="2" t="inlineStr">
        <is>
          <t>임원보고</t>
        </is>
      </c>
      <c r="E102" s="2" t="inlineStr">
        <is>
          <t>2023-03-09</t>
        </is>
      </c>
      <c r="F102" s="2" t="inlineStr">
        <is>
          <t>2023-03-09</t>
        </is>
      </c>
      <c r="G102" s="4" t="inlineStr">
        <is>
          <t>김보은</t>
        </is>
      </c>
      <c r="H102" s="4" t="inlineStr">
        <is>
          <t>등기임원 대표이사, 10%이상주주</t>
        </is>
      </c>
      <c r="I102" s="4" t="inlineStr">
        <is>
          <t>신규상장(+)</t>
        </is>
      </c>
      <c r="J102" s="15" t="n">
        <v>5940000</v>
      </c>
      <c r="K102" s="7" t="n">
        <v>5420</v>
      </c>
      <c r="L102" s="15" t="n">
        <v>32194800000</v>
      </c>
      <c r="M102" s="7" t="inlineStr"/>
      <c r="N102" s="14" t="inlineStr"/>
      <c r="O102" s="7" t="n">
        <v>5940000</v>
      </c>
      <c r="P102" s="13" t="n">
        <v>20.88</v>
      </c>
      <c r="Q102" s="2" t="inlineStr">
        <is>
          <t>20230315000498</t>
        </is>
      </c>
      <c r="R102" s="3">
        <f>HYPERLINK("https://dart.fss.or.kr/dsaf001/main.do?rcpNo=20230315000498", "공시열람")</f>
        <v/>
      </c>
    </row>
    <row r="103">
      <c r="A103" s="2" t="inlineStr">
        <is>
          <t>2023-03-15</t>
        </is>
      </c>
      <c r="B103" s="4" t="inlineStr">
        <is>
          <t>라온텍</t>
        </is>
      </c>
      <c r="C103" s="2" t="inlineStr">
        <is>
          <t>418420</t>
        </is>
      </c>
      <c r="D103" s="2" t="inlineStr">
        <is>
          <t>임원보고</t>
        </is>
      </c>
      <c r="E103" s="2" t="inlineStr">
        <is>
          <t>2023-03-09</t>
        </is>
      </c>
      <c r="F103" s="2" t="inlineStr">
        <is>
          <t>2023-03-09</t>
        </is>
      </c>
      <c r="G103" s="4" t="inlineStr">
        <is>
          <t>정민수</t>
        </is>
      </c>
      <c r="H103" s="4" t="inlineStr">
        <is>
          <t>등기임원 연구소장</t>
        </is>
      </c>
      <c r="I103" s="4" t="inlineStr">
        <is>
          <t>신규상장(+)</t>
        </is>
      </c>
      <c r="J103" s="15" t="n">
        <v>1077500</v>
      </c>
      <c r="K103" s="7" t="n">
        <v>5420</v>
      </c>
      <c r="L103" s="15" t="n">
        <v>5840050000</v>
      </c>
      <c r="M103" s="7" t="inlineStr"/>
      <c r="N103" s="14" t="inlineStr"/>
      <c r="O103" s="7" t="n">
        <v>1077500</v>
      </c>
      <c r="P103" s="13" t="n">
        <v>3.79</v>
      </c>
      <c r="Q103" s="2" t="inlineStr">
        <is>
          <t>20230315000623</t>
        </is>
      </c>
      <c r="R103" s="3">
        <f>HYPERLINK("https://dart.fss.or.kr/dsaf001/main.do?rcpNo=20230315000623", "공시열람")</f>
        <v/>
      </c>
    </row>
    <row r="104">
      <c r="A104" s="2" t="inlineStr">
        <is>
          <t>2023-03-15</t>
        </is>
      </c>
      <c r="B104" s="4" t="inlineStr">
        <is>
          <t>라온텍</t>
        </is>
      </c>
      <c r="C104" s="2" t="inlineStr">
        <is>
          <t>418420</t>
        </is>
      </c>
      <c r="D104" s="2" t="inlineStr">
        <is>
          <t>임원보고</t>
        </is>
      </c>
      <c r="E104" s="2" t="inlineStr">
        <is>
          <t>2023-03-09</t>
        </is>
      </c>
      <c r="F104" s="2" t="inlineStr">
        <is>
          <t>2023-03-09</t>
        </is>
      </c>
      <c r="G104" s="4" t="inlineStr">
        <is>
          <t>김민석</t>
        </is>
      </c>
      <c r="H104" s="4" t="inlineStr">
        <is>
          <t>등기임원 연구소장</t>
        </is>
      </c>
      <c r="I104" s="4" t="inlineStr">
        <is>
          <t>신규상장(+)</t>
        </is>
      </c>
      <c r="J104" s="15" t="n">
        <v>205000</v>
      </c>
      <c r="K104" s="7" t="n">
        <v>5420</v>
      </c>
      <c r="L104" s="15" t="n">
        <v>1111100000</v>
      </c>
      <c r="M104" s="7" t="inlineStr"/>
      <c r="N104" s="14" t="inlineStr"/>
      <c r="O104" s="7" t="n">
        <v>205000</v>
      </c>
      <c r="P104" s="13" t="n">
        <v>0.72</v>
      </c>
      <c r="Q104" s="2" t="inlineStr">
        <is>
          <t>20230315000653</t>
        </is>
      </c>
      <c r="R104" s="3">
        <f>HYPERLINK("https://dart.fss.or.kr/dsaf001/main.do?rcpNo=20230315000653", "공시열람")</f>
        <v/>
      </c>
    </row>
    <row r="105">
      <c r="A105" s="2" t="inlineStr">
        <is>
          <t>2023-03-15</t>
        </is>
      </c>
      <c r="B105" s="4" t="inlineStr">
        <is>
          <t>라온텍</t>
        </is>
      </c>
      <c r="C105" s="2" t="inlineStr">
        <is>
          <t>418420</t>
        </is>
      </c>
      <c r="D105" s="2" t="inlineStr">
        <is>
          <t>임원보고</t>
        </is>
      </c>
      <c r="E105" s="2" t="inlineStr">
        <is>
          <t>2023-03-09</t>
        </is>
      </c>
      <c r="F105" s="2" t="inlineStr">
        <is>
          <t>2023-03-09</t>
        </is>
      </c>
      <c r="G105" s="4" t="inlineStr">
        <is>
          <t>김선욱</t>
        </is>
      </c>
      <c r="H105" s="4" t="inlineStr">
        <is>
          <t>등기임원 사외이사</t>
        </is>
      </c>
      <c r="I105" s="4" t="inlineStr">
        <is>
          <t>신규상장(+)</t>
        </is>
      </c>
      <c r="J105" s="15" t="n">
        <v>50000</v>
      </c>
      <c r="K105" s="7" t="n">
        <v>5420</v>
      </c>
      <c r="L105" s="15" t="n">
        <v>271000000</v>
      </c>
      <c r="M105" s="7" t="inlineStr"/>
      <c r="N105" s="14" t="inlineStr"/>
      <c r="O105" s="7" t="n">
        <v>50000</v>
      </c>
      <c r="P105" s="13" t="n">
        <v>0.18</v>
      </c>
      <c r="Q105" s="2" t="inlineStr">
        <is>
          <t>20230315000679</t>
        </is>
      </c>
      <c r="R105" s="3">
        <f>HYPERLINK("https://dart.fss.or.kr/dsaf001/main.do?rcpNo=20230315000679", "공시열람")</f>
        <v/>
      </c>
    </row>
    <row r="106">
      <c r="A106" s="2" t="inlineStr">
        <is>
          <t>2023-03-15</t>
        </is>
      </c>
      <c r="B106" s="4" t="inlineStr">
        <is>
          <t>라온텍</t>
        </is>
      </c>
      <c r="C106" s="2" t="inlineStr">
        <is>
          <t>418420</t>
        </is>
      </c>
      <c r="D106" s="2" t="inlineStr">
        <is>
          <t>임원보고</t>
        </is>
      </c>
      <c r="E106" s="2" t="inlineStr">
        <is>
          <t>2023-03-09</t>
        </is>
      </c>
      <c r="F106" s="2" t="inlineStr">
        <is>
          <t>2023-03-09</t>
        </is>
      </c>
      <c r="G106" s="4" t="inlineStr">
        <is>
          <t>한성준</t>
        </is>
      </c>
      <c r="H106" s="4" t="inlineStr">
        <is>
          <t>비등기임원 상무이사</t>
        </is>
      </c>
      <c r="I106" s="4" t="inlineStr">
        <is>
          <t>신규상장(+)</t>
        </is>
      </c>
      <c r="J106" s="15" t="n">
        <v>220625</v>
      </c>
      <c r="K106" s="7" t="n">
        <v>5420</v>
      </c>
      <c r="L106" s="15" t="n">
        <v>1195787500</v>
      </c>
      <c r="M106" s="7" t="inlineStr"/>
      <c r="N106" s="14" t="inlineStr"/>
      <c r="O106" s="7" t="n">
        <v>220625</v>
      </c>
      <c r="P106" s="13" t="n">
        <v>0.78</v>
      </c>
      <c r="Q106" s="2" t="inlineStr">
        <is>
          <t>20230315000714</t>
        </is>
      </c>
      <c r="R106" s="3">
        <f>HYPERLINK("https://dart.fss.or.kr/dsaf001/main.do?rcpNo=20230315000714", "공시열람")</f>
        <v/>
      </c>
    </row>
    <row r="107">
      <c r="A107" s="2" t="inlineStr">
        <is>
          <t>2023-03-15</t>
        </is>
      </c>
      <c r="B107" s="4" t="inlineStr">
        <is>
          <t>라온텍</t>
        </is>
      </c>
      <c r="C107" s="2" t="inlineStr">
        <is>
          <t>418420</t>
        </is>
      </c>
      <c r="D107" s="2" t="inlineStr">
        <is>
          <t>임원보고</t>
        </is>
      </c>
      <c r="E107" s="2" t="inlineStr">
        <is>
          <t>2023-03-09</t>
        </is>
      </c>
      <c r="F107" s="2" t="inlineStr">
        <is>
          <t>2023-03-09</t>
        </is>
      </c>
      <c r="G107" s="4" t="inlineStr">
        <is>
          <t>이광수</t>
        </is>
      </c>
      <c r="H107" s="4" t="inlineStr">
        <is>
          <t>비등기임원 상무이사</t>
        </is>
      </c>
      <c r="I107" s="4" t="inlineStr">
        <is>
          <t>신규상장(+)</t>
        </is>
      </c>
      <c r="J107" s="15" t="n">
        <v>241750</v>
      </c>
      <c r="K107" s="7" t="n">
        <v>5420</v>
      </c>
      <c r="L107" s="15" t="n">
        <v>1310285000</v>
      </c>
      <c r="M107" s="7" t="inlineStr"/>
      <c r="N107" s="14" t="inlineStr"/>
      <c r="O107" s="7" t="n">
        <v>241750</v>
      </c>
      <c r="P107" s="13" t="n">
        <v>0.85</v>
      </c>
      <c r="Q107" s="2" t="inlineStr">
        <is>
          <t>20230315000731</t>
        </is>
      </c>
      <c r="R107" s="3">
        <f>HYPERLINK("https://dart.fss.or.kr/dsaf001/main.do?rcpNo=20230315000731", "공시열람")</f>
        <v/>
      </c>
    </row>
    <row r="108">
      <c r="A108" s="2" t="inlineStr">
        <is>
          <t>2023-03-15</t>
        </is>
      </c>
      <c r="B108" s="4" t="inlineStr">
        <is>
          <t>라온텍</t>
        </is>
      </c>
      <c r="C108" s="2" t="inlineStr">
        <is>
          <t>418420</t>
        </is>
      </c>
      <c r="D108" s="2" t="inlineStr">
        <is>
          <t>임원보고</t>
        </is>
      </c>
      <c r="E108" s="2" t="inlineStr">
        <is>
          <t>2023-03-09</t>
        </is>
      </c>
      <c r="F108" s="2" t="inlineStr">
        <is>
          <t>2023-03-09</t>
        </is>
      </c>
      <c r="G108" s="4" t="inlineStr">
        <is>
          <t>조성재</t>
        </is>
      </c>
      <c r="H108" s="4" t="inlineStr">
        <is>
          <t>비등기임원 전무이사</t>
        </is>
      </c>
      <c r="I108" s="4" t="inlineStr">
        <is>
          <t>신규상장(+)</t>
        </is>
      </c>
      <c r="J108" s="15" t="n">
        <v>300000</v>
      </c>
      <c r="K108" s="7" t="n">
        <v>5420</v>
      </c>
      <c r="L108" s="15" t="n">
        <v>1626000000</v>
      </c>
      <c r="M108" s="7" t="inlineStr"/>
      <c r="N108" s="14" t="inlineStr"/>
      <c r="O108" s="7" t="n">
        <v>300000</v>
      </c>
      <c r="P108" s="13" t="n">
        <v>1.05</v>
      </c>
      <c r="Q108" s="2" t="inlineStr">
        <is>
          <t>20230315000757</t>
        </is>
      </c>
      <c r="R108" s="3">
        <f>HYPERLINK("https://dart.fss.or.kr/dsaf001/main.do?rcpNo=20230315000757", "공시열람")</f>
        <v/>
      </c>
    </row>
    <row r="109">
      <c r="A109" s="2" t="inlineStr">
        <is>
          <t>2023-03-15</t>
        </is>
      </c>
      <c r="B109" s="4" t="inlineStr">
        <is>
          <t>라온텍</t>
        </is>
      </c>
      <c r="C109" s="2" t="inlineStr">
        <is>
          <t>418420</t>
        </is>
      </c>
      <c r="D109" s="2" t="inlineStr">
        <is>
          <t>대량보유</t>
        </is>
      </c>
      <c r="E109" s="2" t="inlineStr">
        <is>
          <t>2023-03-09</t>
        </is>
      </c>
      <c r="F109" s="2" t="inlineStr">
        <is>
          <t>2023-03-09</t>
        </is>
      </c>
      <c r="G109" s="4" t="inlineStr">
        <is>
          <t>다산에스비에이재기투자조합</t>
        </is>
      </c>
      <c r="H109" s="4" t="inlineStr">
        <is>
          <t>특별관계자</t>
        </is>
      </c>
      <c r="I109" s="4" t="inlineStr">
        <is>
          <t>신규상장(+)</t>
        </is>
      </c>
      <c r="J109" s="15" t="n">
        <v>1695555</v>
      </c>
      <c r="K109" s="7" t="n">
        <v>5420</v>
      </c>
      <c r="L109" s="15" t="n">
        <v>9189908100</v>
      </c>
      <c r="M109" s="7" t="inlineStr"/>
      <c r="N109" s="14" t="inlineStr"/>
      <c r="O109" s="7" t="n">
        <v>1695555</v>
      </c>
      <c r="P109" s="13" t="n">
        <v>5.96</v>
      </c>
      <c r="Q109" s="2" t="inlineStr">
        <is>
          <t>20230315001406</t>
        </is>
      </c>
      <c r="R109" s="3">
        <f>HYPERLINK("https://dart.fss.or.kr/dsaf001/main.do?rcpNo=20230315001406", "공시열람")</f>
        <v/>
      </c>
    </row>
    <row r="110">
      <c r="A110" s="2" t="inlineStr">
        <is>
          <t>2023-03-14</t>
        </is>
      </c>
      <c r="B110" s="4" t="inlineStr">
        <is>
          <t>라온텍</t>
        </is>
      </c>
      <c r="C110" s="2" t="inlineStr">
        <is>
          <t>418420</t>
        </is>
      </c>
      <c r="D110" s="2" t="inlineStr">
        <is>
          <t>대량보유</t>
        </is>
      </c>
      <c r="E110" s="2" t="inlineStr">
        <is>
          <t>2023-03-09</t>
        </is>
      </c>
      <c r="F110" s="2" t="inlineStr">
        <is>
          <t>2023-03-09</t>
        </is>
      </c>
      <c r="G110" s="4" t="inlineStr">
        <is>
          <t>YOOSOOJEONG</t>
        </is>
      </c>
      <c r="H110" s="4" t="inlineStr">
        <is>
          <t>특별관계자</t>
        </is>
      </c>
      <c r="I110" s="4" t="inlineStr">
        <is>
          <t>신규상장(유상취득)(+)</t>
        </is>
      </c>
      <c r="J110" s="15" t="n">
        <v>7500</v>
      </c>
      <c r="K110" s="7" t="n">
        <v>5420</v>
      </c>
      <c r="L110" s="15" t="n">
        <v>40650000</v>
      </c>
      <c r="M110" s="7" t="inlineStr"/>
      <c r="N110" s="14" t="inlineStr"/>
      <c r="O110" s="7" t="n">
        <v>7500</v>
      </c>
      <c r="P110" s="13" t="n">
        <v>31.16</v>
      </c>
      <c r="Q110" s="2" t="inlineStr">
        <is>
          <t>20230314000834</t>
        </is>
      </c>
      <c r="R110" s="3">
        <f>HYPERLINK("https://dart.fss.or.kr/dsaf001/main.do?rcpNo=20230314000834", "공시열람")</f>
        <v/>
      </c>
    </row>
    <row r="111">
      <c r="A111" s="2" t="inlineStr">
        <is>
          <t>2023-03-14</t>
        </is>
      </c>
      <c r="B111" s="4" t="inlineStr">
        <is>
          <t>라온텍</t>
        </is>
      </c>
      <c r="C111" s="2" t="inlineStr">
        <is>
          <t>418420</t>
        </is>
      </c>
      <c r="D111" s="2" t="inlineStr">
        <is>
          <t>대량보유</t>
        </is>
      </c>
      <c r="E111" s="2" t="inlineStr">
        <is>
          <t>2023-03-09</t>
        </is>
      </c>
      <c r="F111" s="2" t="inlineStr">
        <is>
          <t>2023-03-09</t>
        </is>
      </c>
      <c r="G111" s="4" t="inlineStr">
        <is>
          <t>정민수</t>
        </is>
      </c>
      <c r="H111" s="4" t="inlineStr">
        <is>
          <t>특별관계자</t>
        </is>
      </c>
      <c r="I111" s="4" t="inlineStr">
        <is>
          <t>신규상장(무상취득)(+)</t>
        </is>
      </c>
      <c r="J111" s="15" t="n">
        <v>142000</v>
      </c>
      <c r="K111" s="7" t="n">
        <v>5420</v>
      </c>
      <c r="L111" s="15" t="n">
        <v>769640000</v>
      </c>
      <c r="M111" s="7" t="inlineStr"/>
      <c r="N111" s="14" t="inlineStr"/>
      <c r="O111" s="7" t="n">
        <v>142000</v>
      </c>
      <c r="P111" s="13" t="n">
        <v>31.16</v>
      </c>
      <c r="Q111" s="2" t="inlineStr">
        <is>
          <t>20230314000834</t>
        </is>
      </c>
      <c r="R111" s="3">
        <f>HYPERLINK("https://dart.fss.or.kr/dsaf001/main.do?rcpNo=20230314000834", "공시열람")</f>
        <v/>
      </c>
    </row>
    <row r="112">
      <c r="A112" s="2" t="inlineStr">
        <is>
          <t>2023-03-14</t>
        </is>
      </c>
      <c r="B112" s="4" t="inlineStr">
        <is>
          <t>라온텍</t>
        </is>
      </c>
      <c r="C112" s="2" t="inlineStr">
        <is>
          <t>418420</t>
        </is>
      </c>
      <c r="D112" s="2" t="inlineStr">
        <is>
          <t>대량보유</t>
        </is>
      </c>
      <c r="E112" s="2" t="inlineStr">
        <is>
          <t>2023-03-09</t>
        </is>
      </c>
      <c r="F112" s="2" t="inlineStr">
        <is>
          <t>2023-03-09</t>
        </is>
      </c>
      <c r="G112" s="4" t="inlineStr">
        <is>
          <t>JANGYOONKYENG</t>
        </is>
      </c>
      <c r="H112" s="4" t="inlineStr">
        <is>
          <t>특별관계자</t>
        </is>
      </c>
      <c r="I112" s="4" t="inlineStr">
        <is>
          <t>신규상장(유상취득)(+)</t>
        </is>
      </c>
      <c r="J112" s="15" t="n">
        <v>100000</v>
      </c>
      <c r="K112" s="7" t="n">
        <v>5420</v>
      </c>
      <c r="L112" s="15" t="n">
        <v>542000000</v>
      </c>
      <c r="M112" s="7" t="inlineStr"/>
      <c r="N112" s="14" t="inlineStr"/>
      <c r="O112" s="7" t="n">
        <v>100000</v>
      </c>
      <c r="P112" s="13" t="n">
        <v>31.16</v>
      </c>
      <c r="Q112" s="2" t="inlineStr">
        <is>
          <t>20230314000834</t>
        </is>
      </c>
      <c r="R112" s="3">
        <f>HYPERLINK("https://dart.fss.or.kr/dsaf001/main.do?rcpNo=20230314000834", "공시열람")</f>
        <v/>
      </c>
    </row>
    <row r="113">
      <c r="A113" s="2" t="inlineStr">
        <is>
          <t>2023-03-14</t>
        </is>
      </c>
      <c r="B113" s="4" t="inlineStr">
        <is>
          <t>라온텍</t>
        </is>
      </c>
      <c r="C113" s="2" t="inlineStr">
        <is>
          <t>418420</t>
        </is>
      </c>
      <c r="D113" s="2" t="inlineStr">
        <is>
          <t>대량보유</t>
        </is>
      </c>
      <c r="E113" s="2" t="inlineStr">
        <is>
          <t>2023-03-09</t>
        </is>
      </c>
      <c r="F113" s="2" t="inlineStr">
        <is>
          <t>2023-03-09</t>
        </is>
      </c>
      <c r="G113" s="4" t="inlineStr">
        <is>
          <t>정민수</t>
        </is>
      </c>
      <c r="H113" s="4" t="inlineStr">
        <is>
          <t>특별관계자</t>
        </is>
      </c>
      <c r="I113" s="4" t="inlineStr">
        <is>
          <t>신규상장(유상취득)(+)</t>
        </is>
      </c>
      <c r="J113" s="15" t="n">
        <v>1077500</v>
      </c>
      <c r="K113" s="7" t="n">
        <v>5420</v>
      </c>
      <c r="L113" s="15" t="n">
        <v>5840050000</v>
      </c>
      <c r="M113" s="7" t="inlineStr"/>
      <c r="N113" s="14" t="inlineStr"/>
      <c r="O113" s="7" t="n">
        <v>1077500</v>
      </c>
      <c r="P113" s="13" t="n">
        <v>31.16</v>
      </c>
      <c r="Q113" s="2" t="inlineStr">
        <is>
          <t>20230314000834</t>
        </is>
      </c>
      <c r="R113" s="3">
        <f>HYPERLINK("https://dart.fss.or.kr/dsaf001/main.do?rcpNo=20230314000834", "공시열람")</f>
        <v/>
      </c>
    </row>
    <row r="114">
      <c r="A114" s="2" t="inlineStr">
        <is>
          <t>2023-03-14</t>
        </is>
      </c>
      <c r="B114" s="4" t="inlineStr">
        <is>
          <t>라온텍</t>
        </is>
      </c>
      <c r="C114" s="2" t="inlineStr">
        <is>
          <t>418420</t>
        </is>
      </c>
      <c r="D114" s="2" t="inlineStr">
        <is>
          <t>대량보유</t>
        </is>
      </c>
      <c r="E114" s="2" t="inlineStr">
        <is>
          <t>2023-03-09</t>
        </is>
      </c>
      <c r="F114" s="2" t="inlineStr">
        <is>
          <t>2023-03-09</t>
        </is>
      </c>
      <c r="G114" s="4" t="inlineStr">
        <is>
          <t>고성은</t>
        </is>
      </c>
      <c r="H114" s="4" t="inlineStr">
        <is>
          <t>특별관계자</t>
        </is>
      </c>
      <c r="I114" s="4" t="inlineStr">
        <is>
          <t>신규상장(유상취득)(+)</t>
        </is>
      </c>
      <c r="J114" s="15" t="n">
        <v>1185000</v>
      </c>
      <c r="K114" s="7" t="n">
        <v>5420</v>
      </c>
      <c r="L114" s="15" t="n">
        <v>6422700000</v>
      </c>
      <c r="M114" s="7" t="inlineStr"/>
      <c r="N114" s="14" t="inlineStr"/>
      <c r="O114" s="7" t="n">
        <v>1185000</v>
      </c>
      <c r="P114" s="13" t="n">
        <v>31.16</v>
      </c>
      <c r="Q114" s="2" t="inlineStr">
        <is>
          <t>20230314000834</t>
        </is>
      </c>
      <c r="R114" s="3">
        <f>HYPERLINK("https://dart.fss.or.kr/dsaf001/main.do?rcpNo=20230314000834", "공시열람")</f>
        <v/>
      </c>
    </row>
    <row r="115">
      <c r="A115" s="2" t="inlineStr">
        <is>
          <t>2023-03-14</t>
        </is>
      </c>
      <c r="B115" s="4" t="inlineStr">
        <is>
          <t>라온텍</t>
        </is>
      </c>
      <c r="C115" s="2" t="inlineStr">
        <is>
          <t>418420</t>
        </is>
      </c>
      <c r="D115" s="2" t="inlineStr">
        <is>
          <t>대량보유</t>
        </is>
      </c>
      <c r="E115" s="2" t="inlineStr">
        <is>
          <t>2023-03-09</t>
        </is>
      </c>
      <c r="F115" s="2" t="inlineStr">
        <is>
          <t>2023-03-09</t>
        </is>
      </c>
      <c r="G115" s="4" t="inlineStr">
        <is>
          <t>김민석</t>
        </is>
      </c>
      <c r="H115" s="4" t="inlineStr">
        <is>
          <t>특별관계자</t>
        </is>
      </c>
      <c r="I115" s="4" t="inlineStr">
        <is>
          <t>신규상장(유상취득)(+)</t>
        </is>
      </c>
      <c r="J115" s="15" t="n">
        <v>205000</v>
      </c>
      <c r="K115" s="7" t="n">
        <v>5420</v>
      </c>
      <c r="L115" s="15" t="n">
        <v>1111100000</v>
      </c>
      <c r="M115" s="7" t="inlineStr"/>
      <c r="N115" s="14" t="inlineStr"/>
      <c r="O115" s="7" t="n">
        <v>205000</v>
      </c>
      <c r="P115" s="13" t="n">
        <v>31.16</v>
      </c>
      <c r="Q115" s="2" t="inlineStr">
        <is>
          <t>20230314000834</t>
        </is>
      </c>
      <c r="R115" s="3">
        <f>HYPERLINK("https://dart.fss.or.kr/dsaf001/main.do?rcpNo=20230314000834", "공시열람")</f>
        <v/>
      </c>
    </row>
    <row r="116">
      <c r="A116" s="2" t="inlineStr">
        <is>
          <t>2023-03-14</t>
        </is>
      </c>
      <c r="B116" s="4" t="inlineStr">
        <is>
          <t>라온텍</t>
        </is>
      </c>
      <c r="C116" s="2" t="inlineStr">
        <is>
          <t>418420</t>
        </is>
      </c>
      <c r="D116" s="2" t="inlineStr">
        <is>
          <t>대량보유</t>
        </is>
      </c>
      <c r="E116" s="2" t="inlineStr">
        <is>
          <t>2023-03-09</t>
        </is>
      </c>
      <c r="F116" s="2" t="inlineStr">
        <is>
          <t>2023-03-09</t>
        </is>
      </c>
      <c r="G116" s="4" t="inlineStr">
        <is>
          <t>김민석</t>
        </is>
      </c>
      <c r="H116" s="4" t="inlineStr">
        <is>
          <t>특별관계자</t>
        </is>
      </c>
      <c r="I116" s="4" t="inlineStr">
        <is>
          <t>신규상장(무상취득)(+)</t>
        </is>
      </c>
      <c r="J116" s="15" t="n">
        <v>155500</v>
      </c>
      <c r="K116" s="7" t="n">
        <v>5420</v>
      </c>
      <c r="L116" s="15" t="n">
        <v>842810000</v>
      </c>
      <c r="M116" s="7" t="inlineStr"/>
      <c r="N116" s="14" t="inlineStr"/>
      <c r="O116" s="7" t="n">
        <v>155500</v>
      </c>
      <c r="P116" s="13" t="n">
        <v>31.16</v>
      </c>
      <c r="Q116" s="2" t="inlineStr">
        <is>
          <t>20230314000834</t>
        </is>
      </c>
      <c r="R116" s="3">
        <f>HYPERLINK("https://dart.fss.or.kr/dsaf001/main.do?rcpNo=20230314000834", "공시열람")</f>
        <v/>
      </c>
    </row>
    <row r="117">
      <c r="A117" s="2" t="inlineStr">
        <is>
          <t>2023-03-14</t>
        </is>
      </c>
      <c r="B117" s="4" t="inlineStr">
        <is>
          <t>라온텍</t>
        </is>
      </c>
      <c r="C117" s="2" t="inlineStr">
        <is>
          <t>418420</t>
        </is>
      </c>
      <c r="D117" s="2" t="inlineStr">
        <is>
          <t>대량보유</t>
        </is>
      </c>
      <c r="E117" s="2" t="inlineStr">
        <is>
          <t>2023-03-09</t>
        </is>
      </c>
      <c r="F117" s="2" t="inlineStr">
        <is>
          <t>2023-03-09</t>
        </is>
      </c>
      <c r="G117" s="4" t="inlineStr">
        <is>
          <t>김선욱</t>
        </is>
      </c>
      <c r="H117" s="4" t="inlineStr">
        <is>
          <t>특별관계자</t>
        </is>
      </c>
      <c r="I117" s="4" t="inlineStr">
        <is>
          <t>신규상장(유상취득)(+)</t>
        </is>
      </c>
      <c r="J117" s="15" t="n">
        <v>50000</v>
      </c>
      <c r="K117" s="7" t="n">
        <v>5420</v>
      </c>
      <c r="L117" s="15" t="n">
        <v>271000000</v>
      </c>
      <c r="M117" s="7" t="inlineStr"/>
      <c r="N117" s="14" t="inlineStr"/>
      <c r="O117" s="7" t="n">
        <v>50000</v>
      </c>
      <c r="P117" s="13" t="n">
        <v>31.16</v>
      </c>
      <c r="Q117" s="2" t="inlineStr">
        <is>
          <t>20230314000834</t>
        </is>
      </c>
      <c r="R117" s="3">
        <f>HYPERLINK("https://dart.fss.or.kr/dsaf001/main.do?rcpNo=20230314000834", "공시열람")</f>
        <v/>
      </c>
    </row>
    <row r="118">
      <c r="A118" s="2" t="inlineStr">
        <is>
          <t>2023-03-14</t>
        </is>
      </c>
      <c r="B118" s="4" t="inlineStr">
        <is>
          <t>라온텍</t>
        </is>
      </c>
      <c r="C118" s="2" t="inlineStr">
        <is>
          <t>418420</t>
        </is>
      </c>
      <c r="D118" s="2" t="inlineStr">
        <is>
          <t>대량보유</t>
        </is>
      </c>
      <c r="E118" s="2" t="inlineStr">
        <is>
          <t>2023-03-09</t>
        </is>
      </c>
      <c r="F118" s="2" t="inlineStr">
        <is>
          <t>2023-03-09</t>
        </is>
      </c>
      <c r="G118" s="4" t="inlineStr">
        <is>
          <t>김보은</t>
        </is>
      </c>
      <c r="H118" s="4" t="inlineStr">
        <is>
          <t>최대주주</t>
        </is>
      </c>
      <c r="I118" s="4" t="inlineStr">
        <is>
          <t>신규상장(유상취득)(+)</t>
        </is>
      </c>
      <c r="J118" s="15" t="n">
        <v>5940000</v>
      </c>
      <c r="K118" s="7" t="n">
        <v>5420</v>
      </c>
      <c r="L118" s="15" t="n">
        <v>32194800000</v>
      </c>
      <c r="M118" s="7" t="inlineStr"/>
      <c r="N118" s="14" t="inlineStr"/>
      <c r="O118" s="7" t="n">
        <v>5940000</v>
      </c>
      <c r="P118" s="13" t="n">
        <v>31.16</v>
      </c>
      <c r="Q118" s="2" t="inlineStr">
        <is>
          <t>20230314000834</t>
        </is>
      </c>
      <c r="R118" s="3">
        <f>HYPERLINK("https://dart.fss.or.kr/dsaf001/main.do?rcpNo=20230314000834", "공시열람")</f>
        <v/>
      </c>
    </row>
  </sheetData>
  <autoFilter ref="A1:R1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hidden="1" width="10" customWidth="1" min="3" max="3"/>
    <col hidden="1" width="10" customWidth="1" min="4" max="4"/>
    <col width="35" customWidth="1" min="5" max="5"/>
    <col width="10" customWidth="1" min="6" max="6"/>
    <col width="18.8" customWidth="1" min="7" max="7"/>
    <col width="10" customWidth="1" min="8" max="8"/>
  </cols>
  <sheetData>
    <row r="1">
      <c r="A1" s="16" t="inlineStr">
        <is>
          <t>접수일자</t>
        </is>
      </c>
      <c r="B1" s="16" t="inlineStr">
        <is>
          <t>회사명</t>
        </is>
      </c>
      <c r="C1" s="16" t="inlineStr">
        <is>
          <t>시장구분</t>
        </is>
      </c>
      <c r="D1" s="16" t="inlineStr">
        <is>
          <t>종목코드</t>
        </is>
      </c>
      <c r="E1" s="16" t="inlineStr">
        <is>
          <t>공시명</t>
        </is>
      </c>
      <c r="F1" s="16" t="inlineStr">
        <is>
          <t>제출인</t>
        </is>
      </c>
      <c r="G1" s="16" t="inlineStr">
        <is>
          <t>접수번호</t>
        </is>
      </c>
      <c r="H1" s="16" t="inlineStr">
        <is>
          <t>DART링크</t>
        </is>
      </c>
    </row>
    <row r="2">
      <c r="A2" s="2" t="inlineStr">
        <is>
          <t>2026-03-26</t>
        </is>
      </c>
      <c r="B2" s="4" t="inlineStr">
        <is>
          <t>라온텍</t>
        </is>
      </c>
      <c r="C2" s="2" t="inlineStr">
        <is>
          <t>코스닥</t>
        </is>
      </c>
      <c r="D2" s="2" t="inlineStr">
        <is>
          <t>418420</t>
        </is>
      </c>
      <c r="E2" s="4" t="inlineStr">
        <is>
          <t xml:space="preserve">정기주주총회결과              </t>
        </is>
      </c>
      <c r="F2" s="4" t="inlineStr">
        <is>
          <t>라온텍</t>
        </is>
      </c>
      <c r="G2" s="2" t="inlineStr">
        <is>
          <t>20260326900748</t>
        </is>
      </c>
      <c r="H2" s="3">
        <f>HYPERLINK("https://dart.fss.or.kr/dsaf001/main.do?rcpNo=20260326900748", "공시열람")</f>
        <v/>
      </c>
    </row>
    <row r="3">
      <c r="A3" s="2" t="inlineStr">
        <is>
          <t>2026-03-09</t>
        </is>
      </c>
      <c r="B3" s="4" t="inlineStr">
        <is>
          <t>라온텍</t>
        </is>
      </c>
      <c r="C3" s="2" t="inlineStr">
        <is>
          <t>코스닥</t>
        </is>
      </c>
      <c r="D3" s="2" t="inlineStr">
        <is>
          <t>418420</t>
        </is>
      </c>
      <c r="E3" s="4" t="inlineStr">
        <is>
          <t>주주총회소집공고</t>
        </is>
      </c>
      <c r="F3" s="4" t="inlineStr">
        <is>
          <t>라온텍</t>
        </is>
      </c>
      <c r="G3" s="2" t="inlineStr">
        <is>
          <t>20260309001692</t>
        </is>
      </c>
      <c r="H3" s="3">
        <f>HYPERLINK("https://dart.fss.or.kr/dsaf001/main.do?rcpNo=20260309001692", "공시열람")</f>
        <v/>
      </c>
    </row>
    <row r="4">
      <c r="A4" s="2" t="inlineStr">
        <is>
          <t>2026-03-06 (원공시: 2026-02-25)</t>
        </is>
      </c>
      <c r="B4" s="4" t="inlineStr">
        <is>
          <t>라온텍</t>
        </is>
      </c>
      <c r="C4" s="2" t="inlineStr">
        <is>
          <t>코스닥</t>
        </is>
      </c>
      <c r="D4" s="2" t="inlineStr">
        <is>
          <t>418420</t>
        </is>
      </c>
      <c r="E4" s="4" t="inlineStr">
        <is>
          <t>주주총회소집결의               (정정: 20260306)</t>
        </is>
      </c>
      <c r="F4" s="4" t="inlineStr">
        <is>
          <t>라온텍</t>
        </is>
      </c>
      <c r="G4" s="2" t="inlineStr">
        <is>
          <t>20260306901535</t>
        </is>
      </c>
      <c r="H4" s="3">
        <f>HYPERLINK("https://dart.fss.or.kr/dsaf001/main.do?rcpNo=20260306901535", "공시열람")</f>
        <v/>
      </c>
    </row>
    <row r="5">
      <c r="A5" s="2" t="inlineStr">
        <is>
          <t>2025-03-31</t>
        </is>
      </c>
      <c r="B5" s="4" t="inlineStr">
        <is>
          <t>라온텍</t>
        </is>
      </c>
      <c r="C5" s="2" t="inlineStr">
        <is>
          <t>코스닥</t>
        </is>
      </c>
      <c r="D5" s="2" t="inlineStr">
        <is>
          <t>418420</t>
        </is>
      </c>
      <c r="E5" s="4" t="inlineStr">
        <is>
          <t xml:space="preserve">정기주주총회결과              </t>
        </is>
      </c>
      <c r="F5" s="4" t="inlineStr">
        <is>
          <t>라온텍</t>
        </is>
      </c>
      <c r="G5" s="2" t="inlineStr">
        <is>
          <t>20250331903040</t>
        </is>
      </c>
      <c r="H5" s="3">
        <f>HYPERLINK("https://dart.fss.or.kr/dsaf001/main.do?rcpNo=20250331903040", "공시열람")</f>
        <v/>
      </c>
    </row>
    <row r="6">
      <c r="A6" s="2" t="inlineStr">
        <is>
          <t>2025-03-14</t>
        </is>
      </c>
      <c r="B6" s="4" t="inlineStr">
        <is>
          <t>라온텍</t>
        </is>
      </c>
      <c r="C6" s="2" t="inlineStr">
        <is>
          <t>코스닥</t>
        </is>
      </c>
      <c r="D6" s="2" t="inlineStr">
        <is>
          <t>418420</t>
        </is>
      </c>
      <c r="E6" s="4" t="inlineStr">
        <is>
          <t>[기재정정]주주총회소집공고</t>
        </is>
      </c>
      <c r="F6" s="4" t="inlineStr">
        <is>
          <t>라온텍</t>
        </is>
      </c>
      <c r="G6" s="2" t="inlineStr">
        <is>
          <t>20250314001410</t>
        </is>
      </c>
      <c r="H6" s="3">
        <f>HYPERLINK("https://dart.fss.or.kr/dsaf001/main.do?rcpNo=20250314001410", "공시열람")</f>
        <v/>
      </c>
    </row>
    <row r="7">
      <c r="A7" s="2" t="inlineStr">
        <is>
          <t>2025-03-13</t>
        </is>
      </c>
      <c r="B7" s="4" t="inlineStr">
        <is>
          <t>라온텍</t>
        </is>
      </c>
      <c r="C7" s="2" t="inlineStr">
        <is>
          <t>코스닥</t>
        </is>
      </c>
      <c r="D7" s="2" t="inlineStr">
        <is>
          <t>418420</t>
        </is>
      </c>
      <c r="E7" s="4" t="inlineStr">
        <is>
          <t>주주총회소집공고</t>
        </is>
      </c>
      <c r="F7" s="4" t="inlineStr">
        <is>
          <t>라온텍</t>
        </is>
      </c>
      <c r="G7" s="2" t="inlineStr">
        <is>
          <t>20250313001092</t>
        </is>
      </c>
      <c r="H7" s="3">
        <f>HYPERLINK("https://dart.fss.or.kr/dsaf001/main.do?rcpNo=20250313001092", "공시열람")</f>
        <v/>
      </c>
    </row>
    <row r="8">
      <c r="A8" s="2" t="inlineStr">
        <is>
          <t>2025-02-28</t>
        </is>
      </c>
      <c r="B8" s="4" t="inlineStr">
        <is>
          <t>라온텍</t>
        </is>
      </c>
      <c r="C8" s="2" t="inlineStr">
        <is>
          <t>코스닥</t>
        </is>
      </c>
      <c r="D8" s="2" t="inlineStr">
        <is>
          <t>418420</t>
        </is>
      </c>
      <c r="E8" s="4" t="inlineStr">
        <is>
          <t xml:space="preserve">주주총회소집결의              </t>
        </is>
      </c>
      <c r="F8" s="4" t="inlineStr">
        <is>
          <t>라온텍</t>
        </is>
      </c>
      <c r="G8" s="2" t="inlineStr">
        <is>
          <t>20250228901395</t>
        </is>
      </c>
      <c r="H8" s="3">
        <f>HYPERLINK("https://dart.fss.or.kr/dsaf001/main.do?rcpNo=20250228901395", "공시열람")</f>
        <v/>
      </c>
    </row>
    <row r="9">
      <c r="A9" s="2" t="inlineStr">
        <is>
          <t>2024-03-26</t>
        </is>
      </c>
      <c r="B9" s="4" t="inlineStr">
        <is>
          <t>라온텍</t>
        </is>
      </c>
      <c r="C9" s="2" t="inlineStr">
        <is>
          <t>코스닥</t>
        </is>
      </c>
      <c r="D9" s="2" t="inlineStr">
        <is>
          <t>418420</t>
        </is>
      </c>
      <c r="E9" s="4" t="inlineStr">
        <is>
          <t xml:space="preserve">정기주주총회결과              </t>
        </is>
      </c>
      <c r="F9" s="4" t="inlineStr">
        <is>
          <t>라온텍</t>
        </is>
      </c>
      <c r="G9" s="2" t="inlineStr">
        <is>
          <t>20240326900245</t>
        </is>
      </c>
      <c r="H9" s="3">
        <f>HYPERLINK("https://dart.fss.or.kr/dsaf001/main.do?rcpNo=20240326900245", "공시열람")</f>
        <v/>
      </c>
    </row>
    <row r="10">
      <c r="A10" s="2" t="inlineStr">
        <is>
          <t>2024-03-11</t>
        </is>
      </c>
      <c r="B10" s="4" t="inlineStr">
        <is>
          <t>라온텍</t>
        </is>
      </c>
      <c r="C10" s="2" t="inlineStr">
        <is>
          <t>코스닥</t>
        </is>
      </c>
      <c r="D10" s="2" t="inlineStr">
        <is>
          <t>418420</t>
        </is>
      </c>
      <c r="E10" s="4" t="inlineStr">
        <is>
          <t>주주총회소집공고</t>
        </is>
      </c>
      <c r="F10" s="4" t="inlineStr">
        <is>
          <t>라온텍</t>
        </is>
      </c>
      <c r="G10" s="2" t="inlineStr">
        <is>
          <t>20240311000357</t>
        </is>
      </c>
      <c r="H10" s="3">
        <f>HYPERLINK("https://dart.fss.or.kr/dsaf001/main.do?rcpNo=20240311000357", "공시열람")</f>
        <v/>
      </c>
    </row>
    <row r="11">
      <c r="A11" s="2" t="inlineStr">
        <is>
          <t>2024-02-26</t>
        </is>
      </c>
      <c r="B11" s="4" t="inlineStr">
        <is>
          <t>라온텍</t>
        </is>
      </c>
      <c r="C11" s="2" t="inlineStr">
        <is>
          <t>코스닥</t>
        </is>
      </c>
      <c r="D11" s="2" t="inlineStr">
        <is>
          <t>418420</t>
        </is>
      </c>
      <c r="E11" s="4" t="inlineStr">
        <is>
          <t xml:space="preserve">주주총회소집결의              </t>
        </is>
      </c>
      <c r="F11" s="4" t="inlineStr">
        <is>
          <t>라온텍</t>
        </is>
      </c>
      <c r="G11" s="2" t="inlineStr">
        <is>
          <t>20240226900928</t>
        </is>
      </c>
      <c r="H11" s="3">
        <f>HYPERLINK("https://dart.fss.or.kr/dsaf001/main.do?rcpNo=20240226900928", "공시열람")</f>
        <v/>
      </c>
    </row>
    <row r="12">
      <c r="A12" s="2" t="inlineStr">
        <is>
          <t>2023-03-31</t>
        </is>
      </c>
      <c r="B12" s="4" t="inlineStr">
        <is>
          <t>라온텍</t>
        </is>
      </c>
      <c r="C12" s="2" t="inlineStr">
        <is>
          <t>코스닥</t>
        </is>
      </c>
      <c r="D12" s="2" t="inlineStr">
        <is>
          <t>418420</t>
        </is>
      </c>
      <c r="E12" s="4" t="inlineStr">
        <is>
          <t>정기주주총회결과</t>
        </is>
      </c>
      <c r="F12" s="4" t="inlineStr">
        <is>
          <t>라온텍</t>
        </is>
      </c>
      <c r="G12" s="2" t="inlineStr">
        <is>
          <t>20230331900593</t>
        </is>
      </c>
      <c r="H12" s="3">
        <f>HYPERLINK("https://dart.fss.or.kr/dsaf001/main.do?rcpNo=20230331900593", "공시열람")</f>
        <v/>
      </c>
    </row>
  </sheetData>
  <autoFilter ref="A1:H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hidden="1" width="10" customWidth="1" min="3" max="3"/>
    <col hidden="1" width="10" customWidth="1" min="4" max="4"/>
    <col width="35" customWidth="1" min="5" max="5"/>
    <col width="10" customWidth="1" min="6" max="6"/>
    <col width="18.8" customWidth="1" min="7" max="7"/>
    <col width="10" customWidth="1" min="8" max="8"/>
  </cols>
  <sheetData>
    <row r="1">
      <c r="A1" s="16" t="inlineStr">
        <is>
          <t>접수일자</t>
        </is>
      </c>
      <c r="B1" s="16" t="inlineStr">
        <is>
          <t>회사명</t>
        </is>
      </c>
      <c r="C1" s="16" t="inlineStr">
        <is>
          <t>시장구분</t>
        </is>
      </c>
      <c r="D1" s="16" t="inlineStr">
        <is>
          <t>종목코드</t>
        </is>
      </c>
      <c r="E1" s="16" t="inlineStr">
        <is>
          <t>공시명</t>
        </is>
      </c>
      <c r="F1" s="16" t="inlineStr">
        <is>
          <t>제출인</t>
        </is>
      </c>
      <c r="G1" s="16" t="inlineStr">
        <is>
          <t>접수번호</t>
        </is>
      </c>
      <c r="H1" s="16" t="inlineStr">
        <is>
          <t>DART링크</t>
        </is>
      </c>
    </row>
    <row r="2">
      <c r="A2" s="2" t="inlineStr">
        <is>
          <t>2026-08-27</t>
        </is>
      </c>
      <c r="B2" s="4" t="inlineStr">
        <is>
          <t>라온텍</t>
        </is>
      </c>
      <c r="C2" s="2" t="inlineStr">
        <is>
          <t>코스닥</t>
        </is>
      </c>
      <c r="D2" s="2" t="inlineStr">
        <is>
          <t>418420</t>
        </is>
      </c>
      <c r="E2" s="4" t="inlineStr">
        <is>
          <t>임원ㆍ주요주주특정증권등거래계획보고서</t>
        </is>
      </c>
      <c r="F2" s="4" t="inlineStr">
        <is>
          <t>정민수</t>
        </is>
      </c>
      <c r="G2" s="2" t="inlineStr">
        <is>
          <t>20260827000993</t>
        </is>
      </c>
      <c r="H2" s="3">
        <f>HYPERLINK("https://dart.fss.or.kr/dsaf001/main.do?rcpNo=20260827000993", "공시열람")</f>
        <v/>
      </c>
    </row>
    <row r="3">
      <c r="A3" s="2" t="inlineStr">
        <is>
          <t>2026-03-18</t>
        </is>
      </c>
      <c r="B3" s="4" t="inlineStr">
        <is>
          <t>라온텍</t>
        </is>
      </c>
      <c r="C3" s="2" t="inlineStr">
        <is>
          <t>코스닥</t>
        </is>
      </c>
      <c r="D3" s="2" t="inlineStr">
        <is>
          <t>418420</t>
        </is>
      </c>
      <c r="E3" s="4" t="inlineStr">
        <is>
          <t xml:space="preserve">감사보고서제출              </t>
        </is>
      </c>
      <c r="F3" s="4" t="inlineStr">
        <is>
          <t>라온텍</t>
        </is>
      </c>
      <c r="G3" s="2" t="inlineStr">
        <is>
          <t>20260318901736</t>
        </is>
      </c>
      <c r="H3" s="3">
        <f>HYPERLINK("https://dart.fss.or.kr/dsaf001/main.do?rcpNo=20260318901736", "공시열람")</f>
        <v/>
      </c>
    </row>
    <row r="4">
      <c r="A4" s="2" t="inlineStr">
        <is>
          <t>2026-03-13</t>
        </is>
      </c>
      <c r="B4" s="4" t="inlineStr">
        <is>
          <t>라온텍</t>
        </is>
      </c>
      <c r="C4" s="2" t="inlineStr">
        <is>
          <t>코스닥</t>
        </is>
      </c>
      <c r="D4" s="2" t="inlineStr">
        <is>
          <t>418420</t>
        </is>
      </c>
      <c r="E4" s="4" t="inlineStr">
        <is>
          <t>[첨부정정]의결권대리행사권유참고서류</t>
        </is>
      </c>
      <c r="F4" s="4" t="inlineStr">
        <is>
          <t>라온텍</t>
        </is>
      </c>
      <c r="G4" s="2" t="inlineStr">
        <is>
          <t>20260313001131</t>
        </is>
      </c>
      <c r="H4" s="3">
        <f>HYPERLINK("https://dart.fss.or.kr/dsaf001/main.do?rcpNo=20260313001131", "공시열람")</f>
        <v/>
      </c>
    </row>
    <row r="5">
      <c r="A5" s="2" t="inlineStr">
        <is>
          <t>2026-03-09</t>
        </is>
      </c>
      <c r="B5" s="4" t="inlineStr">
        <is>
          <t>라온텍</t>
        </is>
      </c>
      <c r="C5" s="2" t="inlineStr">
        <is>
          <t>코스닥</t>
        </is>
      </c>
      <c r="D5" s="2" t="inlineStr">
        <is>
          <t>418420</t>
        </is>
      </c>
      <c r="E5" s="4" t="inlineStr">
        <is>
          <t>의결권대리행사권유참고서류</t>
        </is>
      </c>
      <c r="F5" s="4" t="inlineStr">
        <is>
          <t>라온텍</t>
        </is>
      </c>
      <c r="G5" s="2" t="inlineStr">
        <is>
          <t>20260309001735</t>
        </is>
      </c>
      <c r="H5" s="3">
        <f>HYPERLINK("https://dart.fss.or.kr/dsaf001/main.do?rcpNo=20260309001735", "공시열람")</f>
        <v/>
      </c>
    </row>
    <row r="6">
      <c r="A6" s="2" t="inlineStr">
        <is>
          <t>2026-02-11</t>
        </is>
      </c>
      <c r="B6" s="4" t="inlineStr">
        <is>
          <t>라온텍</t>
        </is>
      </c>
      <c r="C6" s="2" t="inlineStr">
        <is>
          <t>코스닥</t>
        </is>
      </c>
      <c r="D6" s="2" t="inlineStr">
        <is>
          <t>418420</t>
        </is>
      </c>
      <c r="E6" s="4" t="inlineStr">
        <is>
          <t xml:space="preserve">기업설명회(IR)개최              </t>
        </is>
      </c>
      <c r="F6" s="4" t="inlineStr">
        <is>
          <t>라온텍</t>
        </is>
      </c>
      <c r="G6" s="2" t="inlineStr">
        <is>
          <t>20260211900921</t>
        </is>
      </c>
      <c r="H6" s="3">
        <f>HYPERLINK("https://dart.fss.or.kr/dsaf001/main.do?rcpNo=20260211900921", "공시열람")</f>
        <v/>
      </c>
    </row>
    <row r="7">
      <c r="A7" s="2" t="inlineStr">
        <is>
          <t>2025-12-15</t>
        </is>
      </c>
      <c r="B7" s="4" t="inlineStr">
        <is>
          <t>라온텍</t>
        </is>
      </c>
      <c r="C7" s="2" t="inlineStr">
        <is>
          <t>코스닥</t>
        </is>
      </c>
      <c r="D7" s="2" t="inlineStr">
        <is>
          <t>418420</t>
        </is>
      </c>
      <c r="E7" s="4" t="inlineStr">
        <is>
          <t xml:space="preserve">주주명부폐쇄기간또는기준일설정              </t>
        </is>
      </c>
      <c r="F7" s="4" t="inlineStr">
        <is>
          <t>라온텍</t>
        </is>
      </c>
      <c r="G7" s="2" t="inlineStr">
        <is>
          <t>20251215900611</t>
        </is>
      </c>
      <c r="H7" s="3">
        <f>HYPERLINK("https://dart.fss.or.kr/dsaf001/main.do?rcpNo=20251215900611", "공시열람")</f>
        <v/>
      </c>
    </row>
    <row r="8">
      <c r="A8" s="2" t="inlineStr">
        <is>
          <t>2025-09-10</t>
        </is>
      </c>
      <c r="B8" s="4" t="inlineStr">
        <is>
          <t>라온텍</t>
        </is>
      </c>
      <c r="C8" s="2" t="inlineStr">
        <is>
          <t>코스닥</t>
        </is>
      </c>
      <c r="D8" s="2" t="inlineStr">
        <is>
          <t>418420</t>
        </is>
      </c>
      <c r="E8" s="4" t="inlineStr">
        <is>
          <t>투자판단관련주요경영사항              ([국책과제 선정] 4K급 고해상도 LEDoS 패널을 위한 CMOS 및 구동 회로 내장 백플레인 설계 기술 개발)</t>
        </is>
      </c>
      <c r="F8" s="4" t="inlineStr">
        <is>
          <t>라온텍</t>
        </is>
      </c>
      <c r="G8" s="2" t="inlineStr">
        <is>
          <t>20250910900149</t>
        </is>
      </c>
      <c r="H8" s="3">
        <f>HYPERLINK("https://dart.fss.or.kr/dsaf001/main.do?rcpNo=20250910900149", "공시열람")</f>
        <v/>
      </c>
    </row>
    <row r="9">
      <c r="A9" s="2" t="inlineStr">
        <is>
          <t>2025-08-26</t>
        </is>
      </c>
      <c r="B9" s="4" t="inlineStr">
        <is>
          <t>라온텍</t>
        </is>
      </c>
      <c r="C9" s="2" t="inlineStr">
        <is>
          <t>코스닥</t>
        </is>
      </c>
      <c r="D9" s="2" t="inlineStr">
        <is>
          <t>418420</t>
        </is>
      </c>
      <c r="E9" s="4" t="inlineStr">
        <is>
          <t>증권발행결과(자율공시)              (제2회차 CB)</t>
        </is>
      </c>
      <c r="F9" s="4" t="inlineStr">
        <is>
          <t>라온텍</t>
        </is>
      </c>
      <c r="G9" s="2" t="inlineStr">
        <is>
          <t>20250826900250</t>
        </is>
      </c>
      <c r="H9" s="3">
        <f>HYPERLINK("https://dart.fss.or.kr/dsaf001/main.do?rcpNo=20250826900250", "공시열람")</f>
        <v/>
      </c>
    </row>
    <row r="10">
      <c r="A10" s="2" t="inlineStr">
        <is>
          <t>2025-05-09</t>
        </is>
      </c>
      <c r="B10" s="4" t="inlineStr">
        <is>
          <t>라온텍</t>
        </is>
      </c>
      <c r="C10" s="2" t="inlineStr">
        <is>
          <t>코스닥</t>
        </is>
      </c>
      <c r="D10" s="2" t="inlineStr">
        <is>
          <t>418420</t>
        </is>
      </c>
      <c r="E10" s="4" t="inlineStr">
        <is>
          <t>[기재정정]투자판단관련주요경영사항              ([국책과제 선정] 초소형 XR글래스용 480 프레임레이트 제어부 내장형 0.2인치 LCoS마이크로디스플레이 기술 개발)</t>
        </is>
      </c>
      <c r="F10" s="4" t="inlineStr">
        <is>
          <t>라온텍</t>
        </is>
      </c>
      <c r="G10" s="2" t="inlineStr">
        <is>
          <t>20250509900739</t>
        </is>
      </c>
      <c r="H10" s="3">
        <f>HYPERLINK("https://dart.fss.or.kr/dsaf001/main.do?rcpNo=20250509900739", "공시열람")</f>
        <v/>
      </c>
    </row>
    <row r="11">
      <c r="A11" s="2" t="inlineStr">
        <is>
          <t>2025-03-31</t>
        </is>
      </c>
      <c r="B11" s="4" t="inlineStr">
        <is>
          <t>라온텍</t>
        </is>
      </c>
      <c r="C11" s="2" t="inlineStr">
        <is>
          <t>코스닥</t>
        </is>
      </c>
      <c r="D11" s="2" t="inlineStr">
        <is>
          <t>418420</t>
        </is>
      </c>
      <c r="E11" s="4" t="inlineStr">
        <is>
          <t>사외이사의선임ㆍ해임또는중도퇴임에관한신고</t>
        </is>
      </c>
      <c r="F11" s="4" t="inlineStr">
        <is>
          <t>라온텍</t>
        </is>
      </c>
      <c r="G11" s="2" t="inlineStr">
        <is>
          <t>20250331003872</t>
        </is>
      </c>
      <c r="H11" s="3">
        <f>HYPERLINK("https://dart.fss.or.kr/dsaf001/main.do?rcpNo=20250331003872", "공시열람")</f>
        <v/>
      </c>
    </row>
    <row r="12">
      <c r="A12" s="2" t="inlineStr">
        <is>
          <t>2025-03-21</t>
        </is>
      </c>
      <c r="B12" s="4" t="inlineStr">
        <is>
          <t>라온텍</t>
        </is>
      </c>
      <c r="C12" s="2" t="inlineStr">
        <is>
          <t>코스닥</t>
        </is>
      </c>
      <c r="D12" s="2" t="inlineStr">
        <is>
          <t>418420</t>
        </is>
      </c>
      <c r="E12" s="4" t="inlineStr">
        <is>
          <t xml:space="preserve">감사보고서제출              </t>
        </is>
      </c>
      <c r="F12" s="4" t="inlineStr">
        <is>
          <t>라온텍</t>
        </is>
      </c>
      <c r="G12" s="2" t="inlineStr">
        <is>
          <t>20250321900826</t>
        </is>
      </c>
      <c r="H12" s="3">
        <f>HYPERLINK("https://dart.fss.or.kr/dsaf001/main.do?rcpNo=20250321900826", "공시열람")</f>
        <v/>
      </c>
    </row>
    <row r="13">
      <c r="A13" s="2" t="inlineStr">
        <is>
          <t>2025-03-14</t>
        </is>
      </c>
      <c r="B13" s="4" t="inlineStr">
        <is>
          <t>라온텍</t>
        </is>
      </c>
      <c r="C13" s="2" t="inlineStr">
        <is>
          <t>코스닥</t>
        </is>
      </c>
      <c r="D13" s="2" t="inlineStr">
        <is>
          <t>418420</t>
        </is>
      </c>
      <c r="E13" s="4" t="inlineStr">
        <is>
          <t>[기재정정]의결권대리행사권유참고서류</t>
        </is>
      </c>
      <c r="F13" s="4" t="inlineStr">
        <is>
          <t>라온텍</t>
        </is>
      </c>
      <c r="G13" s="2" t="inlineStr">
        <is>
          <t>20250314001431</t>
        </is>
      </c>
      <c r="H13" s="3">
        <f>HYPERLINK("https://dart.fss.or.kr/dsaf001/main.do?rcpNo=20250314001431", "공시열람")</f>
        <v/>
      </c>
    </row>
    <row r="14">
      <c r="A14" s="2" t="inlineStr">
        <is>
          <t>2025-03-13</t>
        </is>
      </c>
      <c r="B14" s="4" t="inlineStr">
        <is>
          <t>라온텍</t>
        </is>
      </c>
      <c r="C14" s="2" t="inlineStr">
        <is>
          <t>코스닥</t>
        </is>
      </c>
      <c r="D14" s="2" t="inlineStr">
        <is>
          <t>418420</t>
        </is>
      </c>
      <c r="E14" s="4" t="inlineStr">
        <is>
          <t>의결권대리행사권유참고서류</t>
        </is>
      </c>
      <c r="F14" s="4" t="inlineStr">
        <is>
          <t>라온텍</t>
        </is>
      </c>
      <c r="G14" s="2" t="inlineStr">
        <is>
          <t>20250313001124</t>
        </is>
      </c>
      <c r="H14" s="3">
        <f>HYPERLINK("https://dart.fss.or.kr/dsaf001/main.do?rcpNo=20250313001124", "공시열람")</f>
        <v/>
      </c>
    </row>
    <row r="15">
      <c r="A15" s="2" t="inlineStr">
        <is>
          <t>2025-02-14</t>
        </is>
      </c>
      <c r="B15" s="4" t="inlineStr">
        <is>
          <t>라온텍</t>
        </is>
      </c>
      <c r="C15" s="2" t="inlineStr">
        <is>
          <t>코스닥</t>
        </is>
      </c>
      <c r="D15" s="2" t="inlineStr">
        <is>
          <t>418420</t>
        </is>
      </c>
      <c r="E15" s="4" t="inlineStr">
        <is>
          <t xml:space="preserve">매출액또는손익구조30%(대규모법인은15%)이상변동              </t>
        </is>
      </c>
      <c r="F15" s="4" t="inlineStr">
        <is>
          <t>라온텍</t>
        </is>
      </c>
      <c r="G15" s="2" t="inlineStr">
        <is>
          <t>20250214901264</t>
        </is>
      </c>
      <c r="H15" s="3">
        <f>HYPERLINK("https://dart.fss.or.kr/dsaf001/main.do?rcpNo=20250214901264", "공시열람")</f>
        <v/>
      </c>
    </row>
    <row r="16">
      <c r="A16" s="2" t="inlineStr">
        <is>
          <t>2024-12-11</t>
        </is>
      </c>
      <c r="B16" s="4" t="inlineStr">
        <is>
          <t>라온텍</t>
        </is>
      </c>
      <c r="C16" s="2" t="inlineStr">
        <is>
          <t>코스닥</t>
        </is>
      </c>
      <c r="D16" s="2" t="inlineStr">
        <is>
          <t>418420</t>
        </is>
      </c>
      <c r="E16" s="4" t="inlineStr">
        <is>
          <t>[기재정정]주식매수선택권부여에관한신고</t>
        </is>
      </c>
      <c r="F16" s="4" t="inlineStr">
        <is>
          <t>라온텍</t>
        </is>
      </c>
      <c r="G16" s="2" t="inlineStr">
        <is>
          <t>20241211000233</t>
        </is>
      </c>
      <c r="H16" s="3">
        <f>HYPERLINK("https://dart.fss.or.kr/dsaf001/main.do?rcpNo=20241211000233", "공시열람")</f>
        <v/>
      </c>
    </row>
    <row r="17">
      <c r="A17" s="2" t="inlineStr">
        <is>
          <t>2024-12-11</t>
        </is>
      </c>
      <c r="B17" s="4" t="inlineStr">
        <is>
          <t>라온텍</t>
        </is>
      </c>
      <c r="C17" s="2" t="inlineStr">
        <is>
          <t>코스닥</t>
        </is>
      </c>
      <c r="D17" s="2" t="inlineStr">
        <is>
          <t>418420</t>
        </is>
      </c>
      <c r="E17" s="4" t="inlineStr">
        <is>
          <t xml:space="preserve">주주명부폐쇄기간또는기준일설정              </t>
        </is>
      </c>
      <c r="F17" s="4" t="inlineStr">
        <is>
          <t>라온텍</t>
        </is>
      </c>
      <c r="G17" s="2" t="inlineStr">
        <is>
          <t>20241211900362</t>
        </is>
      </c>
      <c r="H17" s="3">
        <f>HYPERLINK("https://dart.fss.or.kr/dsaf001/main.do?rcpNo=20241211900362", "공시열람")</f>
        <v/>
      </c>
    </row>
    <row r="18">
      <c r="A18" s="2" t="inlineStr">
        <is>
          <t>2024-10-08</t>
        </is>
      </c>
      <c r="B18" s="4" t="inlineStr">
        <is>
          <t>라온텍</t>
        </is>
      </c>
      <c r="C18" s="2" t="inlineStr">
        <is>
          <t>코스닥</t>
        </is>
      </c>
      <c r="D18" s="2" t="inlineStr">
        <is>
          <t>418420</t>
        </is>
      </c>
      <c r="E18" s="4" t="inlineStr">
        <is>
          <t xml:space="preserve">기업설명회(IR)개최              </t>
        </is>
      </c>
      <c r="F18" s="4" t="inlineStr">
        <is>
          <t>라온텍</t>
        </is>
      </c>
      <c r="G18" s="2" t="inlineStr">
        <is>
          <t>20241008900317</t>
        </is>
      </c>
      <c r="H18" s="3">
        <f>HYPERLINK("https://dart.fss.or.kr/dsaf001/main.do?rcpNo=20241008900317", "공시열람")</f>
        <v/>
      </c>
    </row>
    <row r="19">
      <c r="A19" s="2" t="inlineStr">
        <is>
          <t>2024-07-04</t>
        </is>
      </c>
      <c r="B19" s="4" t="inlineStr">
        <is>
          <t>라온텍</t>
        </is>
      </c>
      <c r="C19" s="2" t="inlineStr">
        <is>
          <t>코스닥</t>
        </is>
      </c>
      <c r="D19" s="2" t="inlineStr">
        <is>
          <t>418420</t>
        </is>
      </c>
      <c r="E19" s="4" t="inlineStr">
        <is>
          <t>기타경영사항(자율공시)              (화소 회로 및 이를 포함하는 마이크로 디스플레이 장치)</t>
        </is>
      </c>
      <c r="F19" s="4" t="inlineStr">
        <is>
          <t>라온텍</t>
        </is>
      </c>
      <c r="G19" s="2" t="inlineStr">
        <is>
          <t>20240704900401</t>
        </is>
      </c>
      <c r="H19" s="3">
        <f>HYPERLINK("https://dart.fss.or.kr/dsaf001/main.do?rcpNo=20240704900401", "공시열람")</f>
        <v/>
      </c>
    </row>
    <row r="20">
      <c r="A20" s="2" t="inlineStr">
        <is>
          <t>2024-04-08</t>
        </is>
      </c>
      <c r="B20" s="4" t="inlineStr">
        <is>
          <t>라온텍</t>
        </is>
      </c>
      <c r="C20" s="2" t="inlineStr">
        <is>
          <t>코스닥</t>
        </is>
      </c>
      <c r="D20" s="2" t="inlineStr">
        <is>
          <t>418420</t>
        </is>
      </c>
      <c r="E20" s="4" t="inlineStr">
        <is>
          <t xml:space="preserve">주식매수선택권행사              </t>
        </is>
      </c>
      <c r="F20" s="4" t="inlineStr">
        <is>
          <t>라온텍</t>
        </is>
      </c>
      <c r="G20" s="2" t="inlineStr">
        <is>
          <t>20240408900499</t>
        </is>
      </c>
      <c r="H20" s="3">
        <f>HYPERLINK("https://dart.fss.or.kr/dsaf001/main.do?rcpNo=20240408900499", "공시열람")</f>
        <v/>
      </c>
    </row>
    <row r="21">
      <c r="A21" s="2" t="inlineStr">
        <is>
          <t>2024-04-01</t>
        </is>
      </c>
      <c r="B21" s="4" t="inlineStr">
        <is>
          <t>라온텍</t>
        </is>
      </c>
      <c r="C21" s="2" t="inlineStr">
        <is>
          <t>코스닥</t>
        </is>
      </c>
      <c r="D21" s="2" t="inlineStr">
        <is>
          <t>418420</t>
        </is>
      </c>
      <c r="E21" s="4" t="inlineStr">
        <is>
          <t>[기재정정]투자판단관련주요경영사항              ([국책과제 선정] 초소형 XR글래스용 480 프레임레이트 제어부 내장형 0.2인치 LCoS마이크로디스플레이 기술 개발)</t>
        </is>
      </c>
      <c r="F21" s="4" t="inlineStr">
        <is>
          <t>라온텍</t>
        </is>
      </c>
      <c r="G21" s="2" t="inlineStr">
        <is>
          <t>20240401900406</t>
        </is>
      </c>
      <c r="H21" s="3">
        <f>HYPERLINK("https://dart.fss.or.kr/dsaf001/main.do?rcpNo=20240401900406", "공시열람")</f>
        <v/>
      </c>
    </row>
    <row r="22">
      <c r="A22" s="2" t="inlineStr">
        <is>
          <t>2024-03-18</t>
        </is>
      </c>
      <c r="B22" s="4" t="inlineStr">
        <is>
          <t>라온텍</t>
        </is>
      </c>
      <c r="C22" s="2" t="inlineStr">
        <is>
          <t>코스닥</t>
        </is>
      </c>
      <c r="D22" s="2" t="inlineStr">
        <is>
          <t>418420</t>
        </is>
      </c>
      <c r="E22" s="4" t="inlineStr">
        <is>
          <t xml:space="preserve">감사보고서제출              </t>
        </is>
      </c>
      <c r="F22" s="4" t="inlineStr">
        <is>
          <t>라온텍</t>
        </is>
      </c>
      <c r="G22" s="2" t="inlineStr">
        <is>
          <t>20240318900354</t>
        </is>
      </c>
      <c r="H22" s="3">
        <f>HYPERLINK("https://dart.fss.or.kr/dsaf001/main.do?rcpNo=20240318900354", "공시열람")</f>
        <v/>
      </c>
    </row>
    <row r="23">
      <c r="A23" s="2" t="inlineStr">
        <is>
          <t>2024-03-12</t>
        </is>
      </c>
      <c r="B23" s="4" t="inlineStr">
        <is>
          <t>라온텍</t>
        </is>
      </c>
      <c r="C23" s="2" t="inlineStr">
        <is>
          <t>코스닥</t>
        </is>
      </c>
      <c r="D23" s="2" t="inlineStr">
        <is>
          <t>418420</t>
        </is>
      </c>
      <c r="E23" s="4" t="inlineStr">
        <is>
          <t>[첨부정정]의결권대리행사권유참고서류</t>
        </is>
      </c>
      <c r="F23" s="4" t="inlineStr">
        <is>
          <t>라온텍</t>
        </is>
      </c>
      <c r="G23" s="2" t="inlineStr">
        <is>
          <t>20240312000472</t>
        </is>
      </c>
      <c r="H23" s="3">
        <f>HYPERLINK("https://dart.fss.or.kr/dsaf001/main.do?rcpNo=20240312000472", "공시열람")</f>
        <v/>
      </c>
    </row>
    <row r="24">
      <c r="A24" s="2" t="inlineStr">
        <is>
          <t>2024-03-11</t>
        </is>
      </c>
      <c r="B24" s="4" t="inlineStr">
        <is>
          <t>라온텍</t>
        </is>
      </c>
      <c r="C24" s="2" t="inlineStr">
        <is>
          <t>코스닥</t>
        </is>
      </c>
      <c r="D24" s="2" t="inlineStr">
        <is>
          <t>418420</t>
        </is>
      </c>
      <c r="E24" s="4" t="inlineStr">
        <is>
          <t>의결권대리행사권유참고서류</t>
        </is>
      </c>
      <c r="F24" s="4" t="inlineStr">
        <is>
          <t>라온텍</t>
        </is>
      </c>
      <c r="G24" s="2" t="inlineStr">
        <is>
          <t>20240311000382</t>
        </is>
      </c>
      <c r="H24" s="3">
        <f>HYPERLINK("https://dart.fss.or.kr/dsaf001/main.do?rcpNo=20240311000382", "공시열람")</f>
        <v/>
      </c>
    </row>
    <row r="25">
      <c r="A25" s="2" t="inlineStr">
        <is>
          <t>2024-03-11</t>
        </is>
      </c>
      <c r="B25" s="4" t="inlineStr">
        <is>
          <t>라온텍</t>
        </is>
      </c>
      <c r="C25" s="2" t="inlineStr">
        <is>
          <t>코스닥</t>
        </is>
      </c>
      <c r="D25" s="2" t="inlineStr">
        <is>
          <t>418420</t>
        </is>
      </c>
      <c r="E25" s="4" t="inlineStr">
        <is>
          <t xml:space="preserve">[기재정정]매출액또는손익구조30%(대규모법인은15%)이상변동              </t>
        </is>
      </c>
      <c r="F25" s="4" t="inlineStr">
        <is>
          <t>라온텍</t>
        </is>
      </c>
      <c r="G25" s="2" t="inlineStr">
        <is>
          <t>20240311900891</t>
        </is>
      </c>
      <c r="H25" s="3">
        <f>HYPERLINK("https://dart.fss.or.kr/dsaf001/main.do?rcpNo=20240311900891", "공시열람")</f>
        <v/>
      </c>
    </row>
    <row r="26">
      <c r="A26" s="2" t="inlineStr">
        <is>
          <t>2024-02-26</t>
        </is>
      </c>
      <c r="B26" s="4" t="inlineStr">
        <is>
          <t>라온텍</t>
        </is>
      </c>
      <c r="C26" s="2" t="inlineStr">
        <is>
          <t>코스닥</t>
        </is>
      </c>
      <c r="D26" s="2" t="inlineStr">
        <is>
          <t>418420</t>
        </is>
      </c>
      <c r="E26" s="4" t="inlineStr">
        <is>
          <t>주식매수선택권부여에관한신고</t>
        </is>
      </c>
      <c r="F26" s="4" t="inlineStr">
        <is>
          <t>라온텍</t>
        </is>
      </c>
      <c r="G26" s="2" t="inlineStr">
        <is>
          <t>20240226005740</t>
        </is>
      </c>
      <c r="H26" s="3">
        <f>HYPERLINK("https://dart.fss.or.kr/dsaf001/main.do?rcpNo=20240226005740", "공시열람")</f>
        <v/>
      </c>
    </row>
    <row r="27">
      <c r="A27" s="2" t="inlineStr">
        <is>
          <t>2024-02-08</t>
        </is>
      </c>
      <c r="B27" s="4" t="inlineStr">
        <is>
          <t>라온텍</t>
        </is>
      </c>
      <c r="C27" s="2" t="inlineStr">
        <is>
          <t>코스닥</t>
        </is>
      </c>
      <c r="D27" s="2" t="inlineStr">
        <is>
          <t>418420</t>
        </is>
      </c>
      <c r="E27" s="4" t="inlineStr">
        <is>
          <t xml:space="preserve">매출액또는손익구조30%(대규모법인은15%)이상변동              </t>
        </is>
      </c>
      <c r="F27" s="4" t="inlineStr">
        <is>
          <t>라온텍</t>
        </is>
      </c>
      <c r="G27" s="2" t="inlineStr">
        <is>
          <t>20240208900913</t>
        </is>
      </c>
      <c r="H27" s="3">
        <f>HYPERLINK("https://dart.fss.or.kr/dsaf001/main.do?rcpNo=20240208900913", "공시열람")</f>
        <v/>
      </c>
    </row>
    <row r="28">
      <c r="A28" s="2" t="inlineStr">
        <is>
          <t>2023-12-12</t>
        </is>
      </c>
      <c r="B28" s="4" t="inlineStr">
        <is>
          <t>라온텍</t>
        </is>
      </c>
      <c r="C28" s="2" t="inlineStr">
        <is>
          <t>코스닥</t>
        </is>
      </c>
      <c r="D28" s="2" t="inlineStr">
        <is>
          <t>418420</t>
        </is>
      </c>
      <c r="E28" s="4" t="inlineStr">
        <is>
          <t>주주명부폐쇄기간또는기준일설정</t>
        </is>
      </c>
      <c r="F28" s="4" t="inlineStr">
        <is>
          <t>라온텍</t>
        </is>
      </c>
      <c r="G28" s="2" t="inlineStr">
        <is>
          <t>20231212900271</t>
        </is>
      </c>
      <c r="H28" s="3">
        <f>HYPERLINK("https://dart.fss.or.kr/dsaf001/main.do?rcpNo=20231212900271", "공시열람")</f>
        <v/>
      </c>
    </row>
    <row r="29">
      <c r="A29" s="2" t="inlineStr">
        <is>
          <t>2023-09-06</t>
        </is>
      </c>
      <c r="B29" s="4" t="inlineStr">
        <is>
          <t>라온텍</t>
        </is>
      </c>
      <c r="C29" s="2" t="inlineStr">
        <is>
          <t>코스닥</t>
        </is>
      </c>
      <c r="D29" s="2" t="inlineStr">
        <is>
          <t>418420</t>
        </is>
      </c>
      <c r="E29" s="4" t="inlineStr">
        <is>
          <t>투자판단관련주요경영사항([국책과제 선정] 초소형 XR글래스용 480 프레임레이트 제어부 내장형 0.2인치 LCoS마이크로디스플레이 기술 개발)</t>
        </is>
      </c>
      <c r="F29" s="4" t="inlineStr">
        <is>
          <t>라온텍</t>
        </is>
      </c>
      <c r="G29" s="2" t="inlineStr">
        <is>
          <t>20230906900371</t>
        </is>
      </c>
      <c r="H29" s="3">
        <f>HYPERLINK("https://dart.fss.or.kr/dsaf001/main.do?rcpNo=20230906900371", "공시열람")</f>
        <v/>
      </c>
    </row>
    <row r="30">
      <c r="A30" s="2" t="inlineStr">
        <is>
          <t>2023-08-11</t>
        </is>
      </c>
      <c r="B30" s="4" t="inlineStr">
        <is>
          <t>라온텍</t>
        </is>
      </c>
      <c r="C30" s="2" t="inlineStr">
        <is>
          <t>코스닥</t>
        </is>
      </c>
      <c r="D30" s="2" t="inlineStr">
        <is>
          <t>418420</t>
        </is>
      </c>
      <c r="E30" s="4" t="inlineStr">
        <is>
          <t>기업설명회(IR)개최</t>
        </is>
      </c>
      <c r="F30" s="4" t="inlineStr">
        <is>
          <t>라온텍</t>
        </is>
      </c>
      <c r="G30" s="2" t="inlineStr">
        <is>
          <t>20230811900439</t>
        </is>
      </c>
      <c r="H30" s="3">
        <f>HYPERLINK("https://dart.fss.or.kr/dsaf001/main.do?rcpNo=20230811900439", "공시열람")</f>
        <v/>
      </c>
    </row>
    <row r="31">
      <c r="A31" s="2" t="inlineStr">
        <is>
          <t>2023-07-05</t>
        </is>
      </c>
      <c r="B31" s="4" t="inlineStr">
        <is>
          <t>라온텍</t>
        </is>
      </c>
      <c r="C31" s="2" t="inlineStr">
        <is>
          <t>코스닥</t>
        </is>
      </c>
      <c r="D31" s="2" t="inlineStr">
        <is>
          <t>418420</t>
        </is>
      </c>
      <c r="E31" s="4" t="inlineStr">
        <is>
          <t>본점소재지변경</t>
        </is>
      </c>
      <c r="F31" s="4" t="inlineStr">
        <is>
          <t>라온텍</t>
        </is>
      </c>
      <c r="G31" s="2" t="inlineStr">
        <is>
          <t>20230705900112</t>
        </is>
      </c>
      <c r="H31" s="3">
        <f>HYPERLINK("https://dart.fss.or.kr/dsaf001/main.do?rcpNo=20230705900112", "공시열람")</f>
        <v/>
      </c>
    </row>
    <row r="32">
      <c r="A32" s="2" t="inlineStr">
        <is>
          <t>2023-06-13</t>
        </is>
      </c>
      <c r="B32" s="4" t="inlineStr">
        <is>
          <t>라온텍</t>
        </is>
      </c>
      <c r="C32" s="2" t="inlineStr">
        <is>
          <t>코스닥</t>
        </is>
      </c>
      <c r="D32" s="2" t="inlineStr">
        <is>
          <t>418420</t>
        </is>
      </c>
      <c r="E32" s="4" t="inlineStr">
        <is>
          <t>전환청구권행사(제1회차)</t>
        </is>
      </c>
      <c r="F32" s="4" t="inlineStr">
        <is>
          <t>라온텍</t>
        </is>
      </c>
      <c r="G32" s="2" t="inlineStr">
        <is>
          <t>20230613900313</t>
        </is>
      </c>
      <c r="H32" s="3">
        <f>HYPERLINK("https://dart.fss.or.kr/dsaf001/main.do?rcpNo=20230613900313", "공시열람")</f>
        <v/>
      </c>
    </row>
    <row r="33">
      <c r="A33" s="2" t="inlineStr">
        <is>
          <t>2023-03-23</t>
        </is>
      </c>
      <c r="B33" s="4" t="inlineStr">
        <is>
          <t>라온텍</t>
        </is>
      </c>
      <c r="C33" s="2" t="inlineStr">
        <is>
          <t>코스닥</t>
        </is>
      </c>
      <c r="D33" s="2" t="inlineStr">
        <is>
          <t>418420</t>
        </is>
      </c>
      <c r="E33" s="4" t="inlineStr">
        <is>
          <t>감사보고서제출</t>
        </is>
      </c>
      <c r="F33" s="4" t="inlineStr">
        <is>
          <t>라온텍</t>
        </is>
      </c>
      <c r="G33" s="2" t="inlineStr">
        <is>
          <t>20230323900201</t>
        </is>
      </c>
      <c r="H33" s="3">
        <f>HYPERLINK("https://dart.fss.or.kr/dsaf001/main.do?rcpNo=20230323900201", "공시열람")</f>
        <v/>
      </c>
    </row>
    <row r="34">
      <c r="A34" s="2" t="inlineStr">
        <is>
          <t>2023-02-21</t>
        </is>
      </c>
      <c r="B34" s="4" t="inlineStr">
        <is>
          <t>라온텍</t>
        </is>
      </c>
      <c r="C34" s="2" t="inlineStr">
        <is>
          <t>코스닥</t>
        </is>
      </c>
      <c r="D34" s="2" t="inlineStr">
        <is>
          <t>418420</t>
        </is>
      </c>
      <c r="E34" s="4" t="inlineStr">
        <is>
          <t>증권발행실적보고서(합병등)</t>
        </is>
      </c>
      <c r="F34" s="4" t="inlineStr">
        <is>
          <t>라온텍</t>
        </is>
      </c>
      <c r="G34" s="2" t="inlineStr">
        <is>
          <t>20230221000674</t>
        </is>
      </c>
      <c r="H34" s="3">
        <f>HYPERLINK("https://dart.fss.or.kr/dsaf001/main.do?rcpNo=20230221000674", "공시열람")</f>
        <v/>
      </c>
    </row>
    <row r="35">
      <c r="A35" s="2" t="inlineStr">
        <is>
          <t>2022-12-19</t>
        </is>
      </c>
      <c r="B35" s="4" t="inlineStr">
        <is>
          <t>라온텍</t>
        </is>
      </c>
      <c r="C35" s="2" t="inlineStr">
        <is>
          <t>코스닥</t>
        </is>
      </c>
      <c r="D35" s="2" t="inlineStr">
        <is>
          <t>418420</t>
        </is>
      </c>
      <c r="E35" s="4" t="inlineStr">
        <is>
          <t>투자설명서</t>
        </is>
      </c>
      <c r="F35" s="4" t="inlineStr">
        <is>
          <t>라온텍</t>
        </is>
      </c>
      <c r="G35" s="2" t="inlineStr">
        <is>
          <t>20221219000067</t>
        </is>
      </c>
      <c r="H35" s="3">
        <f>HYPERLINK("https://dart.fss.or.kr/dsaf001/main.do?rcpNo=20221219000067", "공시열람")</f>
        <v/>
      </c>
    </row>
    <row r="36">
      <c r="A36" s="2" t="inlineStr">
        <is>
          <t>2022-12-07</t>
        </is>
      </c>
      <c r="B36" s="4" t="inlineStr">
        <is>
          <t>라온텍</t>
        </is>
      </c>
      <c r="C36" s="2" t="inlineStr">
        <is>
          <t>코스닥</t>
        </is>
      </c>
      <c r="D36" s="2" t="inlineStr">
        <is>
          <t>418420</t>
        </is>
      </c>
      <c r="E36" s="4" t="inlineStr">
        <is>
          <t>[기재정정]증권신고서(합병)</t>
        </is>
      </c>
      <c r="F36" s="4" t="inlineStr">
        <is>
          <t>라온텍</t>
        </is>
      </c>
      <c r="G36" s="2" t="inlineStr">
        <is>
          <t>20221207000147</t>
        </is>
      </c>
      <c r="H36" s="3">
        <f>HYPERLINK("https://dart.fss.or.kr/dsaf001/main.do?rcpNo=20221207000147", "공시열람")</f>
        <v/>
      </c>
    </row>
    <row r="37">
      <c r="A37" s="2" t="inlineStr">
        <is>
          <t>2022-11-28</t>
        </is>
      </c>
      <c r="B37" s="4" t="inlineStr">
        <is>
          <t>라온텍</t>
        </is>
      </c>
      <c r="C37" s="2" t="inlineStr">
        <is>
          <t>코스닥</t>
        </is>
      </c>
      <c r="D37" s="2" t="inlineStr">
        <is>
          <t>418420</t>
        </is>
      </c>
      <c r="E37" s="4" t="inlineStr">
        <is>
          <t>[기재정정]증권신고서(합병)</t>
        </is>
      </c>
      <c r="F37" s="4" t="inlineStr">
        <is>
          <t>라온텍</t>
        </is>
      </c>
      <c r="G37" s="2" t="inlineStr">
        <is>
          <t>20221128000182</t>
        </is>
      </c>
      <c r="H37" s="3">
        <f>HYPERLINK("https://dart.fss.or.kr/dsaf001/main.do?rcpNo=20221128000182", "공시열람")</f>
        <v/>
      </c>
    </row>
    <row r="38">
      <c r="A38" s="2" t="inlineStr">
        <is>
          <t>2022-11-17</t>
        </is>
      </c>
      <c r="B38" s="4" t="inlineStr">
        <is>
          <t>라온텍</t>
        </is>
      </c>
      <c r="C38" s="2" t="inlineStr">
        <is>
          <t>코스닥</t>
        </is>
      </c>
      <c r="D38" s="2" t="inlineStr">
        <is>
          <t>418420</t>
        </is>
      </c>
      <c r="E38" s="4" t="inlineStr">
        <is>
          <t>[기재정정]증권신고서(합병)</t>
        </is>
      </c>
      <c r="F38" s="4" t="inlineStr">
        <is>
          <t>라온텍</t>
        </is>
      </c>
      <c r="G38" s="2" t="inlineStr">
        <is>
          <t>20221117000285</t>
        </is>
      </c>
      <c r="H38" s="3">
        <f>HYPERLINK("https://dart.fss.or.kr/dsaf001/main.do?rcpNo=20221117000285", "공시열람")</f>
        <v/>
      </c>
    </row>
    <row r="39">
      <c r="A39" s="2" t="inlineStr">
        <is>
          <t>2022-11-09</t>
        </is>
      </c>
      <c r="B39" s="4" t="inlineStr">
        <is>
          <t>라온텍</t>
        </is>
      </c>
      <c r="C39" s="2" t="inlineStr">
        <is>
          <t>코스닥</t>
        </is>
      </c>
      <c r="D39" s="2" t="inlineStr">
        <is>
          <t>418420</t>
        </is>
      </c>
      <c r="E39" s="4" t="inlineStr">
        <is>
          <t>[첨부추가]증권신고서(합병)</t>
        </is>
      </c>
      <c r="F39" s="4" t="inlineStr">
        <is>
          <t>라온텍</t>
        </is>
      </c>
      <c r="G39" s="2" t="inlineStr">
        <is>
          <t>20221109000305</t>
        </is>
      </c>
      <c r="H39" s="3">
        <f>HYPERLINK("https://dart.fss.or.kr/dsaf001/main.do?rcpNo=20221109000305", "공시열람")</f>
        <v/>
      </c>
    </row>
    <row r="40">
      <c r="A40" s="2" t="inlineStr">
        <is>
          <t>2022-04-01</t>
        </is>
      </c>
      <c r="B40" s="4" t="inlineStr">
        <is>
          <t>라온텍</t>
        </is>
      </c>
      <c r="C40" s="2" t="inlineStr">
        <is>
          <t>코스닥</t>
        </is>
      </c>
      <c r="D40" s="2" t="inlineStr">
        <is>
          <t>418420</t>
        </is>
      </c>
      <c r="E40" s="4" t="inlineStr">
        <is>
          <t>감사보고서 (2021.12)</t>
        </is>
      </c>
      <c r="F40" s="4" t="inlineStr">
        <is>
          <t>삼덕회계법인</t>
        </is>
      </c>
      <c r="G40" s="2" t="inlineStr">
        <is>
          <t>20220401002184</t>
        </is>
      </c>
      <c r="H40" s="3">
        <f>HYPERLINK("https://dart.fss.or.kr/dsaf001/main.do?rcpNo=20220401002184", "공시열람")</f>
        <v/>
      </c>
    </row>
  </sheetData>
  <autoFilter ref="A1:H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2026-09-08T10:21:26Z</dcterms:created>
  <dcterms:modified xmlns:dcterms="http://purl.org/dc/terms/" xmlns:xsi="http://www.w3.org/2001/XMLSchema-instance" xsi:type="dcterms:W3CDTF">2026-09-08T10:24:37Z</dcterms:modified>
</cp:coreProperties>
</file>