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시목록(전체)" sheetId="1" state="visible" r:id="rId1"/>
    <sheet xmlns:r="http://schemas.openxmlformats.org/officeDocument/2006/relationships" name="실적(분기)" sheetId="2" state="visible" r:id="rId2"/>
    <sheet xmlns:r="http://schemas.openxmlformats.org/officeDocument/2006/relationships" name="품목별매출(정기보고서)" sheetId="3" state="visible" r:id="rId3"/>
    <sheet xmlns:r="http://schemas.openxmlformats.org/officeDocument/2006/relationships" name="자금조달_증자" sheetId="4" state="visible" r:id="rId4"/>
    <sheet xmlns:r="http://schemas.openxmlformats.org/officeDocument/2006/relationships" name="영업활동_계약" sheetId="5" state="visible" r:id="rId5"/>
    <sheet xmlns:r="http://schemas.openxmlformats.org/officeDocument/2006/relationships" name="5%_임원보고" sheetId="6" state="visible" r:id="rId6"/>
    <sheet xmlns:r="http://schemas.openxmlformats.org/officeDocument/2006/relationships" name="5%_임원보고 원본" sheetId="7" state="visible" r:id="rId7"/>
    <sheet xmlns:r="http://schemas.openxmlformats.org/officeDocument/2006/relationships" name="재무_자기주식" sheetId="8" state="visible" r:id="rId8"/>
    <sheet xmlns:r="http://schemas.openxmlformats.org/officeDocument/2006/relationships" name="경영권_지배구조" sheetId="9" state="visible" r:id="rId9"/>
    <sheet xmlns:r="http://schemas.openxmlformats.org/officeDocument/2006/relationships" name="기타공시" sheetId="10" state="visible" r:id="rId10"/>
  </sheets>
  <definedNames>
    <definedName name="_xlnm._FilterDatabase" localSheetId="0" hidden="1">'공시목록(전체)'!$A$1:$H$184</definedName>
    <definedName name="_xlnm._FilterDatabase" localSheetId="3" hidden="1">'자금조달_증자'!$A$1:$T$2</definedName>
    <definedName name="_xlnm._FilterDatabase" localSheetId="4" hidden="1">'영업활동_계약'!$A$1:$P$24</definedName>
    <definedName name="_xlnm._FilterDatabase" localSheetId="5" hidden="1">'5%_임원보고'!$A$1:$R$114</definedName>
    <definedName name="_xlnm._FilterDatabase" localSheetId="6" hidden="1">'5%_임원보고 원본'!$A$1:$R$148</definedName>
    <definedName name="_xlnm._FilterDatabase" localSheetId="7" hidden="1">'재무_자기주식'!$A$1:$Q$2</definedName>
    <definedName name="_xlnm._FilterDatabase" localSheetId="8" hidden="1">'경영권_지배구조'!$A$1:$H$16</definedName>
    <definedName name="_xlnm._FilterDatabase" localSheetId="9" hidden="1">'기타공시'!$A$1:$H$38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₩#,##0"/>
    <numFmt numFmtId="165" formatCode="0.00&quot;%&quot;"/>
    <numFmt numFmtId="166" formatCode="#,##0;[Red]-#,##0"/>
  </numFmts>
  <fonts count="11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0000FF"/>
      <sz val="9"/>
      <u val="single"/>
    </font>
    <font>
      <name val="Malgun Gothic"/>
      <color rgb="000000FF"/>
      <sz val="9"/>
    </font>
    <font>
      <name val="Malgun Gothic"/>
      <color rgb="00FF0000"/>
      <sz val="9"/>
    </font>
    <font>
      <name val="맑은 고딕"/>
      <color rgb="000563C1"/>
      <sz val="10"/>
      <u val="single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333F48"/>
        <bgColor rgb="00333F48"/>
      </patternFill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 wrapText="1"/>
    </xf>
    <xf numFmtId="165" fontId="3" fillId="0" borderId="2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2" fontId="3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 wrapText="1"/>
    </xf>
    <xf numFmtId="0" fontId="9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166" fontId="9" fillId="0" borderId="3" applyAlignment="1" pivotButton="0" quotePrefix="0" xfId="0">
      <alignment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rt.fss.or.kr/dsaf001/main.do?rcpNo=20260914000336" TargetMode="External" Id="rId1"/><Relationship Type="http://schemas.openxmlformats.org/officeDocument/2006/relationships/hyperlink" Target="https://dart.fss.or.kr/dsaf001/main.do?rcpNo=20260903000301" TargetMode="External" Id="rId2"/><Relationship Type="http://schemas.openxmlformats.org/officeDocument/2006/relationships/hyperlink" Target="https://dart.fss.or.kr/dsaf001/main.do?rcpNo=20260826000655" TargetMode="External" Id="rId3"/><Relationship Type="http://schemas.openxmlformats.org/officeDocument/2006/relationships/hyperlink" Target="https://dart.fss.or.kr/dsaf001/main.do?rcpNo=20260814003050" TargetMode="External" Id="rId4"/><Relationship Type="http://schemas.openxmlformats.org/officeDocument/2006/relationships/hyperlink" Target="https://dart.fss.or.kr/dsaf001/main.do?rcpNo=20260807000493" TargetMode="External" Id="rId5"/><Relationship Type="http://schemas.openxmlformats.org/officeDocument/2006/relationships/hyperlink" Target="https://dart.fss.or.kr/dsaf001/main.do?rcpNo=20260807000483" TargetMode="External" Id="rId6"/><Relationship Type="http://schemas.openxmlformats.org/officeDocument/2006/relationships/hyperlink" Target="https://dart.fss.or.kr/dsaf001/main.do?rcpNo=20260710000433" TargetMode="External" Id="rId7"/><Relationship Type="http://schemas.openxmlformats.org/officeDocument/2006/relationships/hyperlink" Target="https://dart.fss.or.kr/dsaf001/main.do?rcpNo=20260708000386" TargetMode="External" Id="rId8"/><Relationship Type="http://schemas.openxmlformats.org/officeDocument/2006/relationships/hyperlink" Target="https://dart.fss.or.kr/dsaf001/main.do?rcpNo=20260707900701" TargetMode="External" Id="rId9"/><Relationship Type="http://schemas.openxmlformats.org/officeDocument/2006/relationships/hyperlink" Target="https://dart.fss.or.kr/dsaf001/main.do?rcpNo=20260611900165" TargetMode="External" Id="rId10"/><Relationship Type="http://schemas.openxmlformats.org/officeDocument/2006/relationships/hyperlink" Target="https://dart.fss.or.kr/dsaf001/main.do?rcpNo=20260610000236" TargetMode="External" Id="rId11"/><Relationship Type="http://schemas.openxmlformats.org/officeDocument/2006/relationships/hyperlink" Target="https://dart.fss.or.kr/dsaf001/main.do?rcpNo=20260528000976" TargetMode="External" Id="rId12"/><Relationship Type="http://schemas.openxmlformats.org/officeDocument/2006/relationships/hyperlink" Target="https://dart.fss.or.kr/dsaf001/main.do?rcpNo=20260515001874" TargetMode="External" Id="rId13"/><Relationship Type="http://schemas.openxmlformats.org/officeDocument/2006/relationships/hyperlink" Target="https://dart.fss.or.kr/dsaf001/main.do?rcpNo=20260506000551" TargetMode="External" Id="rId14"/><Relationship Type="http://schemas.openxmlformats.org/officeDocument/2006/relationships/hyperlink" Target="https://dart.fss.or.kr/dsaf001/main.do?rcpNo=20260506000547" TargetMode="External" Id="rId15"/><Relationship Type="http://schemas.openxmlformats.org/officeDocument/2006/relationships/hyperlink" Target="https://dart.fss.or.kr/dsaf001/main.do?rcpNo=20260506000544" TargetMode="External" Id="rId16"/><Relationship Type="http://schemas.openxmlformats.org/officeDocument/2006/relationships/hyperlink" Target="https://dart.fss.or.kr/dsaf001/main.do?rcpNo=20260430901922" TargetMode="External" Id="rId17"/><Relationship Type="http://schemas.openxmlformats.org/officeDocument/2006/relationships/hyperlink" Target="https://dart.fss.or.kr/dsaf001/main.do?rcpNo=20260420900435" TargetMode="External" Id="rId18"/><Relationship Type="http://schemas.openxmlformats.org/officeDocument/2006/relationships/hyperlink" Target="https://dart.fss.or.kr/dsaf001/main.do?rcpNo=20260327901801" TargetMode="External" Id="rId19"/><Relationship Type="http://schemas.openxmlformats.org/officeDocument/2006/relationships/hyperlink" Target="https://dart.fss.or.kr/dsaf001/main.do?rcpNo=20260327001458" TargetMode="External" Id="rId20"/><Relationship Type="http://schemas.openxmlformats.org/officeDocument/2006/relationships/hyperlink" Target="https://dart.fss.or.kr/dsaf001/main.do?rcpNo=20260319901611" TargetMode="External" Id="rId21"/><Relationship Type="http://schemas.openxmlformats.org/officeDocument/2006/relationships/hyperlink" Target="https://dart.fss.or.kr/dsaf001/main.do?rcpNo=20260319001147" TargetMode="External" Id="rId22"/><Relationship Type="http://schemas.openxmlformats.org/officeDocument/2006/relationships/hyperlink" Target="https://dart.fss.or.kr/dsaf001/main.do?rcpNo=20260313000885" TargetMode="External" Id="rId23"/><Relationship Type="http://schemas.openxmlformats.org/officeDocument/2006/relationships/hyperlink" Target="https://dart.fss.or.kr/dsaf001/main.do?rcpNo=20260312901214" TargetMode="External" Id="rId24"/><Relationship Type="http://schemas.openxmlformats.org/officeDocument/2006/relationships/hyperlink" Target="https://dart.fss.or.kr/dsaf001/main.do?rcpNo=20260312900911" TargetMode="External" Id="rId25"/><Relationship Type="http://schemas.openxmlformats.org/officeDocument/2006/relationships/hyperlink" Target="https://dart.fss.or.kr/dsaf001/main.do?rcpNo=20260312000788" TargetMode="External" Id="rId26"/><Relationship Type="http://schemas.openxmlformats.org/officeDocument/2006/relationships/hyperlink" Target="https://dart.fss.or.kr/dsaf001/main.do?rcpNo=20260310002693" TargetMode="External" Id="rId27"/><Relationship Type="http://schemas.openxmlformats.org/officeDocument/2006/relationships/hyperlink" Target="https://dart.fss.or.kr/dsaf001/main.do?rcpNo=20260304001271" TargetMode="External" Id="rId28"/><Relationship Type="http://schemas.openxmlformats.org/officeDocument/2006/relationships/hyperlink" Target="https://dart.fss.or.kr/dsaf001/main.do?rcpNo=20260227007396" TargetMode="External" Id="rId29"/><Relationship Type="http://schemas.openxmlformats.org/officeDocument/2006/relationships/hyperlink" Target="https://dart.fss.or.kr/dsaf001/main.do?rcpNo=20260209901090" TargetMode="External" Id="rId30"/><Relationship Type="http://schemas.openxmlformats.org/officeDocument/2006/relationships/hyperlink" Target="https://dart.fss.or.kr/dsaf001/main.do?rcpNo=20260129000633" TargetMode="External" Id="rId31"/><Relationship Type="http://schemas.openxmlformats.org/officeDocument/2006/relationships/hyperlink" Target="https://dart.fss.or.kr/dsaf001/main.do?rcpNo=20251231900107" TargetMode="External" Id="rId32"/><Relationship Type="http://schemas.openxmlformats.org/officeDocument/2006/relationships/hyperlink" Target="https://dart.fss.or.kr/dsaf001/main.do?rcpNo=20251226900414" TargetMode="External" Id="rId33"/><Relationship Type="http://schemas.openxmlformats.org/officeDocument/2006/relationships/hyperlink" Target="https://dart.fss.or.kr/dsaf001/main.do?rcpNo=20251215901383" TargetMode="External" Id="rId34"/><Relationship Type="http://schemas.openxmlformats.org/officeDocument/2006/relationships/hyperlink" Target="https://dart.fss.or.kr/dsaf001/main.do?rcpNo=20251124000346" TargetMode="External" Id="rId35"/><Relationship Type="http://schemas.openxmlformats.org/officeDocument/2006/relationships/hyperlink" Target="https://dart.fss.or.kr/dsaf001/main.do?rcpNo=20251114002843" TargetMode="External" Id="rId36"/><Relationship Type="http://schemas.openxmlformats.org/officeDocument/2006/relationships/hyperlink" Target="https://dart.fss.or.kr/dsaf001/main.do?rcpNo=20251107000403" TargetMode="External" Id="rId37"/><Relationship Type="http://schemas.openxmlformats.org/officeDocument/2006/relationships/hyperlink" Target="https://dart.fss.or.kr/dsaf001/main.do?rcpNo=20251029900487" TargetMode="External" Id="rId38"/><Relationship Type="http://schemas.openxmlformats.org/officeDocument/2006/relationships/hyperlink" Target="https://dart.fss.or.kr/dsaf001/main.do?rcpNo=20251001000574" TargetMode="External" Id="rId39"/><Relationship Type="http://schemas.openxmlformats.org/officeDocument/2006/relationships/hyperlink" Target="https://dart.fss.or.kr/dsaf001/main.do?rcpNo=20250916900085" TargetMode="External" Id="rId40"/><Relationship Type="http://schemas.openxmlformats.org/officeDocument/2006/relationships/hyperlink" Target="https://dart.fss.or.kr/dsaf001/main.do?rcpNo=20250916000174" TargetMode="External" Id="rId41"/><Relationship Type="http://schemas.openxmlformats.org/officeDocument/2006/relationships/hyperlink" Target="https://dart.fss.or.kr/dsaf001/main.do?rcpNo=20250819900237" TargetMode="External" Id="rId42"/><Relationship Type="http://schemas.openxmlformats.org/officeDocument/2006/relationships/hyperlink" Target="https://dart.fss.or.kr/dsaf001/main.do?rcpNo=20250814003664" TargetMode="External" Id="rId43"/><Relationship Type="http://schemas.openxmlformats.org/officeDocument/2006/relationships/hyperlink" Target="https://dart.fss.or.kr/dsaf001/main.do?rcpNo=20250814003602" TargetMode="External" Id="rId44"/><Relationship Type="http://schemas.openxmlformats.org/officeDocument/2006/relationships/hyperlink" Target="https://dart.fss.or.kr/dsaf001/main.do?rcpNo=20250731900408" TargetMode="External" Id="rId45"/><Relationship Type="http://schemas.openxmlformats.org/officeDocument/2006/relationships/hyperlink" Target="https://dart.fss.or.kr/dsaf001/main.do?rcpNo=20250731900405" TargetMode="External" Id="rId46"/><Relationship Type="http://schemas.openxmlformats.org/officeDocument/2006/relationships/hyperlink" Target="https://dart.fss.or.kr/dsaf001/main.do?rcpNo=20250722000211" TargetMode="External" Id="rId47"/><Relationship Type="http://schemas.openxmlformats.org/officeDocument/2006/relationships/hyperlink" Target="https://dart.fss.or.kr/dsaf001/main.do?rcpNo=20250703000332" TargetMode="External" Id="rId48"/><Relationship Type="http://schemas.openxmlformats.org/officeDocument/2006/relationships/hyperlink" Target="https://dart.fss.or.kr/dsaf001/main.do?rcpNo=20250630900701" TargetMode="External" Id="rId49"/><Relationship Type="http://schemas.openxmlformats.org/officeDocument/2006/relationships/hyperlink" Target="https://dart.fss.or.kr/dsaf001/main.do?rcpNo=20250630900699" TargetMode="External" Id="rId50"/><Relationship Type="http://schemas.openxmlformats.org/officeDocument/2006/relationships/hyperlink" Target="https://dart.fss.or.kr/dsaf001/main.do?rcpNo=20250625000396" TargetMode="External" Id="rId51"/><Relationship Type="http://schemas.openxmlformats.org/officeDocument/2006/relationships/hyperlink" Target="https://dart.fss.or.kr/dsaf001/main.do?rcpNo=20250616000242" TargetMode="External" Id="rId52"/><Relationship Type="http://schemas.openxmlformats.org/officeDocument/2006/relationships/hyperlink" Target="https://dart.fss.or.kr/dsaf001/main.do?rcpNo=20250610900358" TargetMode="External" Id="rId53"/><Relationship Type="http://schemas.openxmlformats.org/officeDocument/2006/relationships/hyperlink" Target="https://dart.fss.or.kr/dsaf001/main.do?rcpNo=20250610900354" TargetMode="External" Id="rId54"/><Relationship Type="http://schemas.openxmlformats.org/officeDocument/2006/relationships/hyperlink" Target="https://dart.fss.or.kr/dsaf001/main.do?rcpNo=20250515002627" TargetMode="External" Id="rId55"/><Relationship Type="http://schemas.openxmlformats.org/officeDocument/2006/relationships/hyperlink" Target="https://dart.fss.or.kr/dsaf001/main.do?rcpNo=20250515002602" TargetMode="External" Id="rId56"/><Relationship Type="http://schemas.openxmlformats.org/officeDocument/2006/relationships/hyperlink" Target="https://dart.fss.or.kr/dsaf001/main.do?rcpNo=20250430901260" TargetMode="External" Id="rId57"/><Relationship Type="http://schemas.openxmlformats.org/officeDocument/2006/relationships/hyperlink" Target="https://dart.fss.or.kr/dsaf001/main.do?rcpNo=20250408001676" TargetMode="External" Id="rId58"/><Relationship Type="http://schemas.openxmlformats.org/officeDocument/2006/relationships/hyperlink" Target="https://dart.fss.or.kr/dsaf001/main.do?rcpNo=20250404003421" TargetMode="External" Id="rId59"/><Relationship Type="http://schemas.openxmlformats.org/officeDocument/2006/relationships/hyperlink" Target="https://dart.fss.or.kr/dsaf001/main.do?rcpNo=20250403900579" TargetMode="External" Id="rId60"/><Relationship Type="http://schemas.openxmlformats.org/officeDocument/2006/relationships/hyperlink" Target="https://dart.fss.or.kr/dsaf001/main.do?rcpNo=20250401003248" TargetMode="External" Id="rId61"/><Relationship Type="http://schemas.openxmlformats.org/officeDocument/2006/relationships/hyperlink" Target="https://dart.fss.or.kr/dsaf001/main.do?rcpNo=20250326900216" TargetMode="External" Id="rId62"/><Relationship Type="http://schemas.openxmlformats.org/officeDocument/2006/relationships/hyperlink" Target="https://dart.fss.or.kr/dsaf001/main.do?rcpNo=20250326000243" TargetMode="External" Id="rId63"/><Relationship Type="http://schemas.openxmlformats.org/officeDocument/2006/relationships/hyperlink" Target="https://dart.fss.or.kr/dsaf001/main.do?rcpNo=20250318901544" TargetMode="External" Id="rId64"/><Relationship Type="http://schemas.openxmlformats.org/officeDocument/2006/relationships/hyperlink" Target="https://dart.fss.or.kr/dsaf001/main.do?rcpNo=20250318001358" TargetMode="External" Id="rId65"/><Relationship Type="http://schemas.openxmlformats.org/officeDocument/2006/relationships/hyperlink" Target="https://dart.fss.or.kr/dsaf001/main.do?rcpNo=20250314001300" TargetMode="External" Id="rId66"/><Relationship Type="http://schemas.openxmlformats.org/officeDocument/2006/relationships/hyperlink" Target="https://dart.fss.or.kr/dsaf001/main.do?rcpNo=20250311901521" TargetMode="External" Id="rId67"/><Relationship Type="http://schemas.openxmlformats.org/officeDocument/2006/relationships/hyperlink" Target="https://dart.fss.or.kr/dsaf001/main.do?rcpNo=20250311001103" TargetMode="External" Id="rId68"/><Relationship Type="http://schemas.openxmlformats.org/officeDocument/2006/relationships/hyperlink" Target="https://dart.fss.or.kr/dsaf001/main.do?rcpNo=20250310000854" TargetMode="External" Id="rId69"/><Relationship Type="http://schemas.openxmlformats.org/officeDocument/2006/relationships/hyperlink" Target="https://dart.fss.or.kr/dsaf001/main.do?rcpNo=20250217001783" TargetMode="External" Id="rId70"/><Relationship Type="http://schemas.openxmlformats.org/officeDocument/2006/relationships/hyperlink" Target="https://dart.fss.or.kr/dsaf001/main.do?rcpNo=20250217001760" TargetMode="External" Id="rId71"/><Relationship Type="http://schemas.openxmlformats.org/officeDocument/2006/relationships/hyperlink" Target="https://dart.fss.or.kr/dsaf001/main.do?rcpNo=20250210901101" TargetMode="External" Id="rId72"/><Relationship Type="http://schemas.openxmlformats.org/officeDocument/2006/relationships/hyperlink" Target="https://dart.fss.or.kr/dsaf001/main.do?rcpNo=20250124000614" TargetMode="External" Id="rId73"/><Relationship Type="http://schemas.openxmlformats.org/officeDocument/2006/relationships/hyperlink" Target="https://dart.fss.or.kr/dsaf001/main.do?rcpNo=20250107000383" TargetMode="External" Id="rId74"/><Relationship Type="http://schemas.openxmlformats.org/officeDocument/2006/relationships/hyperlink" Target="https://dart.fss.or.kr/dsaf001/main.do?rcpNo=20241226900717" TargetMode="External" Id="rId75"/><Relationship Type="http://schemas.openxmlformats.org/officeDocument/2006/relationships/hyperlink" Target="https://dart.fss.or.kr/dsaf001/main.do?rcpNo=20241226900716" TargetMode="External" Id="rId76"/><Relationship Type="http://schemas.openxmlformats.org/officeDocument/2006/relationships/hyperlink" Target="https://dart.fss.or.kr/dsaf001/main.do?rcpNo=20241224900546" TargetMode="External" Id="rId77"/><Relationship Type="http://schemas.openxmlformats.org/officeDocument/2006/relationships/hyperlink" Target="https://dart.fss.or.kr/dsaf001/main.do?rcpNo=20241219000425" TargetMode="External" Id="rId78"/><Relationship Type="http://schemas.openxmlformats.org/officeDocument/2006/relationships/hyperlink" Target="https://dart.fss.or.kr/dsaf001/main.do?rcpNo=20241213901311" TargetMode="External" Id="rId79"/><Relationship Type="http://schemas.openxmlformats.org/officeDocument/2006/relationships/hyperlink" Target="https://dart.fss.or.kr/dsaf001/main.do?rcpNo=20241129001823" TargetMode="External" Id="rId80"/><Relationship Type="http://schemas.openxmlformats.org/officeDocument/2006/relationships/hyperlink" Target="https://dart.fss.or.kr/dsaf001/main.do?rcpNo=20241129001817" TargetMode="External" Id="rId81"/><Relationship Type="http://schemas.openxmlformats.org/officeDocument/2006/relationships/hyperlink" Target="https://dart.fss.or.kr/dsaf001/main.do?rcpNo=20241126000631" TargetMode="External" Id="rId82"/><Relationship Type="http://schemas.openxmlformats.org/officeDocument/2006/relationships/hyperlink" Target="https://dart.fss.or.kr/dsaf001/main.do?rcpNo=20241126000629" TargetMode="External" Id="rId83"/><Relationship Type="http://schemas.openxmlformats.org/officeDocument/2006/relationships/hyperlink" Target="https://dart.fss.or.kr/dsaf001/main.do?rcpNo=20241126000626" TargetMode="External" Id="rId84"/><Relationship Type="http://schemas.openxmlformats.org/officeDocument/2006/relationships/hyperlink" Target="https://dart.fss.or.kr/dsaf001/main.do?rcpNo=20241126000620" TargetMode="External" Id="rId85"/><Relationship Type="http://schemas.openxmlformats.org/officeDocument/2006/relationships/hyperlink" Target="https://dart.fss.or.kr/dsaf001/main.do?rcpNo=20241115900171" TargetMode="External" Id="rId86"/><Relationship Type="http://schemas.openxmlformats.org/officeDocument/2006/relationships/hyperlink" Target="https://dart.fss.or.kr/dsaf001/main.do?rcpNo=20241114901223" TargetMode="External" Id="rId87"/><Relationship Type="http://schemas.openxmlformats.org/officeDocument/2006/relationships/hyperlink" Target="https://dart.fss.or.kr/dsaf001/main.do?rcpNo=20241114901213" TargetMode="External" Id="rId88"/><Relationship Type="http://schemas.openxmlformats.org/officeDocument/2006/relationships/hyperlink" Target="https://dart.fss.or.kr/dsaf001/main.do?rcpNo=20241114000634" TargetMode="External" Id="rId89"/><Relationship Type="http://schemas.openxmlformats.org/officeDocument/2006/relationships/hyperlink" Target="https://dart.fss.or.kr/dsaf001/main.do?rcpNo=20241010000530" TargetMode="External" Id="rId90"/><Relationship Type="http://schemas.openxmlformats.org/officeDocument/2006/relationships/hyperlink" Target="https://dart.fss.or.kr/dsaf001/main.do?rcpNo=20240830900338" TargetMode="External" Id="rId91"/><Relationship Type="http://schemas.openxmlformats.org/officeDocument/2006/relationships/hyperlink" Target="https://dart.fss.or.kr/dsaf001/main.do?rcpNo=20240827000729" TargetMode="External" Id="rId92"/><Relationship Type="http://schemas.openxmlformats.org/officeDocument/2006/relationships/hyperlink" Target="https://dart.fss.or.kr/dsaf001/main.do?rcpNo=20240814003225" TargetMode="External" Id="rId93"/><Relationship Type="http://schemas.openxmlformats.org/officeDocument/2006/relationships/hyperlink" Target="https://dart.fss.or.kr/dsaf001/main.do?rcpNo=20240808900153" TargetMode="External" Id="rId94"/><Relationship Type="http://schemas.openxmlformats.org/officeDocument/2006/relationships/hyperlink" Target="https://dart.fss.or.kr/dsaf001/main.do?rcpNo=20240802000345" TargetMode="External" Id="rId95"/><Relationship Type="http://schemas.openxmlformats.org/officeDocument/2006/relationships/hyperlink" Target="https://dart.fss.or.kr/dsaf001/main.do?rcpNo=20240529000524" TargetMode="External" Id="rId96"/><Relationship Type="http://schemas.openxmlformats.org/officeDocument/2006/relationships/hyperlink" Target="https://dart.fss.or.kr/dsaf001/main.do?rcpNo=20240516001788" TargetMode="External" Id="rId97"/><Relationship Type="http://schemas.openxmlformats.org/officeDocument/2006/relationships/hyperlink" Target="https://dart.fss.or.kr/dsaf001/main.do?rcpNo=20240503000746" TargetMode="External" Id="rId98"/><Relationship Type="http://schemas.openxmlformats.org/officeDocument/2006/relationships/hyperlink" Target="https://dart.fss.or.kr/dsaf001/main.do?rcpNo=20240503000731" TargetMode="External" Id="rId99"/><Relationship Type="http://schemas.openxmlformats.org/officeDocument/2006/relationships/hyperlink" Target="https://dart.fss.or.kr/dsaf001/main.do?rcpNo=20240503000719" TargetMode="External" Id="rId100"/><Relationship Type="http://schemas.openxmlformats.org/officeDocument/2006/relationships/hyperlink" Target="https://dart.fss.or.kr/dsaf001/main.do?rcpNo=20240326900862" TargetMode="External" Id="rId101"/><Relationship Type="http://schemas.openxmlformats.org/officeDocument/2006/relationships/hyperlink" Target="https://dart.fss.or.kr/dsaf001/main.do?rcpNo=20240318901055" TargetMode="External" Id="rId102"/><Relationship Type="http://schemas.openxmlformats.org/officeDocument/2006/relationships/hyperlink" Target="https://dart.fss.or.kr/dsaf001/main.do?rcpNo=20240318000834" TargetMode="External" Id="rId103"/><Relationship Type="http://schemas.openxmlformats.org/officeDocument/2006/relationships/hyperlink" Target="https://dart.fss.or.kr/dsaf001/main.do?rcpNo=20240315000291" TargetMode="External" Id="rId104"/><Relationship Type="http://schemas.openxmlformats.org/officeDocument/2006/relationships/hyperlink" Target="https://dart.fss.or.kr/dsaf001/main.do?rcpNo=20240312000965" TargetMode="External" Id="rId105"/><Relationship Type="http://schemas.openxmlformats.org/officeDocument/2006/relationships/hyperlink" Target="https://dart.fss.or.kr/dsaf001/main.do?rcpNo=20240311900835" TargetMode="External" Id="rId106"/><Relationship Type="http://schemas.openxmlformats.org/officeDocument/2006/relationships/hyperlink" Target="https://dart.fss.or.kr/dsaf001/main.do?rcpNo=20240311000685" TargetMode="External" Id="rId107"/><Relationship Type="http://schemas.openxmlformats.org/officeDocument/2006/relationships/hyperlink" Target="https://dart.fss.or.kr/dsaf001/main.do?rcpNo=20240304000479" TargetMode="External" Id="rId108"/><Relationship Type="http://schemas.openxmlformats.org/officeDocument/2006/relationships/hyperlink" Target="https://dart.fss.or.kr/dsaf001/main.do?rcpNo=20240221001618" TargetMode="External" Id="rId109"/><Relationship Type="http://schemas.openxmlformats.org/officeDocument/2006/relationships/hyperlink" Target="https://dart.fss.or.kr/dsaf001/main.do?rcpNo=20240213900576" TargetMode="External" Id="rId110"/><Relationship Type="http://schemas.openxmlformats.org/officeDocument/2006/relationships/hyperlink" Target="https://dart.fss.or.kr/dsaf001/main.do?rcpNo=20240213900270" TargetMode="External" Id="rId111"/><Relationship Type="http://schemas.openxmlformats.org/officeDocument/2006/relationships/hyperlink" Target="https://dart.fss.or.kr/dsaf001/main.do?rcpNo=20240213900265" TargetMode="External" Id="rId112"/><Relationship Type="http://schemas.openxmlformats.org/officeDocument/2006/relationships/hyperlink" Target="https://dart.fss.or.kr/dsaf001/main.do?rcpNo=20240205000376" TargetMode="External" Id="rId113"/><Relationship Type="http://schemas.openxmlformats.org/officeDocument/2006/relationships/hyperlink" Target="https://dart.fss.or.kr/dsaf001/main.do?rcpNo=20240104000321" TargetMode="External" Id="rId114"/><Relationship Type="http://schemas.openxmlformats.org/officeDocument/2006/relationships/hyperlink" Target="https://dart.fss.or.kr/dsaf001/main.do?rcpNo=20231221900531" TargetMode="External" Id="rId115"/><Relationship Type="http://schemas.openxmlformats.org/officeDocument/2006/relationships/hyperlink" Target="https://dart.fss.or.kr/dsaf001/main.do?rcpNo=20231221900172" TargetMode="External" Id="rId116"/><Relationship Type="http://schemas.openxmlformats.org/officeDocument/2006/relationships/hyperlink" Target="https://dart.fss.or.kr/dsaf001/main.do?rcpNo=20231214900906" TargetMode="External" Id="rId117"/><Relationship Type="http://schemas.openxmlformats.org/officeDocument/2006/relationships/hyperlink" Target="https://dart.fss.or.kr/dsaf001/main.do?rcpNo=20231114000553" TargetMode="External" Id="rId118"/><Relationship Type="http://schemas.openxmlformats.org/officeDocument/2006/relationships/hyperlink" Target="https://dart.fss.or.kr/dsaf001/main.do?rcpNo=20231107000273" TargetMode="External" Id="rId119"/><Relationship Type="http://schemas.openxmlformats.org/officeDocument/2006/relationships/hyperlink" Target="https://dart.fss.or.kr/dsaf001/main.do?rcpNo=20231106000353" TargetMode="External" Id="rId120"/><Relationship Type="http://schemas.openxmlformats.org/officeDocument/2006/relationships/hyperlink" Target="https://dart.fss.or.kr/dsaf001/main.do?rcpNo=20230907000343" TargetMode="External" Id="rId121"/><Relationship Type="http://schemas.openxmlformats.org/officeDocument/2006/relationships/hyperlink" Target="https://dart.fss.or.kr/dsaf001/main.do?rcpNo=20230814000828" TargetMode="External" Id="rId122"/><Relationship Type="http://schemas.openxmlformats.org/officeDocument/2006/relationships/hyperlink" Target="https://dart.fss.or.kr/dsaf001/main.do?rcpNo=20230810900791" TargetMode="External" Id="rId123"/><Relationship Type="http://schemas.openxmlformats.org/officeDocument/2006/relationships/hyperlink" Target="https://dart.fss.or.kr/dsaf001/main.do?rcpNo=20230721000428" TargetMode="External" Id="rId124"/><Relationship Type="http://schemas.openxmlformats.org/officeDocument/2006/relationships/hyperlink" Target="https://dart.fss.or.kr/dsaf001/main.do?rcpNo=20230721000423" TargetMode="External" Id="rId125"/><Relationship Type="http://schemas.openxmlformats.org/officeDocument/2006/relationships/hyperlink" Target="https://dart.fss.or.kr/dsaf001/main.do?rcpNo=20230714000540" TargetMode="External" Id="rId126"/><Relationship Type="http://schemas.openxmlformats.org/officeDocument/2006/relationships/hyperlink" Target="https://dart.fss.or.kr/dsaf001/main.do?rcpNo=20230613000426" TargetMode="External" Id="rId127"/><Relationship Type="http://schemas.openxmlformats.org/officeDocument/2006/relationships/hyperlink" Target="https://dart.fss.or.kr/dsaf001/main.do?rcpNo=20230601900458" TargetMode="External" Id="rId128"/><Relationship Type="http://schemas.openxmlformats.org/officeDocument/2006/relationships/hyperlink" Target="https://dart.fss.or.kr/dsaf001/main.do?rcpNo=20230515002731" TargetMode="External" Id="rId129"/><Relationship Type="http://schemas.openxmlformats.org/officeDocument/2006/relationships/hyperlink" Target="https://dart.fss.or.kr/dsaf001/main.do?rcpNo=20230504900417" TargetMode="External" Id="rId130"/><Relationship Type="http://schemas.openxmlformats.org/officeDocument/2006/relationships/hyperlink" Target="https://dart.fss.or.kr/dsaf001/main.do?rcpNo=20230404002696" TargetMode="External" Id="rId131"/><Relationship Type="http://schemas.openxmlformats.org/officeDocument/2006/relationships/hyperlink" Target="https://dart.fss.or.kr/dsaf001/main.do?rcpNo=20230329900249" TargetMode="External" Id="rId132"/><Relationship Type="http://schemas.openxmlformats.org/officeDocument/2006/relationships/hyperlink" Target="https://dart.fss.or.kr/dsaf001/main.do?rcpNo=20230329000981" TargetMode="External" Id="rId133"/><Relationship Type="http://schemas.openxmlformats.org/officeDocument/2006/relationships/hyperlink" Target="https://dart.fss.or.kr/dsaf001/main.do?rcpNo=20230328001086" TargetMode="External" Id="rId134"/><Relationship Type="http://schemas.openxmlformats.org/officeDocument/2006/relationships/hyperlink" Target="https://dart.fss.or.kr/dsaf001/main.do?rcpNo=20230328001085" TargetMode="External" Id="rId135"/><Relationship Type="http://schemas.openxmlformats.org/officeDocument/2006/relationships/hyperlink" Target="https://dart.fss.or.kr/dsaf001/main.do?rcpNo=20230328001081" TargetMode="External" Id="rId136"/><Relationship Type="http://schemas.openxmlformats.org/officeDocument/2006/relationships/hyperlink" Target="https://dart.fss.or.kr/dsaf001/main.do?rcpNo=20230321900693" TargetMode="External" Id="rId137"/><Relationship Type="http://schemas.openxmlformats.org/officeDocument/2006/relationships/hyperlink" Target="https://dart.fss.or.kr/dsaf001/main.do?rcpNo=20230321001274" TargetMode="External" Id="rId138"/><Relationship Type="http://schemas.openxmlformats.org/officeDocument/2006/relationships/hyperlink" Target="https://dart.fss.or.kr/dsaf001/main.do?rcpNo=20230317900300" TargetMode="External" Id="rId139"/><Relationship Type="http://schemas.openxmlformats.org/officeDocument/2006/relationships/hyperlink" Target="https://dart.fss.or.kr/dsaf001/main.do?rcpNo=20230313900767" TargetMode="External" Id="rId140"/><Relationship Type="http://schemas.openxmlformats.org/officeDocument/2006/relationships/hyperlink" Target="https://dart.fss.or.kr/dsaf001/main.do?rcpNo=20230313000614" TargetMode="External" Id="rId141"/><Relationship Type="http://schemas.openxmlformats.org/officeDocument/2006/relationships/hyperlink" Target="https://dart.fss.or.kr/dsaf001/main.do?rcpNo=20230221002331" TargetMode="External" Id="rId142"/><Relationship Type="http://schemas.openxmlformats.org/officeDocument/2006/relationships/hyperlink" Target="https://dart.fss.or.kr/dsaf001/main.do?rcpNo=20230221002277" TargetMode="External" Id="rId143"/><Relationship Type="http://schemas.openxmlformats.org/officeDocument/2006/relationships/hyperlink" Target="https://dart.fss.or.kr/dsaf001/main.do?rcpNo=20230215001268" TargetMode="External" Id="rId144"/><Relationship Type="http://schemas.openxmlformats.org/officeDocument/2006/relationships/hyperlink" Target="https://dart.fss.or.kr/dsaf001/main.do?rcpNo=20230215001257" TargetMode="External" Id="rId145"/><Relationship Type="http://schemas.openxmlformats.org/officeDocument/2006/relationships/hyperlink" Target="https://dart.fss.or.kr/dsaf001/main.do?rcpNo=20230213901193" TargetMode="External" Id="rId146"/><Relationship Type="http://schemas.openxmlformats.org/officeDocument/2006/relationships/hyperlink" Target="https://dart.fss.or.kr/dsaf001/main.do?rcpNo=20230208000558" TargetMode="External" Id="rId147"/><Relationship Type="http://schemas.openxmlformats.org/officeDocument/2006/relationships/hyperlink" Target="https://dart.fss.or.kr/dsaf001/main.do?rcpNo=20230109000258" TargetMode="External" Id="rId148"/><Relationship Type="http://schemas.openxmlformats.org/officeDocument/2006/relationships/hyperlink" Target="https://dart.fss.or.kr/dsaf001/main.do?rcpNo=20230102900617" TargetMode="External" Id="rId149"/><Relationship Type="http://schemas.openxmlformats.org/officeDocument/2006/relationships/hyperlink" Target="https://dart.fss.or.kr/dsaf001/main.do?rcpNo=20221214000386" TargetMode="External" Id="rId150"/><Relationship Type="http://schemas.openxmlformats.org/officeDocument/2006/relationships/hyperlink" Target="https://dart.fss.or.kr/dsaf001/main.do?rcpNo=20221214000371" TargetMode="External" Id="rId151"/><Relationship Type="http://schemas.openxmlformats.org/officeDocument/2006/relationships/hyperlink" Target="https://dart.fss.or.kr/dsaf001/main.do?rcpNo=20221214000367" TargetMode="External" Id="rId152"/><Relationship Type="http://schemas.openxmlformats.org/officeDocument/2006/relationships/hyperlink" Target="https://dart.fss.or.kr/dsaf001/main.do?rcpNo=20221214000363" TargetMode="External" Id="rId153"/><Relationship Type="http://schemas.openxmlformats.org/officeDocument/2006/relationships/hyperlink" Target="https://dart.fss.or.kr/dsaf001/main.do?rcpNo=20221212900328" TargetMode="External" Id="rId154"/><Relationship Type="http://schemas.openxmlformats.org/officeDocument/2006/relationships/hyperlink" Target="https://dart.fss.or.kr/dsaf001/main.do?rcpNo=20221114001149" TargetMode="External" Id="rId155"/><Relationship Type="http://schemas.openxmlformats.org/officeDocument/2006/relationships/hyperlink" Target="https://dart.fss.or.kr/dsaf001/main.do?rcpNo=20220831900145" TargetMode="External" Id="rId156"/><Relationship Type="http://schemas.openxmlformats.org/officeDocument/2006/relationships/hyperlink" Target="https://dart.fss.or.kr/dsaf001/main.do?rcpNo=20220816001998" TargetMode="External" Id="rId157"/><Relationship Type="http://schemas.openxmlformats.org/officeDocument/2006/relationships/hyperlink" Target="https://dart.fss.or.kr/dsaf001/main.do?rcpNo=20220622000450" TargetMode="External" Id="rId158"/><Relationship Type="http://schemas.openxmlformats.org/officeDocument/2006/relationships/hyperlink" Target="https://dart.fss.or.kr/dsaf001/main.do?rcpNo=20220526000288" TargetMode="External" Id="rId159"/><Relationship Type="http://schemas.openxmlformats.org/officeDocument/2006/relationships/hyperlink" Target="https://dart.fss.or.kr/dsaf001/main.do?rcpNo=20220524000533" TargetMode="External" Id="rId160"/><Relationship Type="http://schemas.openxmlformats.org/officeDocument/2006/relationships/hyperlink" Target="https://dart.fss.or.kr/dsaf001/main.do?rcpNo=20220524000530" TargetMode="External" Id="rId161"/><Relationship Type="http://schemas.openxmlformats.org/officeDocument/2006/relationships/hyperlink" Target="https://dart.fss.or.kr/dsaf001/main.do?rcpNo=20220524000523" TargetMode="External" Id="rId162"/><Relationship Type="http://schemas.openxmlformats.org/officeDocument/2006/relationships/hyperlink" Target="https://dart.fss.or.kr/dsaf001/main.do?rcpNo=20220524000517" TargetMode="External" Id="rId163"/><Relationship Type="http://schemas.openxmlformats.org/officeDocument/2006/relationships/hyperlink" Target="https://dart.fss.or.kr/dsaf001/main.do?rcpNo=20220524000514" TargetMode="External" Id="rId164"/><Relationship Type="http://schemas.openxmlformats.org/officeDocument/2006/relationships/hyperlink" Target="https://dart.fss.or.kr/dsaf001/main.do?rcpNo=20220524000508" TargetMode="External" Id="rId165"/><Relationship Type="http://schemas.openxmlformats.org/officeDocument/2006/relationships/hyperlink" Target="https://dart.fss.or.kr/dsaf001/main.do?rcpNo=20220524000502" TargetMode="External" Id="rId166"/><Relationship Type="http://schemas.openxmlformats.org/officeDocument/2006/relationships/hyperlink" Target="https://dart.fss.or.kr/dsaf001/main.do?rcpNo=20220524000496" TargetMode="External" Id="rId167"/><Relationship Type="http://schemas.openxmlformats.org/officeDocument/2006/relationships/hyperlink" Target="https://dart.fss.or.kr/dsaf001/main.do?rcpNo=20220524000493" TargetMode="External" Id="rId168"/><Relationship Type="http://schemas.openxmlformats.org/officeDocument/2006/relationships/hyperlink" Target="https://dart.fss.or.kr/dsaf001/main.do?rcpNo=20220524000488" TargetMode="External" Id="rId169"/><Relationship Type="http://schemas.openxmlformats.org/officeDocument/2006/relationships/hyperlink" Target="https://dart.fss.or.kr/dsaf001/main.do?rcpNo=20220524000484" TargetMode="External" Id="rId170"/><Relationship Type="http://schemas.openxmlformats.org/officeDocument/2006/relationships/hyperlink" Target="https://dart.fss.or.kr/dsaf001/main.do?rcpNo=20220524000475" TargetMode="External" Id="rId171"/><Relationship Type="http://schemas.openxmlformats.org/officeDocument/2006/relationships/hyperlink" Target="https://dart.fss.or.kr/dsaf001/main.do?rcpNo=20220524000470" TargetMode="External" Id="rId172"/><Relationship Type="http://schemas.openxmlformats.org/officeDocument/2006/relationships/hyperlink" Target="https://dart.fss.or.kr/dsaf001/main.do?rcpNo=20220517000328" TargetMode="External" Id="rId173"/><Relationship Type="http://schemas.openxmlformats.org/officeDocument/2006/relationships/hyperlink" Target="https://dart.fss.or.kr/dsaf001/main.do?rcpNo=20220516001198" TargetMode="External" Id="rId174"/><Relationship Type="http://schemas.openxmlformats.org/officeDocument/2006/relationships/hyperlink" Target="https://dart.fss.or.kr/dsaf001/main.do?rcpNo=20220506000115" TargetMode="External" Id="rId175"/><Relationship Type="http://schemas.openxmlformats.org/officeDocument/2006/relationships/hyperlink" Target="https://dart.fss.or.kr/dsaf001/main.do?rcpNo=20220506000110" TargetMode="External" Id="rId176"/><Relationship Type="http://schemas.openxmlformats.org/officeDocument/2006/relationships/hyperlink" Target="https://dart.fss.or.kr/dsaf001/main.do?rcpNo=20220429000315" TargetMode="External" Id="rId177"/><Relationship Type="http://schemas.openxmlformats.org/officeDocument/2006/relationships/hyperlink" Target="https://dart.fss.or.kr/dsaf001/main.do?rcpNo=20220419000335" TargetMode="External" Id="rId178"/><Relationship Type="http://schemas.openxmlformats.org/officeDocument/2006/relationships/hyperlink" Target="https://dart.fss.or.kr/dsaf001/main.do?rcpNo=20220407002417" TargetMode="External" Id="rId179"/><Relationship Type="http://schemas.openxmlformats.org/officeDocument/2006/relationships/hyperlink" Target="https://dart.fss.or.kr/dsaf001/main.do?rcpNo=20220404002812" TargetMode="External" Id="rId180"/><Relationship Type="http://schemas.openxmlformats.org/officeDocument/2006/relationships/hyperlink" Target="https://dart.fss.or.kr/dsaf001/main.do?rcpNo=20211220000351" TargetMode="External" Id="rId181"/><Relationship Type="http://schemas.openxmlformats.org/officeDocument/2006/relationships/hyperlink" Target="https://dart.fss.or.kr/dsaf001/main.do?rcpNo=20210412000801" TargetMode="External" Id="rId182"/><Relationship Type="http://schemas.openxmlformats.org/officeDocument/2006/relationships/hyperlink" Target="https://dart.fss.or.kr/dsaf001/main.do?rcpNo=20200410001964" TargetMode="External" Id="rId1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4" customWidth="1" min="3" max="3"/>
    <col width="20" customWidth="1" min="4" max="4"/>
    <col width="6" customWidth="1" min="5" max="5"/>
    <col width="22" customWidth="1" min="6" max="6"/>
    <col width="16" customWidth="1" min="7" max="7"/>
    <col width="10" customWidth="1" min="8" max="8"/>
  </cols>
  <sheetData>
    <row r="1" ht="30" customHeight="1">
      <c r="A1" s="17" t="inlineStr">
        <is>
          <t>접수일자</t>
        </is>
      </c>
      <c r="B1" s="17" t="inlineStr">
        <is>
          <t>보고서명</t>
        </is>
      </c>
      <c r="C1" s="17" t="inlineStr">
        <is>
          <t>제출인</t>
        </is>
      </c>
      <c r="D1" s="17" t="inlineStr">
        <is>
          <t>분류</t>
        </is>
      </c>
      <c r="E1" s="17" t="inlineStr">
        <is>
          <t>정정</t>
        </is>
      </c>
      <c r="F1" s="17" t="inlineStr">
        <is>
          <t>원문파일</t>
        </is>
      </c>
      <c r="G1" s="17" t="inlineStr">
        <is>
          <t>접수번호</t>
        </is>
      </c>
      <c r="H1" s="17" t="inlineStr">
        <is>
          <t>DART 링크</t>
        </is>
      </c>
    </row>
    <row r="2">
      <c r="A2" s="18" t="inlineStr">
        <is>
          <t>2026-09-14</t>
        </is>
      </c>
      <c r="B2" s="18" t="inlineStr">
        <is>
          <t>주식등의대량보유상황보고서(일반)</t>
        </is>
      </c>
      <c r="C2" s="18" t="inlineStr">
        <is>
          <t>정규동</t>
        </is>
      </c>
      <c r="D2" s="18" t="inlineStr">
        <is>
          <t>5% 대량보유</t>
        </is>
      </c>
      <c r="E2" s="18" t="inlineStr"/>
      <c r="F2" s="18" t="inlineStr">
        <is>
          <t>20260914000336.html</t>
        </is>
      </c>
      <c r="G2" s="18" t="inlineStr">
        <is>
          <t>20260914000336</t>
        </is>
      </c>
      <c r="H2" s="19" t="inlineStr">
        <is>
          <t>열기</t>
        </is>
      </c>
    </row>
    <row r="3">
      <c r="A3" s="18" t="inlineStr">
        <is>
          <t>2026-09-03</t>
        </is>
      </c>
      <c r="B3" s="18" t="inlineStr">
        <is>
          <t>주요사항보고서(자기주식취득신탁계약체결결정)</t>
        </is>
      </c>
      <c r="C3" s="18" t="inlineStr">
        <is>
          <t>가온칩스</t>
        </is>
      </c>
      <c r="D3" s="18" t="inlineStr">
        <is>
          <t>자기주식</t>
        </is>
      </c>
      <c r="E3" s="18" t="inlineStr"/>
      <c r="F3" s="18" t="inlineStr">
        <is>
          <t>20260903000301.html</t>
        </is>
      </c>
      <c r="G3" s="18" t="inlineStr">
        <is>
          <t>20260903000301</t>
        </is>
      </c>
      <c r="H3" s="19" t="inlineStr">
        <is>
          <t>열기</t>
        </is>
      </c>
    </row>
    <row r="4">
      <c r="A4" s="18" t="inlineStr">
        <is>
          <t>2026-08-26</t>
        </is>
      </c>
      <c r="B4" s="18" t="inlineStr">
        <is>
          <t>주식등의대량보유상황보고서(일반)</t>
        </is>
      </c>
      <c r="C4" s="18" t="inlineStr">
        <is>
          <t>정규동</t>
        </is>
      </c>
      <c r="D4" s="18" t="inlineStr">
        <is>
          <t>5% 대량보유</t>
        </is>
      </c>
      <c r="E4" s="18" t="inlineStr"/>
      <c r="F4" s="18" t="inlineStr">
        <is>
          <t>20260826000655.html</t>
        </is>
      </c>
      <c r="G4" s="18" t="inlineStr">
        <is>
          <t>20260826000655</t>
        </is>
      </c>
      <c r="H4" s="19" t="inlineStr">
        <is>
          <t>열기</t>
        </is>
      </c>
    </row>
    <row r="5">
      <c r="A5" s="18" t="inlineStr">
        <is>
          <t>2026-08-14</t>
        </is>
      </c>
      <c r="B5" s="18" t="inlineStr">
        <is>
          <t>반기보고서 (2026.06)</t>
        </is>
      </c>
      <c r="C5" s="18" t="inlineStr">
        <is>
          <t>가온칩스</t>
        </is>
      </c>
      <c r="D5" s="18" t="inlineStr">
        <is>
          <t>정기보고서</t>
        </is>
      </c>
      <c r="E5" s="18" t="inlineStr"/>
      <c r="F5" s="18" t="inlineStr">
        <is>
          <t>20260814003050.html</t>
        </is>
      </c>
      <c r="G5" s="18" t="inlineStr">
        <is>
          <t>20260814003050</t>
        </is>
      </c>
      <c r="H5" s="19" t="inlineStr">
        <is>
          <t>열기</t>
        </is>
      </c>
    </row>
    <row r="6">
      <c r="A6" s="18" t="inlineStr">
        <is>
          <t>2026-08-07</t>
        </is>
      </c>
      <c r="B6" s="18" t="inlineStr">
        <is>
          <t>주식등의대량보유상황보고서(일반)</t>
        </is>
      </c>
      <c r="C6" s="18" t="inlineStr">
        <is>
          <t>정규동</t>
        </is>
      </c>
      <c r="D6" s="18" t="inlineStr">
        <is>
          <t>5% 대량보유</t>
        </is>
      </c>
      <c r="E6" s="18" t="inlineStr"/>
      <c r="F6" s="18" t="inlineStr">
        <is>
          <t>20260807000493.html</t>
        </is>
      </c>
      <c r="G6" s="18" t="inlineStr">
        <is>
          <t>20260807000493</t>
        </is>
      </c>
      <c r="H6" s="19" t="inlineStr">
        <is>
          <t>열기</t>
        </is>
      </c>
    </row>
    <row r="7">
      <c r="A7" s="18" t="inlineStr">
        <is>
          <t>2026-08-07</t>
        </is>
      </c>
      <c r="B7" s="18" t="inlineStr">
        <is>
          <t>임원ㆍ주요주주특정증권등소유상황보고서</t>
        </is>
      </c>
      <c r="C7" s="18" t="inlineStr">
        <is>
          <t>박대남</t>
        </is>
      </c>
      <c r="D7" s="18" t="inlineStr">
        <is>
          <t>임원 소유상황/거래계획</t>
        </is>
      </c>
      <c r="E7" s="18" t="inlineStr"/>
      <c r="F7" s="18" t="inlineStr">
        <is>
          <t>20260807000483.html</t>
        </is>
      </c>
      <c r="G7" s="18" t="inlineStr">
        <is>
          <t>20260807000483</t>
        </is>
      </c>
      <c r="H7" s="19" t="inlineStr">
        <is>
          <t>열기</t>
        </is>
      </c>
    </row>
    <row r="8">
      <c r="A8" s="18" t="inlineStr">
        <is>
          <t>2026-07-10</t>
        </is>
      </c>
      <c r="B8" s="18" t="inlineStr">
        <is>
          <t>주식등의대량보유상황보고서(약식)</t>
        </is>
      </c>
      <c r="C8" s="18" t="inlineStr">
        <is>
          <t>대신증권</t>
        </is>
      </c>
      <c r="D8" s="18" t="inlineStr">
        <is>
          <t>5% 대량보유</t>
        </is>
      </c>
      <c r="E8" s="18" t="inlineStr"/>
      <c r="F8" s="18" t="inlineStr">
        <is>
          <t>20260710000433.html</t>
        </is>
      </c>
      <c r="G8" s="18" t="inlineStr">
        <is>
          <t>20260710000433</t>
        </is>
      </c>
      <c r="H8" s="19" t="inlineStr">
        <is>
          <t>열기</t>
        </is>
      </c>
    </row>
    <row r="9">
      <c r="A9" s="18" t="inlineStr">
        <is>
          <t>2026-07-08</t>
        </is>
      </c>
      <c r="B9" s="18" t="inlineStr">
        <is>
          <t>임원ㆍ주요주주특정증권등소유상황보고서</t>
        </is>
      </c>
      <c r="C9" s="18" t="inlineStr">
        <is>
          <t>김순곤</t>
        </is>
      </c>
      <c r="D9" s="18" t="inlineStr">
        <is>
          <t>임원 소유상황/거래계획</t>
        </is>
      </c>
      <c r="E9" s="18" t="inlineStr"/>
      <c r="F9" s="18" t="inlineStr">
        <is>
          <t>20260708000386.html</t>
        </is>
      </c>
      <c r="G9" s="18" t="inlineStr">
        <is>
          <t>20260708000386</t>
        </is>
      </c>
      <c r="H9" s="19" t="inlineStr">
        <is>
          <t>열기</t>
        </is>
      </c>
    </row>
    <row r="10">
      <c r="A10" s="18" t="inlineStr">
        <is>
          <t>2026-07-07</t>
        </is>
      </c>
      <c r="B10" s="18" t="inlineStr">
        <is>
          <t>주식매수선택권행사</t>
        </is>
      </c>
      <c r="C10" s="18" t="inlineStr">
        <is>
          <t>가온칩스</t>
        </is>
      </c>
      <c r="D10" s="18" t="inlineStr">
        <is>
          <t>스톡옵션</t>
        </is>
      </c>
      <c r="E10" s="18" t="inlineStr"/>
      <c r="F10" s="18" t="inlineStr">
        <is>
          <t>20260707900701.html</t>
        </is>
      </c>
      <c r="G10" s="18" t="inlineStr">
        <is>
          <t>20260707900701</t>
        </is>
      </c>
      <c r="H10" s="19" t="inlineStr">
        <is>
          <t>열기</t>
        </is>
      </c>
    </row>
    <row r="11">
      <c r="A11" s="18" t="inlineStr">
        <is>
          <t>2026-06-11</t>
        </is>
      </c>
      <c r="B11" s="18" t="inlineStr">
        <is>
          <t>단일판매ㆍ공급계약체결</t>
        </is>
      </c>
      <c r="C11" s="18" t="inlineStr">
        <is>
          <t>가온칩스</t>
        </is>
      </c>
      <c r="D11" s="18" t="inlineStr">
        <is>
          <t>공급계약</t>
        </is>
      </c>
      <c r="E11" s="18" t="inlineStr"/>
      <c r="F11" s="18" t="inlineStr">
        <is>
          <t>20260611900165.html</t>
        </is>
      </c>
      <c r="G11" s="18" t="inlineStr">
        <is>
          <t>20260611900165</t>
        </is>
      </c>
      <c r="H11" s="19" t="inlineStr">
        <is>
          <t>열기</t>
        </is>
      </c>
    </row>
    <row r="12">
      <c r="A12" s="18" t="inlineStr">
        <is>
          <t>2026-06-10</t>
        </is>
      </c>
      <c r="B12" s="18" t="inlineStr">
        <is>
          <t>주식등의대량보유상황보고서(약식)</t>
        </is>
      </c>
      <c r="C12" s="18" t="inlineStr">
        <is>
          <t>대신증권</t>
        </is>
      </c>
      <c r="D12" s="18" t="inlineStr">
        <is>
          <t>5% 대량보유</t>
        </is>
      </c>
      <c r="E12" s="18" t="inlineStr"/>
      <c r="F12" s="18" t="inlineStr">
        <is>
          <t>20260610000236.html</t>
        </is>
      </c>
      <c r="G12" s="18" t="inlineStr">
        <is>
          <t>20260610000236</t>
        </is>
      </c>
      <c r="H12" s="19" t="inlineStr">
        <is>
          <t>열기</t>
        </is>
      </c>
    </row>
    <row r="13">
      <c r="A13" s="18" t="inlineStr">
        <is>
          <t>2026-05-28</t>
        </is>
      </c>
      <c r="B13" s="18" t="inlineStr">
        <is>
          <t>주식등의대량보유상황보고서(일반)</t>
        </is>
      </c>
      <c r="C13" s="18" t="inlineStr">
        <is>
          <t>정규동</t>
        </is>
      </c>
      <c r="D13" s="18" t="inlineStr">
        <is>
          <t>5% 대량보유</t>
        </is>
      </c>
      <c r="E13" s="18" t="inlineStr"/>
      <c r="F13" s="18" t="inlineStr">
        <is>
          <t>20260528000976.html</t>
        </is>
      </c>
      <c r="G13" s="18" t="inlineStr">
        <is>
          <t>20260528000976</t>
        </is>
      </c>
      <c r="H13" s="19" t="inlineStr">
        <is>
          <t>열기</t>
        </is>
      </c>
    </row>
    <row r="14">
      <c r="A14" s="18" t="inlineStr">
        <is>
          <t>2026-05-15</t>
        </is>
      </c>
      <c r="B14" s="18" t="inlineStr">
        <is>
          <t>분기보고서 (2026.03)</t>
        </is>
      </c>
      <c r="C14" s="18" t="inlineStr">
        <is>
          <t>가온칩스</t>
        </is>
      </c>
      <c r="D14" s="18" t="inlineStr">
        <is>
          <t>정기보고서</t>
        </is>
      </c>
      <c r="E14" s="18" t="inlineStr"/>
      <c r="F14" s="18" t="inlineStr">
        <is>
          <t>20260515001874.html</t>
        </is>
      </c>
      <c r="G14" s="18" t="inlineStr">
        <is>
          <t>20260515001874</t>
        </is>
      </c>
      <c r="H14" s="19" t="inlineStr">
        <is>
          <t>열기</t>
        </is>
      </c>
    </row>
    <row r="15">
      <c r="A15" s="18" t="inlineStr">
        <is>
          <t>2026-05-06</t>
        </is>
      </c>
      <c r="B15" s="18" t="inlineStr">
        <is>
          <t>주식등의대량보유상황보고서(일반)</t>
        </is>
      </c>
      <c r="C15" s="18" t="inlineStr">
        <is>
          <t>정규동</t>
        </is>
      </c>
      <c r="D15" s="18" t="inlineStr">
        <is>
          <t>5% 대량보유</t>
        </is>
      </c>
      <c r="E15" s="18" t="inlineStr"/>
      <c r="F15" s="18" t="inlineStr">
        <is>
          <t>20260506000551.html</t>
        </is>
      </c>
      <c r="G15" s="18" t="inlineStr">
        <is>
          <t>20260506000551</t>
        </is>
      </c>
      <c r="H15" s="19" t="inlineStr">
        <is>
          <t>열기</t>
        </is>
      </c>
    </row>
    <row r="16">
      <c r="A16" s="18" t="inlineStr">
        <is>
          <t>2026-05-06</t>
        </is>
      </c>
      <c r="B16" s="18" t="inlineStr">
        <is>
          <t>임원ㆍ주요주주특정증권등소유상황보고서</t>
        </is>
      </c>
      <c r="C16" s="18" t="inlineStr">
        <is>
          <t>윤형석</t>
        </is>
      </c>
      <c r="D16" s="18" t="inlineStr">
        <is>
          <t>임원 소유상황/거래계획</t>
        </is>
      </c>
      <c r="E16" s="18" t="inlineStr"/>
      <c r="F16" s="18" t="inlineStr">
        <is>
          <t>20260506000547.html</t>
        </is>
      </c>
      <c r="G16" s="18" t="inlineStr">
        <is>
          <t>20260506000547</t>
        </is>
      </c>
      <c r="H16" s="19" t="inlineStr">
        <is>
          <t>열기</t>
        </is>
      </c>
    </row>
    <row r="17">
      <c r="A17" s="18" t="inlineStr">
        <is>
          <t>2026-05-06</t>
        </is>
      </c>
      <c r="B17" s="18" t="inlineStr">
        <is>
          <t>임원ㆍ주요주주특정증권등소유상황보고서</t>
        </is>
      </c>
      <c r="C17" s="18" t="inlineStr">
        <is>
          <t>박영근</t>
        </is>
      </c>
      <c r="D17" s="18" t="inlineStr">
        <is>
          <t>임원 소유상황/거래계획</t>
        </is>
      </c>
      <c r="E17" s="18" t="inlineStr"/>
      <c r="F17" s="18" t="inlineStr">
        <is>
          <t>20260506000544.html</t>
        </is>
      </c>
      <c r="G17" s="18" t="inlineStr">
        <is>
          <t>20260506000544</t>
        </is>
      </c>
      <c r="H17" s="19" t="inlineStr">
        <is>
          <t>열기</t>
        </is>
      </c>
    </row>
    <row r="18">
      <c r="A18" s="18" t="inlineStr">
        <is>
          <t>2026-04-30</t>
        </is>
      </c>
      <c r="B18" s="18" t="inlineStr">
        <is>
          <t>소속부변경</t>
        </is>
      </c>
      <c r="C18" s="18" t="inlineStr">
        <is>
          <t>코스닥시장본부</t>
        </is>
      </c>
      <c r="D18" s="18" t="inlineStr">
        <is>
          <t>기타</t>
        </is>
      </c>
      <c r="E18" s="18" t="inlineStr"/>
      <c r="F18" s="18" t="inlineStr">
        <is>
          <t>20260430901922.html</t>
        </is>
      </c>
      <c r="G18" s="18" t="inlineStr">
        <is>
          <t>20260430901922</t>
        </is>
      </c>
      <c r="H18" s="19" t="inlineStr">
        <is>
          <t>열기</t>
        </is>
      </c>
    </row>
    <row r="19">
      <c r="A19" s="18" t="inlineStr">
        <is>
          <t>2026-04-20</t>
        </is>
      </c>
      <c r="B19" s="18" t="inlineStr">
        <is>
          <t>전환청구권행사</t>
        </is>
      </c>
      <c r="C19" s="18" t="inlineStr">
        <is>
          <t>가온칩스</t>
        </is>
      </c>
      <c r="D19" s="18" t="inlineStr">
        <is>
          <t>CB 전환청구</t>
        </is>
      </c>
      <c r="E19" s="18" t="inlineStr"/>
      <c r="F19" s="18" t="inlineStr">
        <is>
          <t>20260420900435.html</t>
        </is>
      </c>
      <c r="G19" s="18" t="inlineStr">
        <is>
          <t>20260420900435</t>
        </is>
      </c>
      <c r="H19" s="19" t="inlineStr">
        <is>
          <t>열기</t>
        </is>
      </c>
    </row>
    <row r="20">
      <c r="A20" s="18" t="inlineStr">
        <is>
          <t>2026-03-27</t>
        </is>
      </c>
      <c r="B20" s="18" t="inlineStr">
        <is>
          <t>정기주주총회결과</t>
        </is>
      </c>
      <c r="C20" s="18" t="inlineStr">
        <is>
          <t>가온칩스</t>
        </is>
      </c>
      <c r="D20" s="18" t="inlineStr">
        <is>
          <t>경영권/주총</t>
        </is>
      </c>
      <c r="E20" s="18" t="inlineStr"/>
      <c r="F20" s="18" t="inlineStr">
        <is>
          <t>20260327901801.html</t>
        </is>
      </c>
      <c r="G20" s="18" t="inlineStr">
        <is>
          <t>20260327901801</t>
        </is>
      </c>
      <c r="H20" s="19" t="inlineStr">
        <is>
          <t>열기</t>
        </is>
      </c>
    </row>
    <row r="21">
      <c r="A21" s="18" t="inlineStr">
        <is>
          <t>2026-03-27</t>
        </is>
      </c>
      <c r="B21" s="18" t="inlineStr">
        <is>
          <t>독립이사의선임ㆍ해임또는중도퇴임에관한신고</t>
        </is>
      </c>
      <c r="C21" s="18" t="inlineStr">
        <is>
          <t>가온칩스</t>
        </is>
      </c>
      <c r="D21" s="18" t="inlineStr">
        <is>
          <t>경영권/주총</t>
        </is>
      </c>
      <c r="E21" s="18" t="inlineStr"/>
      <c r="F21" s="18" t="inlineStr">
        <is>
          <t>20260327001458.html</t>
        </is>
      </c>
      <c r="G21" s="18" t="inlineStr">
        <is>
          <t>20260327001458</t>
        </is>
      </c>
      <c r="H21" s="19" t="inlineStr">
        <is>
          <t>열기</t>
        </is>
      </c>
    </row>
    <row r="22">
      <c r="A22" s="18" t="inlineStr">
        <is>
          <t>2026-03-19</t>
        </is>
      </c>
      <c r="B22" s="18" t="inlineStr">
        <is>
          <t>감사보고서제출</t>
        </is>
      </c>
      <c r="C22" s="18" t="inlineStr">
        <is>
          <t>가온칩스</t>
        </is>
      </c>
      <c r="D22" s="18" t="inlineStr">
        <is>
          <t>감사보고서</t>
        </is>
      </c>
      <c r="E22" s="18" t="inlineStr"/>
      <c r="F22" s="18" t="inlineStr">
        <is>
          <t>20260319901611.html</t>
        </is>
      </c>
      <c r="G22" s="18" t="inlineStr">
        <is>
          <t>20260319901611</t>
        </is>
      </c>
      <c r="H22" s="19" t="inlineStr">
        <is>
          <t>열기</t>
        </is>
      </c>
    </row>
    <row r="23">
      <c r="A23" s="18" t="inlineStr">
        <is>
          <t>2026-03-19</t>
        </is>
      </c>
      <c r="B23" s="18" t="inlineStr">
        <is>
          <t>사업보고서 (2025.12)</t>
        </is>
      </c>
      <c r="C23" s="18" t="inlineStr">
        <is>
          <t>가온칩스</t>
        </is>
      </c>
      <c r="D23" s="18" t="inlineStr">
        <is>
          <t>정기보고서</t>
        </is>
      </c>
      <c r="E23" s="18" t="inlineStr"/>
      <c r="F23" s="18" t="inlineStr">
        <is>
          <t>20260319001147.html</t>
        </is>
      </c>
      <c r="G23" s="18" t="inlineStr">
        <is>
          <t>20260319001147</t>
        </is>
      </c>
      <c r="H23" s="19" t="inlineStr">
        <is>
          <t>열기</t>
        </is>
      </c>
    </row>
    <row r="24">
      <c r="A24" s="18" t="inlineStr">
        <is>
          <t>2026-03-13</t>
        </is>
      </c>
      <c r="B24" s="18" t="inlineStr">
        <is>
          <t>주식등의대량보유상황보고서(일반)</t>
        </is>
      </c>
      <c r="C24" s="18" t="inlineStr">
        <is>
          <t>정규동</t>
        </is>
      </c>
      <c r="D24" s="18" t="inlineStr">
        <is>
          <t>5% 대량보유</t>
        </is>
      </c>
      <c r="E24" s="18" t="inlineStr"/>
      <c r="F24" s="18" t="inlineStr">
        <is>
          <t>20260313000885.html</t>
        </is>
      </c>
      <c r="G24" s="18" t="inlineStr">
        <is>
          <t>20260313000885</t>
        </is>
      </c>
      <c r="H24" s="19" t="inlineStr">
        <is>
          <t>열기</t>
        </is>
      </c>
    </row>
    <row r="25">
      <c r="A25" s="18" t="inlineStr">
        <is>
          <t>2026-03-12</t>
        </is>
      </c>
      <c r="B25" s="18" t="inlineStr">
        <is>
          <t>주주총회집중일개최사유신고</t>
        </is>
      </c>
      <c r="C25" s="18" t="inlineStr">
        <is>
          <t>가온칩스</t>
        </is>
      </c>
      <c r="D25" s="18" t="inlineStr">
        <is>
          <t>경영권/주총</t>
        </is>
      </c>
      <c r="E25" s="18" t="inlineStr"/>
      <c r="F25" s="18" t="inlineStr">
        <is>
          <t>20260312901214.html</t>
        </is>
      </c>
      <c r="G25" s="18" t="inlineStr">
        <is>
          <t>20260312901214</t>
        </is>
      </c>
      <c r="H25" s="19" t="inlineStr">
        <is>
          <t>열기</t>
        </is>
      </c>
    </row>
    <row r="26">
      <c r="A26" s="18" t="inlineStr">
        <is>
          <t>2026-03-12</t>
        </is>
      </c>
      <c r="B26" s="18" t="inlineStr">
        <is>
          <t>주주총회소집결의</t>
        </is>
      </c>
      <c r="C26" s="18" t="inlineStr">
        <is>
          <t>가온칩스</t>
        </is>
      </c>
      <c r="D26" s="18" t="inlineStr">
        <is>
          <t>경영권/주총</t>
        </is>
      </c>
      <c r="E26" s="18" t="inlineStr"/>
      <c r="F26" s="18" t="inlineStr">
        <is>
          <t>20260312900911.html</t>
        </is>
      </c>
      <c r="G26" s="18" t="inlineStr">
        <is>
          <t>20260312900911</t>
        </is>
      </c>
      <c r="H26" s="19" t="inlineStr">
        <is>
          <t>열기</t>
        </is>
      </c>
    </row>
    <row r="27">
      <c r="A27" s="18" t="inlineStr">
        <is>
          <t>2026-03-12</t>
        </is>
      </c>
      <c r="B27" s="18" t="inlineStr">
        <is>
          <t>주주총회소집공고</t>
        </is>
      </c>
      <c r="C27" s="18" t="inlineStr">
        <is>
          <t>가온칩스</t>
        </is>
      </c>
      <c r="D27" s="18" t="inlineStr">
        <is>
          <t>경영권/주총</t>
        </is>
      </c>
      <c r="E27" s="18" t="inlineStr"/>
      <c r="F27" s="18" t="inlineStr">
        <is>
          <t>20260312000788.html</t>
        </is>
      </c>
      <c r="G27" s="18" t="inlineStr">
        <is>
          <t>20260312000788</t>
        </is>
      </c>
      <c r="H27" s="19" t="inlineStr">
        <is>
          <t>열기</t>
        </is>
      </c>
    </row>
    <row r="28">
      <c r="A28" s="18" t="inlineStr">
        <is>
          <t>2026-03-10</t>
        </is>
      </c>
      <c r="B28" s="18" t="inlineStr">
        <is>
          <t>주식등의대량보유상황보고서(약식)</t>
        </is>
      </c>
      <c r="C28" s="18" t="inlineStr">
        <is>
          <t>삼성자산운용</t>
        </is>
      </c>
      <c r="D28" s="18" t="inlineStr">
        <is>
          <t>5% 대량보유</t>
        </is>
      </c>
      <c r="E28" s="18" t="inlineStr"/>
      <c r="F28" s="18" t="inlineStr">
        <is>
          <t>20260310002693.html</t>
        </is>
      </c>
      <c r="G28" s="18" t="inlineStr">
        <is>
          <t>20260310002693</t>
        </is>
      </c>
      <c r="H28" s="19" t="inlineStr">
        <is>
          <t>열기</t>
        </is>
      </c>
    </row>
    <row r="29">
      <c r="A29" s="18" t="inlineStr">
        <is>
          <t>2026-03-04</t>
        </is>
      </c>
      <c r="B29" s="18" t="inlineStr">
        <is>
          <t>임원ㆍ주요주주특정증권등소유상황보고서</t>
        </is>
      </c>
      <c r="C29" s="18" t="inlineStr">
        <is>
          <t>박대남</t>
        </is>
      </c>
      <c r="D29" s="18" t="inlineStr">
        <is>
          <t>임원 소유상황/거래계획</t>
        </is>
      </c>
      <c r="E29" s="18" t="inlineStr"/>
      <c r="F29" s="18" t="inlineStr">
        <is>
          <t>20260304001271.html</t>
        </is>
      </c>
      <c r="G29" s="18" t="inlineStr">
        <is>
          <t>20260304001271</t>
        </is>
      </c>
      <c r="H29" s="19" t="inlineStr">
        <is>
          <t>열기</t>
        </is>
      </c>
    </row>
    <row r="30">
      <c r="A30" s="18" t="inlineStr">
        <is>
          <t>2026-02-27</t>
        </is>
      </c>
      <c r="B30" s="18" t="inlineStr">
        <is>
          <t>주식등의대량보유상황보고서(일반)</t>
        </is>
      </c>
      <c r="C30" s="18" t="inlineStr">
        <is>
          <t>정규동</t>
        </is>
      </c>
      <c r="D30" s="18" t="inlineStr">
        <is>
          <t>5% 대량보유</t>
        </is>
      </c>
      <c r="E30" s="18" t="inlineStr"/>
      <c r="F30" s="18" t="inlineStr">
        <is>
          <t>20260227007396.html</t>
        </is>
      </c>
      <c r="G30" s="18" t="inlineStr">
        <is>
          <t>20260227007396</t>
        </is>
      </c>
      <c r="H30" s="19" t="inlineStr">
        <is>
          <t>열기</t>
        </is>
      </c>
    </row>
    <row r="31">
      <c r="A31" s="18" t="inlineStr">
        <is>
          <t>2026-02-09</t>
        </is>
      </c>
      <c r="B31" s="18" t="inlineStr">
        <is>
          <t>매출액또는손익구조30%(대규모법인은15%)이상변동</t>
        </is>
      </c>
      <c r="C31" s="18" t="inlineStr">
        <is>
          <t>가온칩스</t>
        </is>
      </c>
      <c r="D31" s="18" t="inlineStr">
        <is>
          <t>실적변동</t>
        </is>
      </c>
      <c r="E31" s="18" t="inlineStr"/>
      <c r="F31" s="18" t="inlineStr">
        <is>
          <t>20260209901090.html</t>
        </is>
      </c>
      <c r="G31" s="18" t="inlineStr">
        <is>
          <t>20260209901090</t>
        </is>
      </c>
      <c r="H31" s="19" t="inlineStr">
        <is>
          <t>열기</t>
        </is>
      </c>
    </row>
    <row r="32">
      <c r="A32" s="18" t="inlineStr">
        <is>
          <t>2026-01-29</t>
        </is>
      </c>
      <c r="B32" s="18" t="inlineStr">
        <is>
          <t>주식등의대량보유상황보고서(일반)</t>
        </is>
      </c>
      <c r="C32" s="18" t="inlineStr">
        <is>
          <t>정규동</t>
        </is>
      </c>
      <c r="D32" s="18" t="inlineStr">
        <is>
          <t>5% 대량보유</t>
        </is>
      </c>
      <c r="E32" s="18" t="inlineStr"/>
      <c r="F32" s="18" t="inlineStr">
        <is>
          <t>20260129000633.html</t>
        </is>
      </c>
      <c r="G32" s="18" t="inlineStr">
        <is>
          <t>20260129000633</t>
        </is>
      </c>
      <c r="H32" s="19" t="inlineStr">
        <is>
          <t>열기</t>
        </is>
      </c>
    </row>
    <row r="33">
      <c r="A33" s="18" t="inlineStr">
        <is>
          <t>2025-12-31</t>
        </is>
      </c>
      <c r="B33" s="18" t="inlineStr">
        <is>
          <t>[기재정정]단일판매ㆍ공급계약체결</t>
        </is>
      </c>
      <c r="C33" s="18" t="inlineStr">
        <is>
          <t>가온칩스</t>
        </is>
      </c>
      <c r="D33" s="18" t="inlineStr">
        <is>
          <t>공급계약</t>
        </is>
      </c>
      <c r="E33" s="18" t="inlineStr">
        <is>
          <t>정정</t>
        </is>
      </c>
      <c r="F33" s="18" t="inlineStr">
        <is>
          <t>20251231900107.html</t>
        </is>
      </c>
      <c r="G33" s="18" t="inlineStr">
        <is>
          <t>20251231900107</t>
        </is>
      </c>
      <c r="H33" s="19" t="inlineStr">
        <is>
          <t>열기</t>
        </is>
      </c>
    </row>
    <row r="34">
      <c r="A34" s="18" t="inlineStr">
        <is>
          <t>2025-12-26</t>
        </is>
      </c>
      <c r="B34" s="18" t="inlineStr">
        <is>
          <t>단일판매ㆍ공급계약체결</t>
        </is>
      </c>
      <c r="C34" s="18" t="inlineStr">
        <is>
          <t>가온칩스</t>
        </is>
      </c>
      <c r="D34" s="18" t="inlineStr">
        <is>
          <t>공급계약</t>
        </is>
      </c>
      <c r="E34" s="18" t="inlineStr"/>
      <c r="F34" s="18" t="inlineStr">
        <is>
          <t>20251226900414.html</t>
        </is>
      </c>
      <c r="G34" s="18" t="inlineStr">
        <is>
          <t>20251226900414</t>
        </is>
      </c>
      <c r="H34" s="19" t="inlineStr">
        <is>
          <t>열기</t>
        </is>
      </c>
    </row>
    <row r="35">
      <c r="A35" s="18" t="inlineStr">
        <is>
          <t>2025-12-15</t>
        </is>
      </c>
      <c r="B35" s="18" t="inlineStr">
        <is>
          <t>주주명부폐쇄기간또는기준일설정</t>
        </is>
      </c>
      <c r="C35" s="18" t="inlineStr">
        <is>
          <t>가온칩스</t>
        </is>
      </c>
      <c r="D35" s="18" t="inlineStr">
        <is>
          <t>경영권/주총</t>
        </is>
      </c>
      <c r="E35" s="18" t="inlineStr"/>
      <c r="F35" s="18" t="inlineStr">
        <is>
          <t>20251215901383.html</t>
        </is>
      </c>
      <c r="G35" s="18" t="inlineStr">
        <is>
          <t>20251215901383</t>
        </is>
      </c>
      <c r="H35" s="19" t="inlineStr">
        <is>
          <t>열기</t>
        </is>
      </c>
    </row>
    <row r="36">
      <c r="A36" s="18" t="inlineStr">
        <is>
          <t>2025-11-24</t>
        </is>
      </c>
      <c r="B36" s="18" t="inlineStr">
        <is>
          <t>주식등의대량보유상황보고서(일반)</t>
        </is>
      </c>
      <c r="C36" s="18" t="inlineStr">
        <is>
          <t>정규동</t>
        </is>
      </c>
      <c r="D36" s="18" t="inlineStr">
        <is>
          <t>5% 대량보유</t>
        </is>
      </c>
      <c r="E36" s="18" t="inlineStr"/>
      <c r="F36" s="18" t="inlineStr">
        <is>
          <t>20251124000346.html</t>
        </is>
      </c>
      <c r="G36" s="18" t="inlineStr">
        <is>
          <t>20251124000346</t>
        </is>
      </c>
      <c r="H36" s="19" t="inlineStr">
        <is>
          <t>열기</t>
        </is>
      </c>
    </row>
    <row r="37">
      <c r="A37" s="18" t="inlineStr">
        <is>
          <t>2025-11-14</t>
        </is>
      </c>
      <c r="B37" s="18" t="inlineStr">
        <is>
          <t>분기보고서 (2025.09)</t>
        </is>
      </c>
      <c r="C37" s="18" t="inlineStr">
        <is>
          <t>가온칩스</t>
        </is>
      </c>
      <c r="D37" s="18" t="inlineStr">
        <is>
          <t>정기보고서</t>
        </is>
      </c>
      <c r="E37" s="18" t="inlineStr"/>
      <c r="F37" s="18" t="inlineStr">
        <is>
          <t>20251114002843.html</t>
        </is>
      </c>
      <c r="G37" s="18" t="inlineStr">
        <is>
          <t>20251114002843</t>
        </is>
      </c>
      <c r="H37" s="19" t="inlineStr">
        <is>
          <t>열기</t>
        </is>
      </c>
    </row>
    <row r="38">
      <c r="A38" s="18" t="inlineStr">
        <is>
          <t>2025-11-07</t>
        </is>
      </c>
      <c r="B38" s="18" t="inlineStr">
        <is>
          <t>주식등의대량보유상황보고서(약식)</t>
        </is>
      </c>
      <c r="C38" s="18" t="inlineStr">
        <is>
          <t>심진섭</t>
        </is>
      </c>
      <c r="D38" s="18" t="inlineStr">
        <is>
          <t>5% 대량보유</t>
        </is>
      </c>
      <c r="E38" s="18" t="inlineStr"/>
      <c r="F38" s="18" t="inlineStr">
        <is>
          <t>20251107000403.html</t>
        </is>
      </c>
      <c r="G38" s="18" t="inlineStr">
        <is>
          <t>20251107000403</t>
        </is>
      </c>
      <c r="H38" s="19" t="inlineStr">
        <is>
          <t>열기</t>
        </is>
      </c>
    </row>
    <row r="39">
      <c r="A39" s="18" t="inlineStr">
        <is>
          <t>2025-10-29</t>
        </is>
      </c>
      <c r="B39" s="18" t="inlineStr">
        <is>
          <t>단일판매ㆍ공급계약체결</t>
        </is>
      </c>
      <c r="C39" s="18" t="inlineStr">
        <is>
          <t>가온칩스</t>
        </is>
      </c>
      <c r="D39" s="18" t="inlineStr">
        <is>
          <t>공급계약</t>
        </is>
      </c>
      <c r="E39" s="18" t="inlineStr"/>
      <c r="F39" s="18" t="inlineStr">
        <is>
          <t>20251029900487.html</t>
        </is>
      </c>
      <c r="G39" s="18" t="inlineStr">
        <is>
          <t>20251029900487</t>
        </is>
      </c>
      <c r="H39" s="19" t="inlineStr">
        <is>
          <t>열기</t>
        </is>
      </c>
    </row>
    <row r="40">
      <c r="A40" s="18" t="inlineStr">
        <is>
          <t>2025-10-01</t>
        </is>
      </c>
      <c r="B40" s="18" t="inlineStr">
        <is>
          <t>임원ㆍ주요주주특정증권등소유상황보고서</t>
        </is>
      </c>
      <c r="C40" s="18" t="inlineStr">
        <is>
          <t>윤형석</t>
        </is>
      </c>
      <c r="D40" s="18" t="inlineStr">
        <is>
          <t>임원 소유상황/거래계획</t>
        </is>
      </c>
      <c r="E40" s="18" t="inlineStr"/>
      <c r="F40" s="18" t="inlineStr">
        <is>
          <t>20251001000574.html</t>
        </is>
      </c>
      <c r="G40" s="18" t="inlineStr">
        <is>
          <t>20251001000574</t>
        </is>
      </c>
      <c r="H40" s="19" t="inlineStr">
        <is>
          <t>열기</t>
        </is>
      </c>
    </row>
    <row r="41">
      <c r="A41" s="18" t="inlineStr">
        <is>
          <t>2025-09-16</t>
        </is>
      </c>
      <c r="B41" s="18" t="inlineStr">
        <is>
          <t>단일판매ㆍ공급계약체결</t>
        </is>
      </c>
      <c r="C41" s="18" t="inlineStr">
        <is>
          <t>가온칩스</t>
        </is>
      </c>
      <c r="D41" s="18" t="inlineStr">
        <is>
          <t>공급계약</t>
        </is>
      </c>
      <c r="E41" s="18" t="inlineStr"/>
      <c r="F41" s="18" t="inlineStr">
        <is>
          <t>20250916900085.html</t>
        </is>
      </c>
      <c r="G41" s="18" t="inlineStr">
        <is>
          <t>20250916900085</t>
        </is>
      </c>
      <c r="H41" s="19" t="inlineStr">
        <is>
          <t>열기</t>
        </is>
      </c>
    </row>
    <row r="42">
      <c r="A42" s="18" t="inlineStr">
        <is>
          <t>2025-09-16</t>
        </is>
      </c>
      <c r="B42" s="18" t="inlineStr">
        <is>
          <t>주식등의대량보유상황보고서(일반)</t>
        </is>
      </c>
      <c r="C42" s="18" t="inlineStr">
        <is>
          <t>정규동</t>
        </is>
      </c>
      <c r="D42" s="18" t="inlineStr">
        <is>
          <t>5% 대량보유</t>
        </is>
      </c>
      <c r="E42" s="18" t="inlineStr"/>
      <c r="F42" s="18" t="inlineStr">
        <is>
          <t>20250916000174.html</t>
        </is>
      </c>
      <c r="G42" s="18" t="inlineStr">
        <is>
          <t>20250916000174</t>
        </is>
      </c>
      <c r="H42" s="19" t="inlineStr">
        <is>
          <t>열기</t>
        </is>
      </c>
    </row>
    <row r="43">
      <c r="A43" s="18" t="inlineStr">
        <is>
          <t>2025-08-19</t>
        </is>
      </c>
      <c r="B43" s="18" t="inlineStr">
        <is>
          <t>기업설명회(IR)개최</t>
        </is>
      </c>
      <c r="C43" s="18" t="inlineStr">
        <is>
          <t>가온칩스</t>
        </is>
      </c>
      <c r="D43" s="18" t="inlineStr">
        <is>
          <t>IR</t>
        </is>
      </c>
      <c r="E43" s="18" t="inlineStr"/>
      <c r="F43" s="18" t="inlineStr">
        <is>
          <t>20250819900237.html</t>
        </is>
      </c>
      <c r="G43" s="18" t="inlineStr">
        <is>
          <t>20250819900237</t>
        </is>
      </c>
      <c r="H43" s="19" t="inlineStr">
        <is>
          <t>열기</t>
        </is>
      </c>
    </row>
    <row r="44">
      <c r="A44" s="18" t="inlineStr">
        <is>
          <t>2025-08-14</t>
        </is>
      </c>
      <c r="B44" s="18" t="inlineStr">
        <is>
          <t>반기보고서 (2025.06)</t>
        </is>
      </c>
      <c r="C44" s="18" t="inlineStr">
        <is>
          <t>가온칩스</t>
        </is>
      </c>
      <c r="D44" s="18" t="inlineStr">
        <is>
          <t>정기보고서</t>
        </is>
      </c>
      <c r="E44" s="18" t="inlineStr"/>
      <c r="F44" s="18" t="inlineStr">
        <is>
          <t>20250814003664.html</t>
        </is>
      </c>
      <c r="G44" s="18" t="inlineStr">
        <is>
          <t>20250814003664</t>
        </is>
      </c>
      <c r="H44" s="19" t="inlineStr">
        <is>
          <t>열기</t>
        </is>
      </c>
    </row>
    <row r="45">
      <c r="A45" s="18" t="inlineStr">
        <is>
          <t>2025-08-14</t>
        </is>
      </c>
      <c r="B45" s="18" t="inlineStr">
        <is>
          <t>[기재정정]사업보고서 (2024.12)</t>
        </is>
      </c>
      <c r="C45" s="18" t="inlineStr">
        <is>
          <t>가온칩스</t>
        </is>
      </c>
      <c r="D45" s="18" t="inlineStr">
        <is>
          <t>정기보고서</t>
        </is>
      </c>
      <c r="E45" s="18" t="inlineStr">
        <is>
          <t>정정</t>
        </is>
      </c>
      <c r="F45" s="18" t="inlineStr">
        <is>
          <t>20250814003602.html</t>
        </is>
      </c>
      <c r="G45" s="18" t="inlineStr">
        <is>
          <t>20250814003602</t>
        </is>
      </c>
      <c r="H45" s="19" t="inlineStr">
        <is>
          <t>열기</t>
        </is>
      </c>
    </row>
    <row r="46">
      <c r="A46" s="18" t="inlineStr">
        <is>
          <t>2025-07-31</t>
        </is>
      </c>
      <c r="B46" s="18" t="inlineStr">
        <is>
          <t>[기재정정]단일판매ㆍ공급계약체결</t>
        </is>
      </c>
      <c r="C46" s="18" t="inlineStr">
        <is>
          <t>가온칩스</t>
        </is>
      </c>
      <c r="D46" s="18" t="inlineStr">
        <is>
          <t>공급계약</t>
        </is>
      </c>
      <c r="E46" s="18" t="inlineStr">
        <is>
          <t>정정</t>
        </is>
      </c>
      <c r="F46" s="18" t="inlineStr">
        <is>
          <t>20250731900408.html</t>
        </is>
      </c>
      <c r="G46" s="18" t="inlineStr">
        <is>
          <t>20250731900408</t>
        </is>
      </c>
      <c r="H46" s="19" t="inlineStr">
        <is>
          <t>열기</t>
        </is>
      </c>
    </row>
    <row r="47">
      <c r="A47" s="18" t="inlineStr">
        <is>
          <t>2025-07-31</t>
        </is>
      </c>
      <c r="B47" s="18" t="inlineStr">
        <is>
          <t>[기재정정]단일판매ㆍ공급계약체결</t>
        </is>
      </c>
      <c r="C47" s="18" t="inlineStr">
        <is>
          <t>가온칩스</t>
        </is>
      </c>
      <c r="D47" s="18" t="inlineStr">
        <is>
          <t>공급계약</t>
        </is>
      </c>
      <c r="E47" s="18" t="inlineStr">
        <is>
          <t>정정</t>
        </is>
      </c>
      <c r="F47" s="18" t="inlineStr">
        <is>
          <t>20250731900405.html</t>
        </is>
      </c>
      <c r="G47" s="18" t="inlineStr">
        <is>
          <t>20250731900405</t>
        </is>
      </c>
      <c r="H47" s="19" t="inlineStr">
        <is>
          <t>열기</t>
        </is>
      </c>
    </row>
    <row r="48">
      <c r="A48" s="18" t="inlineStr">
        <is>
          <t>2025-07-22</t>
        </is>
      </c>
      <c r="B48" s="18" t="inlineStr">
        <is>
          <t>[기재정정]주식등의대량보유상황보고서(일반)</t>
        </is>
      </c>
      <c r="C48" s="18" t="inlineStr">
        <is>
          <t>정규동</t>
        </is>
      </c>
      <c r="D48" s="18" t="inlineStr">
        <is>
          <t>5% 대량보유</t>
        </is>
      </c>
      <c r="E48" s="18" t="inlineStr">
        <is>
          <t>정정</t>
        </is>
      </c>
      <c r="F48" s="18" t="inlineStr">
        <is>
          <t>20250722000211.html</t>
        </is>
      </c>
      <c r="G48" s="18" t="inlineStr">
        <is>
          <t>20250722000211</t>
        </is>
      </c>
      <c r="H48" s="19" t="inlineStr">
        <is>
          <t>열기</t>
        </is>
      </c>
    </row>
    <row r="49">
      <c r="A49" s="18" t="inlineStr">
        <is>
          <t>2025-07-03</t>
        </is>
      </c>
      <c r="B49" s="18" t="inlineStr">
        <is>
          <t>주식등의대량보유상황보고서(일반)</t>
        </is>
      </c>
      <c r="C49" s="18" t="inlineStr">
        <is>
          <t>정규동</t>
        </is>
      </c>
      <c r="D49" s="18" t="inlineStr">
        <is>
          <t>5% 대량보유</t>
        </is>
      </c>
      <c r="E49" s="18" t="inlineStr"/>
      <c r="F49" s="18" t="inlineStr">
        <is>
          <t>20250703000332.html</t>
        </is>
      </c>
      <c r="G49" s="18" t="inlineStr">
        <is>
          <t>20250703000332</t>
        </is>
      </c>
      <c r="H49" s="19" t="inlineStr">
        <is>
          <t>열기</t>
        </is>
      </c>
    </row>
    <row r="50">
      <c r="A50" s="18" t="inlineStr">
        <is>
          <t>2025-06-30</t>
        </is>
      </c>
      <c r="B50" s="18" t="inlineStr">
        <is>
          <t>[기재정정]단일판매ㆍ공급계약체결</t>
        </is>
      </c>
      <c r="C50" s="18" t="inlineStr">
        <is>
          <t>가온칩스</t>
        </is>
      </c>
      <c r="D50" s="18" t="inlineStr">
        <is>
          <t>공급계약</t>
        </is>
      </c>
      <c r="E50" s="18" t="inlineStr">
        <is>
          <t>정정</t>
        </is>
      </c>
      <c r="F50" s="18" t="inlineStr">
        <is>
          <t>20250630900701.html</t>
        </is>
      </c>
      <c r="G50" s="18" t="inlineStr">
        <is>
          <t>20250630900701</t>
        </is>
      </c>
      <c r="H50" s="19" t="inlineStr">
        <is>
          <t>열기</t>
        </is>
      </c>
    </row>
    <row r="51">
      <c r="A51" s="18" t="inlineStr">
        <is>
          <t>2025-06-30</t>
        </is>
      </c>
      <c r="B51" s="18" t="inlineStr">
        <is>
          <t>[기재정정]단일판매ㆍ공급계약체결</t>
        </is>
      </c>
      <c r="C51" s="18" t="inlineStr">
        <is>
          <t>가온칩스</t>
        </is>
      </c>
      <c r="D51" s="18" t="inlineStr">
        <is>
          <t>공급계약</t>
        </is>
      </c>
      <c r="E51" s="18" t="inlineStr">
        <is>
          <t>정정</t>
        </is>
      </c>
      <c r="F51" s="18" t="inlineStr">
        <is>
          <t>20250630900699.html</t>
        </is>
      </c>
      <c r="G51" s="18" t="inlineStr">
        <is>
          <t>20250630900699</t>
        </is>
      </c>
      <c r="H51" s="19" t="inlineStr">
        <is>
          <t>열기</t>
        </is>
      </c>
    </row>
    <row r="52">
      <c r="A52" s="18" t="inlineStr">
        <is>
          <t>2025-06-25</t>
        </is>
      </c>
      <c r="B52" s="18" t="inlineStr">
        <is>
          <t>임원ㆍ주요주주특정증권등소유상황보고서</t>
        </is>
      </c>
      <c r="C52" s="18" t="inlineStr">
        <is>
          <t>김효철</t>
        </is>
      </c>
      <c r="D52" s="18" t="inlineStr">
        <is>
          <t>임원 소유상황/거래계획</t>
        </is>
      </c>
      <c r="E52" s="18" t="inlineStr"/>
      <c r="F52" s="18" t="inlineStr">
        <is>
          <t>20250625000396.html</t>
        </is>
      </c>
      <c r="G52" s="18" t="inlineStr">
        <is>
          <t>20250625000396</t>
        </is>
      </c>
      <c r="H52" s="19" t="inlineStr">
        <is>
          <t>열기</t>
        </is>
      </c>
    </row>
    <row r="53">
      <c r="A53" s="18" t="inlineStr">
        <is>
          <t>2025-06-16</t>
        </is>
      </c>
      <c r="B53" s="18" t="inlineStr">
        <is>
          <t>주식등의대량보유상황보고서(일반)</t>
        </is>
      </c>
      <c r="C53" s="18" t="inlineStr">
        <is>
          <t>정규동</t>
        </is>
      </c>
      <c r="D53" s="18" t="inlineStr">
        <is>
          <t>5% 대량보유</t>
        </is>
      </c>
      <c r="E53" s="18" t="inlineStr"/>
      <c r="F53" s="18" t="inlineStr">
        <is>
          <t>20250616000242.html</t>
        </is>
      </c>
      <c r="G53" s="18" t="inlineStr">
        <is>
          <t>20250616000242</t>
        </is>
      </c>
      <c r="H53" s="19" t="inlineStr">
        <is>
          <t>열기</t>
        </is>
      </c>
    </row>
    <row r="54">
      <c r="A54" s="18" t="inlineStr">
        <is>
          <t>2025-06-10</t>
        </is>
      </c>
      <c r="B54" s="18" t="inlineStr">
        <is>
          <t>[기재정정]단일판매ㆍ공급계약체결</t>
        </is>
      </c>
      <c r="C54" s="18" t="inlineStr">
        <is>
          <t>가온칩스</t>
        </is>
      </c>
      <c r="D54" s="18" t="inlineStr">
        <is>
          <t>공급계약</t>
        </is>
      </c>
      <c r="E54" s="18" t="inlineStr">
        <is>
          <t>정정</t>
        </is>
      </c>
      <c r="F54" s="18" t="inlineStr">
        <is>
          <t>20250610900358.html</t>
        </is>
      </c>
      <c r="G54" s="18" t="inlineStr">
        <is>
          <t>20250610900358</t>
        </is>
      </c>
      <c r="H54" s="19" t="inlineStr">
        <is>
          <t>열기</t>
        </is>
      </c>
    </row>
    <row r="55">
      <c r="A55" s="18" t="inlineStr">
        <is>
          <t>2025-06-10</t>
        </is>
      </c>
      <c r="B55" s="18" t="inlineStr">
        <is>
          <t>[기재정정]단일판매ㆍ공급계약체결</t>
        </is>
      </c>
      <c r="C55" s="18" t="inlineStr">
        <is>
          <t>가온칩스</t>
        </is>
      </c>
      <c r="D55" s="18" t="inlineStr">
        <is>
          <t>공급계약</t>
        </is>
      </c>
      <c r="E55" s="18" t="inlineStr">
        <is>
          <t>정정</t>
        </is>
      </c>
      <c r="F55" s="18" t="inlineStr">
        <is>
          <t>20250610900354.html</t>
        </is>
      </c>
      <c r="G55" s="18" t="inlineStr">
        <is>
          <t>20250610900354</t>
        </is>
      </c>
      <c r="H55" s="19" t="inlineStr">
        <is>
          <t>열기</t>
        </is>
      </c>
    </row>
    <row r="56">
      <c r="A56" s="18" t="inlineStr">
        <is>
          <t>2025-05-15</t>
        </is>
      </c>
      <c r="B56" s="18" t="inlineStr">
        <is>
          <t>분기보고서 (2025.03)</t>
        </is>
      </c>
      <c r="C56" s="18" t="inlineStr">
        <is>
          <t>가온칩스</t>
        </is>
      </c>
      <c r="D56" s="18" t="inlineStr">
        <is>
          <t>정기보고서</t>
        </is>
      </c>
      <c r="E56" s="18" t="inlineStr"/>
      <c r="F56" s="18" t="inlineStr">
        <is>
          <t>20250515002627.html</t>
        </is>
      </c>
      <c r="G56" s="18" t="inlineStr">
        <is>
          <t>20250515002627</t>
        </is>
      </c>
      <c r="H56" s="19" t="inlineStr">
        <is>
          <t>열기</t>
        </is>
      </c>
    </row>
    <row r="57">
      <c r="A57" s="18" t="inlineStr">
        <is>
          <t>2025-05-15</t>
        </is>
      </c>
      <c r="B57" s="18" t="inlineStr">
        <is>
          <t>임원ㆍ주요주주특정증권등소유상황보고서</t>
        </is>
      </c>
      <c r="C57" s="18" t="inlineStr">
        <is>
          <t>이양원</t>
        </is>
      </c>
      <c r="D57" s="18" t="inlineStr">
        <is>
          <t>임원 소유상황/거래계획</t>
        </is>
      </c>
      <c r="E57" s="18" t="inlineStr"/>
      <c r="F57" s="18" t="inlineStr">
        <is>
          <t>20250515002602.html</t>
        </is>
      </c>
      <c r="G57" s="18" t="inlineStr">
        <is>
          <t>20250515002602</t>
        </is>
      </c>
      <c r="H57" s="19" t="inlineStr">
        <is>
          <t>열기</t>
        </is>
      </c>
    </row>
    <row r="58">
      <c r="A58" s="18" t="inlineStr">
        <is>
          <t>2025-04-30</t>
        </is>
      </c>
      <c r="B58" s="18" t="inlineStr">
        <is>
          <t>소속부변경</t>
        </is>
      </c>
      <c r="C58" s="18" t="inlineStr">
        <is>
          <t>코스닥시장본부</t>
        </is>
      </c>
      <c r="D58" s="18" t="inlineStr">
        <is>
          <t>기타</t>
        </is>
      </c>
      <c r="E58" s="18" t="inlineStr"/>
      <c r="F58" s="18" t="inlineStr">
        <is>
          <t>20250430901260.html</t>
        </is>
      </c>
      <c r="G58" s="18" t="inlineStr">
        <is>
          <t>20250430901260</t>
        </is>
      </c>
      <c r="H58" s="19" t="inlineStr">
        <is>
          <t>열기</t>
        </is>
      </c>
    </row>
    <row r="59">
      <c r="A59" s="18" t="inlineStr">
        <is>
          <t>2025-04-08</t>
        </is>
      </c>
      <c r="B59" s="18" t="inlineStr">
        <is>
          <t>주식등의대량보유상황보고서(약식)</t>
        </is>
      </c>
      <c r="C59" s="18" t="inlineStr">
        <is>
          <t>대신증권</t>
        </is>
      </c>
      <c r="D59" s="18" t="inlineStr">
        <is>
          <t>5% 대량보유</t>
        </is>
      </c>
      <c r="E59" s="18" t="inlineStr"/>
      <c r="F59" s="18" t="inlineStr">
        <is>
          <t>20250408001676.html</t>
        </is>
      </c>
      <c r="G59" s="18" t="inlineStr">
        <is>
          <t>20250408001676</t>
        </is>
      </c>
      <c r="H59" s="19" t="inlineStr">
        <is>
          <t>열기</t>
        </is>
      </c>
    </row>
    <row r="60">
      <c r="A60" s="18" t="inlineStr">
        <is>
          <t>2025-04-04</t>
        </is>
      </c>
      <c r="B60" s="18" t="inlineStr">
        <is>
          <t>[기재정정]주식등의대량보유상황보고서(일반)</t>
        </is>
      </c>
      <c r="C60" s="18" t="inlineStr">
        <is>
          <t>정규동</t>
        </is>
      </c>
      <c r="D60" s="18" t="inlineStr">
        <is>
          <t>5% 대량보유</t>
        </is>
      </c>
      <c r="E60" s="18" t="inlineStr">
        <is>
          <t>정정</t>
        </is>
      </c>
      <c r="F60" s="18" t="inlineStr">
        <is>
          <t>20250404003421.html</t>
        </is>
      </c>
      <c r="G60" s="18" t="inlineStr">
        <is>
          <t>20250404003421</t>
        </is>
      </c>
      <c r="H60" s="19" t="inlineStr">
        <is>
          <t>열기</t>
        </is>
      </c>
    </row>
    <row r="61">
      <c r="A61" s="18" t="inlineStr">
        <is>
          <t>2025-04-03</t>
        </is>
      </c>
      <c r="B61" s="18" t="inlineStr">
        <is>
          <t>증권발행결과(자율공시)              (제1회차 CB)</t>
        </is>
      </c>
      <c r="C61" s="18" t="inlineStr">
        <is>
          <t>가온칩스</t>
        </is>
      </c>
      <c r="D61" s="18" t="inlineStr">
        <is>
          <t>증권신고/합병</t>
        </is>
      </c>
      <c r="E61" s="18" t="inlineStr"/>
      <c r="F61" s="18" t="inlineStr">
        <is>
          <t>20250403900579.html</t>
        </is>
      </c>
      <c r="G61" s="18" t="inlineStr">
        <is>
          <t>20250403900579</t>
        </is>
      </c>
      <c r="H61" s="19" t="inlineStr">
        <is>
          <t>열기</t>
        </is>
      </c>
    </row>
    <row r="62">
      <c r="A62" s="18" t="inlineStr">
        <is>
          <t>2025-04-01</t>
        </is>
      </c>
      <c r="B62" s="18" t="inlineStr">
        <is>
          <t>주요사항보고서(전환사채권발행결정)</t>
        </is>
      </c>
      <c r="C62" s="18" t="inlineStr">
        <is>
          <t>가온칩스</t>
        </is>
      </c>
      <c r="D62" s="18" t="inlineStr">
        <is>
          <t>자금조달/CB</t>
        </is>
      </c>
      <c r="E62" s="18" t="inlineStr"/>
      <c r="F62" s="18" t="inlineStr">
        <is>
          <t>20250401003248.html</t>
        </is>
      </c>
      <c r="G62" s="18" t="inlineStr">
        <is>
          <t>20250401003248</t>
        </is>
      </c>
      <c r="H62" s="19" t="inlineStr">
        <is>
          <t>열기</t>
        </is>
      </c>
    </row>
    <row r="63">
      <c r="A63" s="18" t="inlineStr">
        <is>
          <t>2025-03-26</t>
        </is>
      </c>
      <c r="B63" s="18" t="inlineStr">
        <is>
          <t>정기주주총회결과</t>
        </is>
      </c>
      <c r="C63" s="18" t="inlineStr">
        <is>
          <t>가온칩스</t>
        </is>
      </c>
      <c r="D63" s="18" t="inlineStr">
        <is>
          <t>경영권/주총</t>
        </is>
      </c>
      <c r="E63" s="18" t="inlineStr"/>
      <c r="F63" s="18" t="inlineStr">
        <is>
          <t>20250326900216.html</t>
        </is>
      </c>
      <c r="G63" s="18" t="inlineStr">
        <is>
          <t>20250326900216</t>
        </is>
      </c>
      <c r="H63" s="19" t="inlineStr">
        <is>
          <t>열기</t>
        </is>
      </c>
    </row>
    <row r="64">
      <c r="A64" s="18" t="inlineStr">
        <is>
          <t>2025-03-26</t>
        </is>
      </c>
      <c r="B64" s="18" t="inlineStr">
        <is>
          <t>독립이사의선임ㆍ해임또는중도퇴임에관한신고</t>
        </is>
      </c>
      <c r="C64" s="18" t="inlineStr">
        <is>
          <t>가온칩스</t>
        </is>
      </c>
      <c r="D64" s="18" t="inlineStr">
        <is>
          <t>경영권/주총</t>
        </is>
      </c>
      <c r="E64" s="18" t="inlineStr"/>
      <c r="F64" s="18" t="inlineStr">
        <is>
          <t>20250326000243.html</t>
        </is>
      </c>
      <c r="G64" s="18" t="inlineStr">
        <is>
          <t>20250326000243</t>
        </is>
      </c>
      <c r="H64" s="19" t="inlineStr">
        <is>
          <t>열기</t>
        </is>
      </c>
    </row>
    <row r="65">
      <c r="A65" s="18" t="inlineStr">
        <is>
          <t>2025-03-18</t>
        </is>
      </c>
      <c r="B65" s="18" t="inlineStr">
        <is>
          <t>감사보고서제출</t>
        </is>
      </c>
      <c r="C65" s="18" t="inlineStr">
        <is>
          <t>가온칩스</t>
        </is>
      </c>
      <c r="D65" s="18" t="inlineStr">
        <is>
          <t>감사보고서</t>
        </is>
      </c>
      <c r="E65" s="18" t="inlineStr"/>
      <c r="F65" s="18" t="inlineStr">
        <is>
          <t>20250318901544.html</t>
        </is>
      </c>
      <c r="G65" s="18" t="inlineStr">
        <is>
          <t>20250318901544</t>
        </is>
      </c>
      <c r="H65" s="19" t="inlineStr">
        <is>
          <t>열기</t>
        </is>
      </c>
    </row>
    <row r="66">
      <c r="A66" s="18" t="inlineStr">
        <is>
          <t>2025-03-18</t>
        </is>
      </c>
      <c r="B66" s="18" t="inlineStr">
        <is>
          <t>사업보고서 (2024.12)</t>
        </is>
      </c>
      <c r="C66" s="18" t="inlineStr">
        <is>
          <t>가온칩스</t>
        </is>
      </c>
      <c r="D66" s="18" t="inlineStr">
        <is>
          <t>정기보고서</t>
        </is>
      </c>
      <c r="E66" s="18" t="inlineStr"/>
      <c r="F66" s="18" t="inlineStr">
        <is>
          <t>20250318001358.html</t>
        </is>
      </c>
      <c r="G66" s="18" t="inlineStr">
        <is>
          <t>20250318001358</t>
        </is>
      </c>
      <c r="H66" s="19" t="inlineStr">
        <is>
          <t>열기</t>
        </is>
      </c>
    </row>
    <row r="67">
      <c r="A67" s="18" t="inlineStr">
        <is>
          <t>2025-03-14</t>
        </is>
      </c>
      <c r="B67" s="18" t="inlineStr">
        <is>
          <t>주식등의대량보유상황보고서(일반)</t>
        </is>
      </c>
      <c r="C67" s="18" t="inlineStr">
        <is>
          <t>정규동</t>
        </is>
      </c>
      <c r="D67" s="18" t="inlineStr">
        <is>
          <t>5% 대량보유</t>
        </is>
      </c>
      <c r="E67" s="18" t="inlineStr"/>
      <c r="F67" s="18" t="inlineStr">
        <is>
          <t>20250314001300.html</t>
        </is>
      </c>
      <c r="G67" s="18" t="inlineStr">
        <is>
          <t>20250314001300</t>
        </is>
      </c>
      <c r="H67" s="19" t="inlineStr">
        <is>
          <t>열기</t>
        </is>
      </c>
    </row>
    <row r="68">
      <c r="A68" s="18" t="inlineStr">
        <is>
          <t>2025-03-11</t>
        </is>
      </c>
      <c r="B68" s="18" t="inlineStr">
        <is>
          <t>주주총회소집결의</t>
        </is>
      </c>
      <c r="C68" s="18" t="inlineStr">
        <is>
          <t>가온칩스</t>
        </is>
      </c>
      <c r="D68" s="18" t="inlineStr">
        <is>
          <t>경영권/주총</t>
        </is>
      </c>
      <c r="E68" s="18" t="inlineStr"/>
      <c r="F68" s="18" t="inlineStr">
        <is>
          <t>20250311901521.html</t>
        </is>
      </c>
      <c r="G68" s="18" t="inlineStr">
        <is>
          <t>20250311901521</t>
        </is>
      </c>
      <c r="H68" s="19" t="inlineStr">
        <is>
          <t>열기</t>
        </is>
      </c>
    </row>
    <row r="69">
      <c r="A69" s="18" t="inlineStr">
        <is>
          <t>2025-03-11</t>
        </is>
      </c>
      <c r="B69" s="18" t="inlineStr">
        <is>
          <t>주주총회소집공고</t>
        </is>
      </c>
      <c r="C69" s="18" t="inlineStr">
        <is>
          <t>가온칩스</t>
        </is>
      </c>
      <c r="D69" s="18" t="inlineStr">
        <is>
          <t>경영권/주총</t>
        </is>
      </c>
      <c r="E69" s="18" t="inlineStr"/>
      <c r="F69" s="18" t="inlineStr">
        <is>
          <t>20250311001103.html</t>
        </is>
      </c>
      <c r="G69" s="18" t="inlineStr">
        <is>
          <t>20250311001103</t>
        </is>
      </c>
      <c r="H69" s="19" t="inlineStr">
        <is>
          <t>열기</t>
        </is>
      </c>
    </row>
    <row r="70">
      <c r="A70" s="18" t="inlineStr">
        <is>
          <t>2025-03-10</t>
        </is>
      </c>
      <c r="B70" s="18" t="inlineStr">
        <is>
          <t>주식등의대량보유상황보고서(약식)</t>
        </is>
      </c>
      <c r="C70" s="18" t="inlineStr">
        <is>
          <t>심진섭</t>
        </is>
      </c>
      <c r="D70" s="18" t="inlineStr">
        <is>
          <t>5% 대량보유</t>
        </is>
      </c>
      <c r="E70" s="18" t="inlineStr"/>
      <c r="F70" s="18" t="inlineStr">
        <is>
          <t>20250310000854.html</t>
        </is>
      </c>
      <c r="G70" s="18" t="inlineStr">
        <is>
          <t>20250310000854</t>
        </is>
      </c>
      <c r="H70" s="19" t="inlineStr">
        <is>
          <t>열기</t>
        </is>
      </c>
    </row>
    <row r="71">
      <c r="A71" s="18" t="inlineStr">
        <is>
          <t>2025-02-17</t>
        </is>
      </c>
      <c r="B71" s="18" t="inlineStr">
        <is>
          <t>임원ㆍ주요주주특정증권등소유상황보고서</t>
        </is>
      </c>
      <c r="C71" s="18" t="inlineStr">
        <is>
          <t>정규동</t>
        </is>
      </c>
      <c r="D71" s="18" t="inlineStr">
        <is>
          <t>임원 소유상황/거래계획</t>
        </is>
      </c>
      <c r="E71" s="18" t="inlineStr"/>
      <c r="F71" s="18" t="inlineStr">
        <is>
          <t>20250217001783.html</t>
        </is>
      </c>
      <c r="G71" s="18" t="inlineStr">
        <is>
          <t>20250217001783</t>
        </is>
      </c>
      <c r="H71" s="19" t="inlineStr">
        <is>
          <t>열기</t>
        </is>
      </c>
    </row>
    <row r="72">
      <c r="A72" s="18" t="inlineStr">
        <is>
          <t>2025-02-17</t>
        </is>
      </c>
      <c r="B72" s="18" t="inlineStr">
        <is>
          <t>주식등의대량보유상황보고서(일반)</t>
        </is>
      </c>
      <c r="C72" s="18" t="inlineStr">
        <is>
          <t>정규동</t>
        </is>
      </c>
      <c r="D72" s="18" t="inlineStr">
        <is>
          <t>5% 대량보유</t>
        </is>
      </c>
      <c r="E72" s="18" t="inlineStr"/>
      <c r="F72" s="18" t="inlineStr">
        <is>
          <t>20250217001760.html</t>
        </is>
      </c>
      <c r="G72" s="18" t="inlineStr">
        <is>
          <t>20250217001760</t>
        </is>
      </c>
      <c r="H72" s="19" t="inlineStr">
        <is>
          <t>열기</t>
        </is>
      </c>
    </row>
    <row r="73">
      <c r="A73" s="18" t="inlineStr">
        <is>
          <t>2025-02-10</t>
        </is>
      </c>
      <c r="B73" s="18" t="inlineStr">
        <is>
          <t>매출액또는손익구조30%(대규모법인은15%)이상변동</t>
        </is>
      </c>
      <c r="C73" s="18" t="inlineStr">
        <is>
          <t>가온칩스</t>
        </is>
      </c>
      <c r="D73" s="18" t="inlineStr">
        <is>
          <t>실적변동</t>
        </is>
      </c>
      <c r="E73" s="18" t="inlineStr"/>
      <c r="F73" s="18" t="inlineStr">
        <is>
          <t>20250210901101.html</t>
        </is>
      </c>
      <c r="G73" s="18" t="inlineStr">
        <is>
          <t>20250210901101</t>
        </is>
      </c>
      <c r="H73" s="19" t="inlineStr">
        <is>
          <t>열기</t>
        </is>
      </c>
    </row>
    <row r="74">
      <c r="A74" s="18" t="inlineStr">
        <is>
          <t>2025-01-24</t>
        </is>
      </c>
      <c r="B74" s="18" t="inlineStr">
        <is>
          <t>임원ㆍ주요주주특정증권등소유상황보고서</t>
        </is>
      </c>
      <c r="C74" s="18" t="inlineStr">
        <is>
          <t>이상배</t>
        </is>
      </c>
      <c r="D74" s="18" t="inlineStr">
        <is>
          <t>임원 소유상황/거래계획</t>
        </is>
      </c>
      <c r="E74" s="18" t="inlineStr"/>
      <c r="F74" s="18" t="inlineStr">
        <is>
          <t>20250124000614.html</t>
        </is>
      </c>
      <c r="G74" s="18" t="inlineStr">
        <is>
          <t>20250124000614</t>
        </is>
      </c>
      <c r="H74" s="19" t="inlineStr">
        <is>
          <t>열기</t>
        </is>
      </c>
    </row>
    <row r="75">
      <c r="A75" s="18" t="inlineStr">
        <is>
          <t>2025-01-07</t>
        </is>
      </c>
      <c r="B75" s="18" t="inlineStr">
        <is>
          <t>주식등의대량보유상황보고서(일반)</t>
        </is>
      </c>
      <c r="C75" s="18" t="inlineStr">
        <is>
          <t>정규동</t>
        </is>
      </c>
      <c r="D75" s="18" t="inlineStr">
        <is>
          <t>5% 대량보유</t>
        </is>
      </c>
      <c r="E75" s="18" t="inlineStr"/>
      <c r="F75" s="18" t="inlineStr">
        <is>
          <t>20250107000383.html</t>
        </is>
      </c>
      <c r="G75" s="18" t="inlineStr">
        <is>
          <t>20250107000383</t>
        </is>
      </c>
      <c r="H75" s="19" t="inlineStr">
        <is>
          <t>열기</t>
        </is>
      </c>
    </row>
    <row r="76">
      <c r="A76" s="18" t="inlineStr">
        <is>
          <t>2024-12-26</t>
        </is>
      </c>
      <c r="B76" s="18" t="inlineStr">
        <is>
          <t>[기재정정]단일판매ㆍ공급계약체결</t>
        </is>
      </c>
      <c r="C76" s="18" t="inlineStr">
        <is>
          <t>가온칩스</t>
        </is>
      </c>
      <c r="D76" s="18" t="inlineStr">
        <is>
          <t>공급계약</t>
        </is>
      </c>
      <c r="E76" s="18" t="inlineStr">
        <is>
          <t>정정</t>
        </is>
      </c>
      <c r="F76" s="18" t="inlineStr">
        <is>
          <t>20241226900717.html</t>
        </is>
      </c>
      <c r="G76" s="18" t="inlineStr">
        <is>
          <t>20241226900717</t>
        </is>
      </c>
      <c r="H76" s="19" t="inlineStr">
        <is>
          <t>열기</t>
        </is>
      </c>
    </row>
    <row r="77">
      <c r="A77" s="18" t="inlineStr">
        <is>
          <t>2024-12-26</t>
        </is>
      </c>
      <c r="B77" s="18" t="inlineStr">
        <is>
          <t>[기재정정]단일판매ㆍ공급계약체결</t>
        </is>
      </c>
      <c r="C77" s="18" t="inlineStr">
        <is>
          <t>가온칩스</t>
        </is>
      </c>
      <c r="D77" s="18" t="inlineStr">
        <is>
          <t>공급계약</t>
        </is>
      </c>
      <c r="E77" s="18" t="inlineStr">
        <is>
          <t>정정</t>
        </is>
      </c>
      <c r="F77" s="18" t="inlineStr">
        <is>
          <t>20241226900716.html</t>
        </is>
      </c>
      <c r="G77" s="18" t="inlineStr">
        <is>
          <t>20241226900716</t>
        </is>
      </c>
      <c r="H77" s="19" t="inlineStr">
        <is>
          <t>열기</t>
        </is>
      </c>
    </row>
    <row r="78">
      <c r="A78" s="18" t="inlineStr">
        <is>
          <t>2024-12-24</t>
        </is>
      </c>
      <c r="B78" s="18" t="inlineStr">
        <is>
          <t>단일판매ㆍ공급계약해지</t>
        </is>
      </c>
      <c r="C78" s="18" t="inlineStr">
        <is>
          <t>가온칩스</t>
        </is>
      </c>
      <c r="D78" s="18" t="inlineStr">
        <is>
          <t>공급계약</t>
        </is>
      </c>
      <c r="E78" s="18" t="inlineStr"/>
      <c r="F78" s="18" t="inlineStr">
        <is>
          <t>20241224900546.html</t>
        </is>
      </c>
      <c r="G78" s="18" t="inlineStr">
        <is>
          <t>20241224900546</t>
        </is>
      </c>
      <c r="H78" s="19" t="inlineStr">
        <is>
          <t>열기</t>
        </is>
      </c>
    </row>
    <row r="79">
      <c r="A79" s="18" t="inlineStr">
        <is>
          <t>2024-12-19</t>
        </is>
      </c>
      <c r="B79" s="18" t="inlineStr">
        <is>
          <t>임원ㆍ주요주주특정증권등소유상황보고서</t>
        </is>
      </c>
      <c r="C79" s="18" t="inlineStr">
        <is>
          <t>서정욱</t>
        </is>
      </c>
      <c r="D79" s="18" t="inlineStr">
        <is>
          <t>임원 소유상황/거래계획</t>
        </is>
      </c>
      <c r="E79" s="18" t="inlineStr"/>
      <c r="F79" s="18" t="inlineStr">
        <is>
          <t>20241219000425.html</t>
        </is>
      </c>
      <c r="G79" s="18" t="inlineStr">
        <is>
          <t>20241219000425</t>
        </is>
      </c>
      <c r="H79" s="19" t="inlineStr">
        <is>
          <t>열기</t>
        </is>
      </c>
    </row>
    <row r="80">
      <c r="A80" s="18" t="inlineStr">
        <is>
          <t>2024-12-13</t>
        </is>
      </c>
      <c r="B80" s="18" t="inlineStr">
        <is>
          <t>주주명부폐쇄기간또는기준일설정</t>
        </is>
      </c>
      <c r="C80" s="18" t="inlineStr">
        <is>
          <t>가온칩스</t>
        </is>
      </c>
      <c r="D80" s="18" t="inlineStr">
        <is>
          <t>경영권/주총</t>
        </is>
      </c>
      <c r="E80" s="18" t="inlineStr"/>
      <c r="F80" s="18" t="inlineStr">
        <is>
          <t>20241213901311.html</t>
        </is>
      </c>
      <c r="G80" s="18" t="inlineStr">
        <is>
          <t>20241213901311</t>
        </is>
      </c>
      <c r="H80" s="19" t="inlineStr">
        <is>
          <t>열기</t>
        </is>
      </c>
    </row>
    <row r="81">
      <c r="A81" s="18" t="inlineStr">
        <is>
          <t>2024-11-29</t>
        </is>
      </c>
      <c r="B81" s="18" t="inlineStr">
        <is>
          <t>임원ㆍ주요주주특정증권등소유상황보고서</t>
        </is>
      </c>
      <c r="C81" s="18" t="inlineStr">
        <is>
          <t>박대남</t>
        </is>
      </c>
      <c r="D81" s="18" t="inlineStr">
        <is>
          <t>임원 소유상황/거래계획</t>
        </is>
      </c>
      <c r="E81" s="18" t="inlineStr"/>
      <c r="F81" s="18" t="inlineStr">
        <is>
          <t>20241129001823.html</t>
        </is>
      </c>
      <c r="G81" s="18" t="inlineStr">
        <is>
          <t>20241129001823</t>
        </is>
      </c>
      <c r="H81" s="19" t="inlineStr">
        <is>
          <t>열기</t>
        </is>
      </c>
    </row>
    <row r="82">
      <c r="A82" s="18" t="inlineStr">
        <is>
          <t>2024-11-29</t>
        </is>
      </c>
      <c r="B82" s="18" t="inlineStr">
        <is>
          <t>주식등의대량보유상황보고서(일반)</t>
        </is>
      </c>
      <c r="C82" s="18" t="inlineStr">
        <is>
          <t>정규동</t>
        </is>
      </c>
      <c r="D82" s="18" t="inlineStr">
        <is>
          <t>5% 대량보유</t>
        </is>
      </c>
      <c r="E82" s="18" t="inlineStr"/>
      <c r="F82" s="18" t="inlineStr">
        <is>
          <t>20241129001817.html</t>
        </is>
      </c>
      <c r="G82" s="18" t="inlineStr">
        <is>
          <t>20241129001817</t>
        </is>
      </c>
      <c r="H82" s="19" t="inlineStr">
        <is>
          <t>열기</t>
        </is>
      </c>
    </row>
    <row r="83">
      <c r="A83" s="18" t="inlineStr">
        <is>
          <t>2024-11-26</t>
        </is>
      </c>
      <c r="B83" s="18" t="inlineStr">
        <is>
          <t>임원ㆍ주요주주특정증권등소유상황보고서</t>
        </is>
      </c>
      <c r="C83" s="18" t="inlineStr">
        <is>
          <t>박영근</t>
        </is>
      </c>
      <c r="D83" s="18" t="inlineStr">
        <is>
          <t>임원 소유상황/거래계획</t>
        </is>
      </c>
      <c r="E83" s="18" t="inlineStr"/>
      <c r="F83" s="18" t="inlineStr">
        <is>
          <t>20241126000631.html</t>
        </is>
      </c>
      <c r="G83" s="18" t="inlineStr">
        <is>
          <t>20241126000631</t>
        </is>
      </c>
      <c r="H83" s="19" t="inlineStr">
        <is>
          <t>열기</t>
        </is>
      </c>
    </row>
    <row r="84">
      <c r="A84" s="18" t="inlineStr">
        <is>
          <t>2024-11-26</t>
        </is>
      </c>
      <c r="B84" s="18" t="inlineStr">
        <is>
          <t>임원ㆍ주요주주특정증권등소유상황보고서</t>
        </is>
      </c>
      <c r="C84" s="18" t="inlineStr">
        <is>
          <t>서정욱</t>
        </is>
      </c>
      <c r="D84" s="18" t="inlineStr">
        <is>
          <t>임원 소유상황/거래계획</t>
        </is>
      </c>
      <c r="E84" s="18" t="inlineStr"/>
      <c r="F84" s="18" t="inlineStr">
        <is>
          <t>20241126000629.html</t>
        </is>
      </c>
      <c r="G84" s="18" t="inlineStr">
        <is>
          <t>20241126000629</t>
        </is>
      </c>
      <c r="H84" s="19" t="inlineStr">
        <is>
          <t>열기</t>
        </is>
      </c>
    </row>
    <row r="85">
      <c r="A85" s="18" t="inlineStr">
        <is>
          <t>2024-11-26</t>
        </is>
      </c>
      <c r="B85" s="18" t="inlineStr">
        <is>
          <t>임원ㆍ주요주주특정증권등소유상황보고서</t>
        </is>
      </c>
      <c r="C85" s="18" t="inlineStr">
        <is>
          <t>위지호</t>
        </is>
      </c>
      <c r="D85" s="18" t="inlineStr">
        <is>
          <t>임원 소유상황/거래계획</t>
        </is>
      </c>
      <c r="E85" s="18" t="inlineStr"/>
      <c r="F85" s="18" t="inlineStr">
        <is>
          <t>20241126000626.html</t>
        </is>
      </c>
      <c r="G85" s="18" t="inlineStr">
        <is>
          <t>20241126000626</t>
        </is>
      </c>
      <c r="H85" s="19" t="inlineStr">
        <is>
          <t>열기</t>
        </is>
      </c>
    </row>
    <row r="86">
      <c r="A86" s="18" t="inlineStr">
        <is>
          <t>2024-11-26</t>
        </is>
      </c>
      <c r="B86" s="18" t="inlineStr">
        <is>
          <t>주식등의대량보유상황보고서(일반)</t>
        </is>
      </c>
      <c r="C86" s="18" t="inlineStr">
        <is>
          <t>정규동</t>
        </is>
      </c>
      <c r="D86" s="18" t="inlineStr">
        <is>
          <t>5% 대량보유</t>
        </is>
      </c>
      <c r="E86" s="18" t="inlineStr"/>
      <c r="F86" s="18" t="inlineStr">
        <is>
          <t>20241126000620.html</t>
        </is>
      </c>
      <c r="G86" s="18" t="inlineStr">
        <is>
          <t>20241126000620</t>
        </is>
      </c>
      <c r="H86" s="19" t="inlineStr">
        <is>
          <t>열기</t>
        </is>
      </c>
    </row>
    <row r="87">
      <c r="A87" s="18" t="inlineStr">
        <is>
          <t>2024-11-15</t>
        </is>
      </c>
      <c r="B87" s="18" t="inlineStr">
        <is>
          <t>[기재정정]기업설명회(IR)개최</t>
        </is>
      </c>
      <c r="C87" s="18" t="inlineStr">
        <is>
          <t>가온칩스</t>
        </is>
      </c>
      <c r="D87" s="18" t="inlineStr">
        <is>
          <t>IR</t>
        </is>
      </c>
      <c r="E87" s="18" t="inlineStr">
        <is>
          <t>정정</t>
        </is>
      </c>
      <c r="F87" s="18" t="inlineStr">
        <is>
          <t>20241115900171.html</t>
        </is>
      </c>
      <c r="G87" s="18" t="inlineStr">
        <is>
          <t>20241115900171</t>
        </is>
      </c>
      <c r="H87" s="19" t="inlineStr">
        <is>
          <t>열기</t>
        </is>
      </c>
    </row>
    <row r="88">
      <c r="A88" s="18" t="inlineStr">
        <is>
          <t>2024-11-14</t>
        </is>
      </c>
      <c r="B88" s="18" t="inlineStr">
        <is>
          <t>기업설명회(IR)개최</t>
        </is>
      </c>
      <c r="C88" s="18" t="inlineStr">
        <is>
          <t>가온칩스</t>
        </is>
      </c>
      <c r="D88" s="18" t="inlineStr">
        <is>
          <t>IR</t>
        </is>
      </c>
      <c r="E88" s="18" t="inlineStr"/>
      <c r="F88" s="18" t="inlineStr">
        <is>
          <t>20241114901223.html</t>
        </is>
      </c>
      <c r="G88" s="18" t="inlineStr">
        <is>
          <t>20241114901223</t>
        </is>
      </c>
      <c r="H88" s="19" t="inlineStr">
        <is>
          <t>열기</t>
        </is>
      </c>
    </row>
    <row r="89">
      <c r="A89" s="18" t="inlineStr">
        <is>
          <t>2024-11-14</t>
        </is>
      </c>
      <c r="B89" s="18" t="inlineStr">
        <is>
          <t>기업설명회(IR)개최</t>
        </is>
      </c>
      <c r="C89" s="18" t="inlineStr">
        <is>
          <t>가온칩스</t>
        </is>
      </c>
      <c r="D89" s="18" t="inlineStr">
        <is>
          <t>IR</t>
        </is>
      </c>
      <c r="E89" s="18" t="inlineStr"/>
      <c r="F89" s="18" t="inlineStr">
        <is>
          <t>20241114901213.html</t>
        </is>
      </c>
      <c r="G89" s="18" t="inlineStr">
        <is>
          <t>20241114901213</t>
        </is>
      </c>
      <c r="H89" s="19" t="inlineStr">
        <is>
          <t>열기</t>
        </is>
      </c>
    </row>
    <row r="90">
      <c r="A90" s="18" t="inlineStr">
        <is>
          <t>2024-11-14</t>
        </is>
      </c>
      <c r="B90" s="18" t="inlineStr">
        <is>
          <t>분기보고서 (2024.09)</t>
        </is>
      </c>
      <c r="C90" s="18" t="inlineStr">
        <is>
          <t>가온칩스</t>
        </is>
      </c>
      <c r="D90" s="18" t="inlineStr">
        <is>
          <t>정기보고서</t>
        </is>
      </c>
      <c r="E90" s="18" t="inlineStr"/>
      <c r="F90" s="18" t="inlineStr">
        <is>
          <t>20241114000634.html</t>
        </is>
      </c>
      <c r="G90" s="18" t="inlineStr">
        <is>
          <t>20241114000634</t>
        </is>
      </c>
      <c r="H90" s="19" t="inlineStr">
        <is>
          <t>열기</t>
        </is>
      </c>
    </row>
    <row r="91">
      <c r="A91" s="18" t="inlineStr">
        <is>
          <t>2024-10-10</t>
        </is>
      </c>
      <c r="B91" s="18" t="inlineStr">
        <is>
          <t>주식등의대량보유상황보고서(일반)</t>
        </is>
      </c>
      <c r="C91" s="18" t="inlineStr">
        <is>
          <t>정규동</t>
        </is>
      </c>
      <c r="D91" s="18" t="inlineStr">
        <is>
          <t>5% 대량보유</t>
        </is>
      </c>
      <c r="E91" s="18" t="inlineStr"/>
      <c r="F91" s="18" t="inlineStr">
        <is>
          <t>20241010000530.html</t>
        </is>
      </c>
      <c r="G91" s="18" t="inlineStr">
        <is>
          <t>20241010000530</t>
        </is>
      </c>
      <c r="H91" s="19" t="inlineStr">
        <is>
          <t>열기</t>
        </is>
      </c>
    </row>
    <row r="92">
      <c r="A92" s="18" t="inlineStr">
        <is>
          <t>2024-08-30</t>
        </is>
      </c>
      <c r="B92" s="18" t="inlineStr">
        <is>
          <t>기업설명회(IR)개최</t>
        </is>
      </c>
      <c r="C92" s="18" t="inlineStr">
        <is>
          <t>가온칩스</t>
        </is>
      </c>
      <c r="D92" s="18" t="inlineStr">
        <is>
          <t>IR</t>
        </is>
      </c>
      <c r="E92" s="18" t="inlineStr"/>
      <c r="F92" s="18" t="inlineStr">
        <is>
          <t>20240830900338.html</t>
        </is>
      </c>
      <c r="G92" s="18" t="inlineStr">
        <is>
          <t>20240830900338</t>
        </is>
      </c>
      <c r="H92" s="19" t="inlineStr">
        <is>
          <t>열기</t>
        </is>
      </c>
    </row>
    <row r="93">
      <c r="A93" s="18" t="inlineStr">
        <is>
          <t>2024-08-27</t>
        </is>
      </c>
      <c r="B93" s="18" t="inlineStr">
        <is>
          <t>주식등의대량보유상황보고서(일반)</t>
        </is>
      </c>
      <c r="C93" s="18" t="inlineStr">
        <is>
          <t>정규동</t>
        </is>
      </c>
      <c r="D93" s="18" t="inlineStr">
        <is>
          <t>5% 대량보유</t>
        </is>
      </c>
      <c r="E93" s="18" t="inlineStr"/>
      <c r="F93" s="18" t="inlineStr">
        <is>
          <t>20240827000729.html</t>
        </is>
      </c>
      <c r="G93" s="18" t="inlineStr">
        <is>
          <t>20240827000729</t>
        </is>
      </c>
      <c r="H93" s="19" t="inlineStr">
        <is>
          <t>열기</t>
        </is>
      </c>
    </row>
    <row r="94">
      <c r="A94" s="18" t="inlineStr">
        <is>
          <t>2024-08-14</t>
        </is>
      </c>
      <c r="B94" s="18" t="inlineStr">
        <is>
          <t>반기보고서 (2024.06)</t>
        </is>
      </c>
      <c r="C94" s="18" t="inlineStr">
        <is>
          <t>가온칩스</t>
        </is>
      </c>
      <c r="D94" s="18" t="inlineStr">
        <is>
          <t>정기보고서</t>
        </is>
      </c>
      <c r="E94" s="18" t="inlineStr"/>
      <c r="F94" s="18" t="inlineStr">
        <is>
          <t>20240814003225.html</t>
        </is>
      </c>
      <c r="G94" s="18" t="inlineStr">
        <is>
          <t>20240814003225</t>
        </is>
      </c>
      <c r="H94" s="19" t="inlineStr">
        <is>
          <t>열기</t>
        </is>
      </c>
    </row>
    <row r="95">
      <c r="A95" s="18" t="inlineStr">
        <is>
          <t>2024-08-08</t>
        </is>
      </c>
      <c r="B95" s="18" t="inlineStr">
        <is>
          <t>단일판매ㆍ공급계약체결</t>
        </is>
      </c>
      <c r="C95" s="18" t="inlineStr">
        <is>
          <t>가온칩스</t>
        </is>
      </c>
      <c r="D95" s="18" t="inlineStr">
        <is>
          <t>공급계약</t>
        </is>
      </c>
      <c r="E95" s="18" t="inlineStr"/>
      <c r="F95" s="18" t="inlineStr">
        <is>
          <t>20240808900153.html</t>
        </is>
      </c>
      <c r="G95" s="18" t="inlineStr">
        <is>
          <t>20240808900153</t>
        </is>
      </c>
      <c r="H95" s="19" t="inlineStr">
        <is>
          <t>열기</t>
        </is>
      </c>
    </row>
    <row r="96">
      <c r="A96" s="18" t="inlineStr">
        <is>
          <t>2024-08-02</t>
        </is>
      </c>
      <c r="B96" s="18" t="inlineStr">
        <is>
          <t>주식등의대량보유상황보고서(일반)</t>
        </is>
      </c>
      <c r="C96" s="18" t="inlineStr">
        <is>
          <t>정규동</t>
        </is>
      </c>
      <c r="D96" s="18" t="inlineStr">
        <is>
          <t>5% 대량보유</t>
        </is>
      </c>
      <c r="E96" s="18" t="inlineStr"/>
      <c r="F96" s="18" t="inlineStr">
        <is>
          <t>20240802000345.html</t>
        </is>
      </c>
      <c r="G96" s="18" t="inlineStr">
        <is>
          <t>20240802000345</t>
        </is>
      </c>
      <c r="H96" s="19" t="inlineStr">
        <is>
          <t>열기</t>
        </is>
      </c>
    </row>
    <row r="97">
      <c r="A97" s="18" t="inlineStr">
        <is>
          <t>2024-05-29</t>
        </is>
      </c>
      <c r="B97" s="18" t="inlineStr">
        <is>
          <t>주식등의대량보유상황보고서(일반)</t>
        </is>
      </c>
      <c r="C97" s="18" t="inlineStr">
        <is>
          <t>정규동</t>
        </is>
      </c>
      <c r="D97" s="18" t="inlineStr">
        <is>
          <t>5% 대량보유</t>
        </is>
      </c>
      <c r="E97" s="18" t="inlineStr"/>
      <c r="F97" s="18" t="inlineStr">
        <is>
          <t>20240529000524.html</t>
        </is>
      </c>
      <c r="G97" s="18" t="inlineStr">
        <is>
          <t>20240529000524</t>
        </is>
      </c>
      <c r="H97" s="19" t="inlineStr">
        <is>
          <t>열기</t>
        </is>
      </c>
    </row>
    <row r="98">
      <c r="A98" s="18" t="inlineStr">
        <is>
          <t>2024-05-16</t>
        </is>
      </c>
      <c r="B98" s="18" t="inlineStr">
        <is>
          <t>분기보고서 (2024.03)</t>
        </is>
      </c>
      <c r="C98" s="18" t="inlineStr">
        <is>
          <t>가온칩스</t>
        </is>
      </c>
      <c r="D98" s="18" t="inlineStr">
        <is>
          <t>정기보고서</t>
        </is>
      </c>
      <c r="E98" s="18" t="inlineStr"/>
      <c r="F98" s="18" t="inlineStr">
        <is>
          <t>20240516001788.html</t>
        </is>
      </c>
      <c r="G98" s="18" t="inlineStr">
        <is>
          <t>20240516001788</t>
        </is>
      </c>
      <c r="H98" s="19" t="inlineStr">
        <is>
          <t>열기</t>
        </is>
      </c>
    </row>
    <row r="99">
      <c r="A99" s="18" t="inlineStr">
        <is>
          <t>2024-05-03</t>
        </is>
      </c>
      <c r="B99" s="18" t="inlineStr">
        <is>
          <t>주식등의대량보유상황보고서(약식)</t>
        </is>
      </c>
      <c r="C99" s="18" t="inlineStr">
        <is>
          <t>심진섭</t>
        </is>
      </c>
      <c r="D99" s="18" t="inlineStr">
        <is>
          <t>5% 대량보유</t>
        </is>
      </c>
      <c r="E99" s="18" t="inlineStr"/>
      <c r="F99" s="18" t="inlineStr">
        <is>
          <t>20240503000746.html</t>
        </is>
      </c>
      <c r="G99" s="18" t="inlineStr">
        <is>
          <t>20240503000746</t>
        </is>
      </c>
      <c r="H99" s="19" t="inlineStr">
        <is>
          <t>열기</t>
        </is>
      </c>
    </row>
    <row r="100">
      <c r="A100" s="18" t="inlineStr">
        <is>
          <t>2024-05-03</t>
        </is>
      </c>
      <c r="B100" s="18" t="inlineStr">
        <is>
          <t>임원ㆍ주요주주특정증권등소유상황보고서</t>
        </is>
      </c>
      <c r="C100" s="18" t="inlineStr">
        <is>
          <t>심진섭</t>
        </is>
      </c>
      <c r="D100" s="18" t="inlineStr">
        <is>
          <t>임원 소유상황/거래계획</t>
        </is>
      </c>
      <c r="E100" s="18" t="inlineStr"/>
      <c r="F100" s="18" t="inlineStr">
        <is>
          <t>20240503000731.html</t>
        </is>
      </c>
      <c r="G100" s="18" t="inlineStr">
        <is>
          <t>20240503000731</t>
        </is>
      </c>
      <c r="H100" s="19" t="inlineStr">
        <is>
          <t>열기</t>
        </is>
      </c>
    </row>
    <row r="101">
      <c r="A101" s="18" t="inlineStr">
        <is>
          <t>2024-05-03</t>
        </is>
      </c>
      <c r="B101" s="18" t="inlineStr">
        <is>
          <t>주식등의대량보유상황보고서(일반)</t>
        </is>
      </c>
      <c r="C101" s="18" t="inlineStr">
        <is>
          <t>정규동</t>
        </is>
      </c>
      <c r="D101" s="18" t="inlineStr">
        <is>
          <t>5% 대량보유</t>
        </is>
      </c>
      <c r="E101" s="18" t="inlineStr"/>
      <c r="F101" s="18" t="inlineStr">
        <is>
          <t>20240503000719.html</t>
        </is>
      </c>
      <c r="G101" s="18" t="inlineStr">
        <is>
          <t>20240503000719</t>
        </is>
      </c>
      <c r="H101" s="19" t="inlineStr">
        <is>
          <t>열기</t>
        </is>
      </c>
    </row>
    <row r="102">
      <c r="A102" s="18" t="inlineStr">
        <is>
          <t>2024-03-26</t>
        </is>
      </c>
      <c r="B102" s="18" t="inlineStr">
        <is>
          <t>정기주주총회결과</t>
        </is>
      </c>
      <c r="C102" s="18" t="inlineStr">
        <is>
          <t>가온칩스</t>
        </is>
      </c>
      <c r="D102" s="18" t="inlineStr">
        <is>
          <t>경영권/주총</t>
        </is>
      </c>
      <c r="E102" s="18" t="inlineStr"/>
      <c r="F102" s="18" t="inlineStr">
        <is>
          <t>20240326900862.html</t>
        </is>
      </c>
      <c r="G102" s="18" t="inlineStr">
        <is>
          <t>20240326900862</t>
        </is>
      </c>
      <c r="H102" s="19" t="inlineStr">
        <is>
          <t>열기</t>
        </is>
      </c>
    </row>
    <row r="103">
      <c r="A103" s="18" t="inlineStr">
        <is>
          <t>2024-03-18</t>
        </is>
      </c>
      <c r="B103" s="18" t="inlineStr">
        <is>
          <t>감사보고서제출</t>
        </is>
      </c>
      <c r="C103" s="18" t="inlineStr">
        <is>
          <t>가온칩스</t>
        </is>
      </c>
      <c r="D103" s="18" t="inlineStr">
        <is>
          <t>감사보고서</t>
        </is>
      </c>
      <c r="E103" s="18" t="inlineStr"/>
      <c r="F103" s="18" t="inlineStr">
        <is>
          <t>20240318901055.html</t>
        </is>
      </c>
      <c r="G103" s="18" t="inlineStr">
        <is>
          <t>20240318901055</t>
        </is>
      </c>
      <c r="H103" s="19" t="inlineStr">
        <is>
          <t>열기</t>
        </is>
      </c>
    </row>
    <row r="104">
      <c r="A104" s="18" t="inlineStr">
        <is>
          <t>2024-03-18</t>
        </is>
      </c>
      <c r="B104" s="18" t="inlineStr">
        <is>
          <t>사업보고서 (2023.12)</t>
        </is>
      </c>
      <c r="C104" s="18" t="inlineStr">
        <is>
          <t>가온칩스</t>
        </is>
      </c>
      <c r="D104" s="18" t="inlineStr">
        <is>
          <t>정기보고서</t>
        </is>
      </c>
      <c r="E104" s="18" t="inlineStr"/>
      <c r="F104" s="18" t="inlineStr">
        <is>
          <t>20240318000834.html</t>
        </is>
      </c>
      <c r="G104" s="18" t="inlineStr">
        <is>
          <t>20240318000834</t>
        </is>
      </c>
      <c r="H104" s="19" t="inlineStr">
        <is>
          <t>열기</t>
        </is>
      </c>
    </row>
    <row r="105">
      <c r="A105" s="18" t="inlineStr">
        <is>
          <t>2024-03-15</t>
        </is>
      </c>
      <c r="B105" s="18" t="inlineStr">
        <is>
          <t>[기재정정]주주총회소집공고</t>
        </is>
      </c>
      <c r="C105" s="18" t="inlineStr">
        <is>
          <t>가온칩스</t>
        </is>
      </c>
      <c r="D105" s="18" t="inlineStr">
        <is>
          <t>경영권/주총</t>
        </is>
      </c>
      <c r="E105" s="18" t="inlineStr">
        <is>
          <t>정정</t>
        </is>
      </c>
      <c r="F105" s="18" t="inlineStr">
        <is>
          <t>20240315000291.html</t>
        </is>
      </c>
      <c r="G105" s="18" t="inlineStr">
        <is>
          <t>20240315000291</t>
        </is>
      </c>
      <c r="H105" s="19" t="inlineStr">
        <is>
          <t>열기</t>
        </is>
      </c>
    </row>
    <row r="106">
      <c r="A106" s="18" t="inlineStr">
        <is>
          <t>2024-03-12</t>
        </is>
      </c>
      <c r="B106" s="18" t="inlineStr">
        <is>
          <t>[기재정정]주주총회소집공고</t>
        </is>
      </c>
      <c r="C106" s="18" t="inlineStr">
        <is>
          <t>가온칩스</t>
        </is>
      </c>
      <c r="D106" s="18" t="inlineStr">
        <is>
          <t>경영권/주총</t>
        </is>
      </c>
      <c r="E106" s="18" t="inlineStr">
        <is>
          <t>정정</t>
        </is>
      </c>
      <c r="F106" s="18" t="inlineStr">
        <is>
          <t>20240312000965.html</t>
        </is>
      </c>
      <c r="G106" s="18" t="inlineStr">
        <is>
          <t>20240312000965</t>
        </is>
      </c>
      <c r="H106" s="19" t="inlineStr">
        <is>
          <t>열기</t>
        </is>
      </c>
    </row>
    <row r="107">
      <c r="A107" s="18" t="inlineStr">
        <is>
          <t>2024-03-11</t>
        </is>
      </c>
      <c r="B107" s="18" t="inlineStr">
        <is>
          <t>주주총회소집결의</t>
        </is>
      </c>
      <c r="C107" s="18" t="inlineStr">
        <is>
          <t>가온칩스</t>
        </is>
      </c>
      <c r="D107" s="18" t="inlineStr">
        <is>
          <t>경영권/주총</t>
        </is>
      </c>
      <c r="E107" s="18" t="inlineStr"/>
      <c r="F107" s="18" t="inlineStr">
        <is>
          <t>20240311900835.html</t>
        </is>
      </c>
      <c r="G107" s="18" t="inlineStr">
        <is>
          <t>20240311900835</t>
        </is>
      </c>
      <c r="H107" s="19" t="inlineStr">
        <is>
          <t>열기</t>
        </is>
      </c>
    </row>
    <row r="108">
      <c r="A108" s="18" t="inlineStr">
        <is>
          <t>2024-03-11</t>
        </is>
      </c>
      <c r="B108" s="18" t="inlineStr">
        <is>
          <t>주주총회소집공고</t>
        </is>
      </c>
      <c r="C108" s="18" t="inlineStr">
        <is>
          <t>가온칩스</t>
        </is>
      </c>
      <c r="D108" s="18" t="inlineStr">
        <is>
          <t>경영권/주총</t>
        </is>
      </c>
      <c r="E108" s="18" t="inlineStr"/>
      <c r="F108" s="18" t="inlineStr">
        <is>
          <t>20240311000685.html</t>
        </is>
      </c>
      <c r="G108" s="18" t="inlineStr">
        <is>
          <t>20240311000685</t>
        </is>
      </c>
      <c r="H108" s="19" t="inlineStr">
        <is>
          <t>열기</t>
        </is>
      </c>
    </row>
    <row r="109">
      <c r="A109" s="18" t="inlineStr">
        <is>
          <t>2024-03-04</t>
        </is>
      </c>
      <c r="B109" s="18" t="inlineStr">
        <is>
          <t>주식등의대량보유상황보고서(일반)</t>
        </is>
      </c>
      <c r="C109" s="18" t="inlineStr">
        <is>
          <t>정규동</t>
        </is>
      </c>
      <c r="D109" s="18" t="inlineStr">
        <is>
          <t>5% 대량보유</t>
        </is>
      </c>
      <c r="E109" s="18" t="inlineStr"/>
      <c r="F109" s="18" t="inlineStr">
        <is>
          <t>20240304000479.html</t>
        </is>
      </c>
      <c r="G109" s="18" t="inlineStr">
        <is>
          <t>20240304000479</t>
        </is>
      </c>
      <c r="H109" s="19" t="inlineStr">
        <is>
          <t>열기</t>
        </is>
      </c>
    </row>
    <row r="110">
      <c r="A110" s="18" t="inlineStr">
        <is>
          <t>2024-02-21</t>
        </is>
      </c>
      <c r="B110" s="18" t="inlineStr">
        <is>
          <t>주식등의대량보유상황보고서(일반)</t>
        </is>
      </c>
      <c r="C110" s="18" t="inlineStr">
        <is>
          <t>정규동</t>
        </is>
      </c>
      <c r="D110" s="18" t="inlineStr">
        <is>
          <t>5% 대량보유</t>
        </is>
      </c>
      <c r="E110" s="18" t="inlineStr"/>
      <c r="F110" s="18" t="inlineStr">
        <is>
          <t>20240221001618.html</t>
        </is>
      </c>
      <c r="G110" s="18" t="inlineStr">
        <is>
          <t>20240221001618</t>
        </is>
      </c>
      <c r="H110" s="19" t="inlineStr">
        <is>
          <t>열기</t>
        </is>
      </c>
    </row>
    <row r="111">
      <c r="A111" s="18" t="inlineStr">
        <is>
          <t>2024-02-13</t>
        </is>
      </c>
      <c r="B111" s="18" t="inlineStr">
        <is>
          <t>매출액또는손익구조30%(대규모법인은15%)이상변동</t>
        </is>
      </c>
      <c r="C111" s="18" t="inlineStr">
        <is>
          <t>가온칩스</t>
        </is>
      </c>
      <c r="D111" s="18" t="inlineStr">
        <is>
          <t>실적변동</t>
        </is>
      </c>
      <c r="E111" s="18" t="inlineStr"/>
      <c r="F111" s="18" t="inlineStr">
        <is>
          <t>20240213900576.html</t>
        </is>
      </c>
      <c r="G111" s="18" t="inlineStr">
        <is>
          <t>20240213900576</t>
        </is>
      </c>
      <c r="H111" s="19" t="inlineStr">
        <is>
          <t>열기</t>
        </is>
      </c>
    </row>
    <row r="112">
      <c r="A112" s="18" t="inlineStr">
        <is>
          <t>2024-02-13</t>
        </is>
      </c>
      <c r="B112" s="18" t="inlineStr">
        <is>
          <t>주권매매거래정지              (단일판매공급계약)</t>
        </is>
      </c>
      <c r="C112" s="18" t="inlineStr">
        <is>
          <t>코스닥시장본부</t>
        </is>
      </c>
      <c r="D112" s="18" t="inlineStr">
        <is>
          <t>공급계약</t>
        </is>
      </c>
      <c r="E112" s="18" t="inlineStr"/>
      <c r="F112" s="18" t="inlineStr">
        <is>
          <t>20240213900270.html</t>
        </is>
      </c>
      <c r="G112" s="18" t="inlineStr">
        <is>
          <t>20240213900270</t>
        </is>
      </c>
      <c r="H112" s="19" t="inlineStr">
        <is>
          <t>열기</t>
        </is>
      </c>
    </row>
    <row r="113">
      <c r="A113" s="18" t="inlineStr">
        <is>
          <t>2024-02-13</t>
        </is>
      </c>
      <c r="B113" s="18" t="inlineStr">
        <is>
          <t>단일판매ㆍ공급계약체결</t>
        </is>
      </c>
      <c r="C113" s="18" t="inlineStr">
        <is>
          <t>가온칩스</t>
        </is>
      </c>
      <c r="D113" s="18" t="inlineStr">
        <is>
          <t>공급계약</t>
        </is>
      </c>
      <c r="E113" s="18" t="inlineStr"/>
      <c r="F113" s="18" t="inlineStr">
        <is>
          <t>20240213900265.html</t>
        </is>
      </c>
      <c r="G113" s="18" t="inlineStr">
        <is>
          <t>20240213900265</t>
        </is>
      </c>
      <c r="H113" s="19" t="inlineStr">
        <is>
          <t>열기</t>
        </is>
      </c>
    </row>
    <row r="114">
      <c r="A114" s="18" t="inlineStr">
        <is>
          <t>2024-02-05</t>
        </is>
      </c>
      <c r="B114" s="18" t="inlineStr">
        <is>
          <t>주식등의대량보유상황보고서(일반)</t>
        </is>
      </c>
      <c r="C114" s="18" t="inlineStr">
        <is>
          <t>정규동</t>
        </is>
      </c>
      <c r="D114" s="18" t="inlineStr">
        <is>
          <t>5% 대량보유</t>
        </is>
      </c>
      <c r="E114" s="18" t="inlineStr"/>
      <c r="F114" s="18" t="inlineStr">
        <is>
          <t>20240205000376.html</t>
        </is>
      </c>
      <c r="G114" s="18" t="inlineStr">
        <is>
          <t>20240205000376</t>
        </is>
      </c>
      <c r="H114" s="19" t="inlineStr">
        <is>
          <t>열기</t>
        </is>
      </c>
    </row>
    <row r="115">
      <c r="A115" s="18" t="inlineStr">
        <is>
          <t>2024-01-04</t>
        </is>
      </c>
      <c r="B115" s="18" t="inlineStr">
        <is>
          <t>임원ㆍ주요주주특정증권등소유상황보고서</t>
        </is>
      </c>
      <c r="C115" s="18" t="inlineStr">
        <is>
          <t>이은희</t>
        </is>
      </c>
      <c r="D115" s="18" t="inlineStr">
        <is>
          <t>임원 소유상황/거래계획</t>
        </is>
      </c>
      <c r="E115" s="18" t="inlineStr"/>
      <c r="F115" s="18" t="inlineStr">
        <is>
          <t>20240104000321.html</t>
        </is>
      </c>
      <c r="G115" s="18" t="inlineStr">
        <is>
          <t>20240104000321</t>
        </is>
      </c>
      <c r="H115" s="19" t="inlineStr">
        <is>
          <t>열기</t>
        </is>
      </c>
    </row>
    <row r="116">
      <c r="A116" s="18" t="inlineStr">
        <is>
          <t>2023-12-21</t>
        </is>
      </c>
      <c r="B116" s="18" t="inlineStr">
        <is>
          <t>단일판매ㆍ공급계약체결</t>
        </is>
      </c>
      <c r="C116" s="18" t="inlineStr">
        <is>
          <t>가온칩스</t>
        </is>
      </c>
      <c r="D116" s="18" t="inlineStr">
        <is>
          <t>공급계약</t>
        </is>
      </c>
      <c r="E116" s="18" t="inlineStr"/>
      <c r="F116" s="18" t="inlineStr">
        <is>
          <t>20231221900531.html</t>
        </is>
      </c>
      <c r="G116" s="18" t="inlineStr">
        <is>
          <t>20231221900531</t>
        </is>
      </c>
      <c r="H116" s="19" t="inlineStr">
        <is>
          <t>열기</t>
        </is>
      </c>
    </row>
    <row r="117">
      <c r="A117" s="18" t="inlineStr">
        <is>
          <t>2023-12-21</t>
        </is>
      </c>
      <c r="B117" s="18" t="inlineStr">
        <is>
          <t>단일판매ㆍ공급계약체결</t>
        </is>
      </c>
      <c r="C117" s="18" t="inlineStr">
        <is>
          <t>가온칩스</t>
        </is>
      </c>
      <c r="D117" s="18" t="inlineStr">
        <is>
          <t>공급계약</t>
        </is>
      </c>
      <c r="E117" s="18" t="inlineStr"/>
      <c r="F117" s="18" t="inlineStr">
        <is>
          <t>20231221900172.html</t>
        </is>
      </c>
      <c r="G117" s="18" t="inlineStr">
        <is>
          <t>20231221900172</t>
        </is>
      </c>
      <c r="H117" s="19" t="inlineStr">
        <is>
          <t>열기</t>
        </is>
      </c>
    </row>
    <row r="118">
      <c r="A118" s="18" t="inlineStr">
        <is>
          <t>2023-12-14</t>
        </is>
      </c>
      <c r="B118" s="18" t="inlineStr">
        <is>
          <t>주주명부폐쇄기간또는기준일설정</t>
        </is>
      </c>
      <c r="C118" s="18" t="inlineStr">
        <is>
          <t>가온칩스</t>
        </is>
      </c>
      <c r="D118" s="18" t="inlineStr">
        <is>
          <t>경영권/주총</t>
        </is>
      </c>
      <c r="E118" s="18" t="inlineStr"/>
      <c r="F118" s="18" t="inlineStr">
        <is>
          <t>20231214900906.html</t>
        </is>
      </c>
      <c r="G118" s="18" t="inlineStr">
        <is>
          <t>20231214900906</t>
        </is>
      </c>
      <c r="H118" s="19" t="inlineStr">
        <is>
          <t>열기</t>
        </is>
      </c>
    </row>
    <row r="119">
      <c r="A119" s="18" t="inlineStr">
        <is>
          <t>2023-11-14</t>
        </is>
      </c>
      <c r="B119" s="18" t="inlineStr">
        <is>
          <t>분기보고서 (2023.09)</t>
        </is>
      </c>
      <c r="C119" s="18" t="inlineStr">
        <is>
          <t>가온칩스</t>
        </is>
      </c>
      <c r="D119" s="18" t="inlineStr">
        <is>
          <t>정기보고서</t>
        </is>
      </c>
      <c r="E119" s="18" t="inlineStr"/>
      <c r="F119" s="18" t="inlineStr">
        <is>
          <t>20231114000553.html</t>
        </is>
      </c>
      <c r="G119" s="18" t="inlineStr">
        <is>
          <t>20231114000553</t>
        </is>
      </c>
      <c r="H119" s="19" t="inlineStr">
        <is>
          <t>열기</t>
        </is>
      </c>
    </row>
    <row r="120">
      <c r="A120" s="18" t="inlineStr">
        <is>
          <t>2023-11-07</t>
        </is>
      </c>
      <c r="B120" s="18" t="inlineStr">
        <is>
          <t>[기재정정]주식등의대량보유상황보고서(일반)</t>
        </is>
      </c>
      <c r="C120" s="18" t="inlineStr">
        <is>
          <t>정규동</t>
        </is>
      </c>
      <c r="D120" s="18" t="inlineStr">
        <is>
          <t>5% 대량보유</t>
        </is>
      </c>
      <c r="E120" s="18" t="inlineStr">
        <is>
          <t>정정</t>
        </is>
      </c>
      <c r="F120" s="18" t="inlineStr">
        <is>
          <t>20231107000273.html</t>
        </is>
      </c>
      <c r="G120" s="18" t="inlineStr">
        <is>
          <t>20231107000273</t>
        </is>
      </c>
      <c r="H120" s="19" t="inlineStr">
        <is>
          <t>열기</t>
        </is>
      </c>
    </row>
    <row r="121">
      <c r="A121" s="18" t="inlineStr">
        <is>
          <t>2023-11-07</t>
        </is>
      </c>
      <c r="B121" s="18" t="inlineStr">
        <is>
          <t>주식등의대량보유상황보고서(일반)</t>
        </is>
      </c>
      <c r="C121" s="18" t="inlineStr">
        <is>
          <t>정규동</t>
        </is>
      </c>
      <c r="D121" s="18" t="inlineStr">
        <is>
          <t>5% 대량보유</t>
        </is>
      </c>
      <c r="E121" s="18" t="inlineStr"/>
      <c r="F121" s="18" t="inlineStr">
        <is>
          <t>20231106000353.html</t>
        </is>
      </c>
      <c r="G121" s="18" t="inlineStr">
        <is>
          <t>20231106000353</t>
        </is>
      </c>
      <c r="H121" s="19" t="inlineStr">
        <is>
          <t>열기</t>
        </is>
      </c>
    </row>
    <row r="122">
      <c r="A122" s="18" t="inlineStr">
        <is>
          <t>2023-09-07</t>
        </is>
      </c>
      <c r="B122" s="18" t="inlineStr">
        <is>
          <t>주식등의대량보유상황보고서(일반)</t>
        </is>
      </c>
      <c r="C122" s="18" t="inlineStr">
        <is>
          <t>정규동</t>
        </is>
      </c>
      <c r="D122" s="18" t="inlineStr">
        <is>
          <t>5% 대량보유</t>
        </is>
      </c>
      <c r="E122" s="18" t="inlineStr"/>
      <c r="F122" s="18" t="inlineStr">
        <is>
          <t>20230907000343.html</t>
        </is>
      </c>
      <c r="G122" s="18" t="inlineStr">
        <is>
          <t>20230907000343</t>
        </is>
      </c>
      <c r="H122" s="19" t="inlineStr">
        <is>
          <t>열기</t>
        </is>
      </c>
    </row>
    <row r="123">
      <c r="A123" s="18" t="inlineStr">
        <is>
          <t>2023-08-14</t>
        </is>
      </c>
      <c r="B123" s="18" t="inlineStr">
        <is>
          <t>반기보고서 (2023.06)</t>
        </is>
      </c>
      <c r="C123" s="18" t="inlineStr">
        <is>
          <t>가온칩스</t>
        </is>
      </c>
      <c r="D123" s="18" t="inlineStr">
        <is>
          <t>정기보고서</t>
        </is>
      </c>
      <c r="E123" s="18" t="inlineStr"/>
      <c r="F123" s="18" t="inlineStr">
        <is>
          <t>20230814000828.html</t>
        </is>
      </c>
      <c r="G123" s="18" t="inlineStr">
        <is>
          <t>20230814000828</t>
        </is>
      </c>
      <c r="H123" s="19" t="inlineStr">
        <is>
          <t>열기</t>
        </is>
      </c>
    </row>
    <row r="124">
      <c r="A124" s="18" t="inlineStr">
        <is>
          <t>2023-08-10</t>
        </is>
      </c>
      <c r="B124" s="18" t="inlineStr">
        <is>
          <t>[기재정정]단일판매ㆍ공급계약체결</t>
        </is>
      </c>
      <c r="C124" s="18" t="inlineStr">
        <is>
          <t>가온칩스</t>
        </is>
      </c>
      <c r="D124" s="18" t="inlineStr">
        <is>
          <t>공급계약</t>
        </is>
      </c>
      <c r="E124" s="18" t="inlineStr">
        <is>
          <t>정정</t>
        </is>
      </c>
      <c r="F124" s="18" t="inlineStr">
        <is>
          <t>20230810900791.html</t>
        </is>
      </c>
      <c r="G124" s="18" t="inlineStr">
        <is>
          <t>20230810900791</t>
        </is>
      </c>
      <c r="H124" s="19" t="inlineStr">
        <is>
          <t>열기</t>
        </is>
      </c>
    </row>
    <row r="125">
      <c r="A125" s="18" t="inlineStr">
        <is>
          <t>2023-07-21</t>
        </is>
      </c>
      <c r="B125" s="18" t="inlineStr">
        <is>
          <t>임원ㆍ주요주주특정증권등소유상황보고서</t>
        </is>
      </c>
      <c r="C125" s="18" t="inlineStr">
        <is>
          <t>박영근</t>
        </is>
      </c>
      <c r="D125" s="18" t="inlineStr">
        <is>
          <t>임원 소유상황/거래계획</t>
        </is>
      </c>
      <c r="E125" s="18" t="inlineStr"/>
      <c r="F125" s="18" t="inlineStr">
        <is>
          <t>20230721000428.html</t>
        </is>
      </c>
      <c r="G125" s="18" t="inlineStr">
        <is>
          <t>20230721000428</t>
        </is>
      </c>
      <c r="H125" s="19" t="inlineStr">
        <is>
          <t>열기</t>
        </is>
      </c>
    </row>
    <row r="126">
      <c r="A126" s="18" t="inlineStr">
        <is>
          <t>2023-07-21</t>
        </is>
      </c>
      <c r="B126" s="18" t="inlineStr">
        <is>
          <t>임원ㆍ주요주주특정증권등소유상황보고서</t>
        </is>
      </c>
      <c r="C126" s="18" t="inlineStr">
        <is>
          <t>최진열</t>
        </is>
      </c>
      <c r="D126" s="18" t="inlineStr">
        <is>
          <t>임원 소유상황/거래계획</t>
        </is>
      </c>
      <c r="E126" s="18" t="inlineStr"/>
      <c r="F126" s="18" t="inlineStr">
        <is>
          <t>20230721000423.html</t>
        </is>
      </c>
      <c r="G126" s="18" t="inlineStr">
        <is>
          <t>20230721000423</t>
        </is>
      </c>
      <c r="H126" s="19" t="inlineStr">
        <is>
          <t>열기</t>
        </is>
      </c>
    </row>
    <row r="127">
      <c r="A127" s="18" t="inlineStr">
        <is>
          <t>2023-07-14</t>
        </is>
      </c>
      <c r="B127" s="18" t="inlineStr">
        <is>
          <t>임원ㆍ주요주주특정증권등소유상황보고서</t>
        </is>
      </c>
      <c r="C127" s="18" t="inlineStr">
        <is>
          <t>윤형석</t>
        </is>
      </c>
      <c r="D127" s="18" t="inlineStr">
        <is>
          <t>임원 소유상황/거래계획</t>
        </is>
      </c>
      <c r="E127" s="18" t="inlineStr"/>
      <c r="F127" s="18" t="inlineStr">
        <is>
          <t>20230714000540.html</t>
        </is>
      </c>
      <c r="G127" s="18" t="inlineStr">
        <is>
          <t>20230714000540</t>
        </is>
      </c>
      <c r="H127" s="19" t="inlineStr">
        <is>
          <t>열기</t>
        </is>
      </c>
    </row>
    <row r="128">
      <c r="A128" s="18" t="inlineStr">
        <is>
          <t>2023-06-13</t>
        </is>
      </c>
      <c r="B128" s="18" t="inlineStr">
        <is>
          <t>주식매수선택권부여에관한신고</t>
        </is>
      </c>
      <c r="C128" s="18" t="inlineStr">
        <is>
          <t>가온칩스</t>
        </is>
      </c>
      <c r="D128" s="18" t="inlineStr">
        <is>
          <t>스톡옵션</t>
        </is>
      </c>
      <c r="E128" s="18" t="inlineStr"/>
      <c r="F128" s="18" t="inlineStr">
        <is>
          <t>20230613000426.html</t>
        </is>
      </c>
      <c r="G128" s="18" t="inlineStr">
        <is>
          <t>20230613000426</t>
        </is>
      </c>
      <c r="H128" s="19" t="inlineStr">
        <is>
          <t>열기</t>
        </is>
      </c>
    </row>
    <row r="129">
      <c r="A129" s="18" t="inlineStr">
        <is>
          <t>2023-06-01</t>
        </is>
      </c>
      <c r="B129" s="18" t="inlineStr">
        <is>
          <t>[기재정정]단일판매ㆍ공급계약체결</t>
        </is>
      </c>
      <c r="C129" s="18" t="inlineStr">
        <is>
          <t>가온칩스</t>
        </is>
      </c>
      <c r="D129" s="18" t="inlineStr">
        <is>
          <t>공급계약</t>
        </is>
      </c>
      <c r="E129" s="18" t="inlineStr">
        <is>
          <t>정정</t>
        </is>
      </c>
      <c r="F129" s="18" t="inlineStr">
        <is>
          <t>20230601900458.html</t>
        </is>
      </c>
      <c r="G129" s="18" t="inlineStr">
        <is>
          <t>20230601900458</t>
        </is>
      </c>
      <c r="H129" s="19" t="inlineStr">
        <is>
          <t>열기</t>
        </is>
      </c>
    </row>
    <row r="130">
      <c r="A130" s="18" t="inlineStr">
        <is>
          <t>2023-05-15</t>
        </is>
      </c>
      <c r="B130" s="18" t="inlineStr">
        <is>
          <t>분기보고서 (2023.03)</t>
        </is>
      </c>
      <c r="C130" s="18" t="inlineStr">
        <is>
          <t>가온칩스</t>
        </is>
      </c>
      <c r="D130" s="18" t="inlineStr">
        <is>
          <t>정기보고서</t>
        </is>
      </c>
      <c r="E130" s="18" t="inlineStr"/>
      <c r="F130" s="18" t="inlineStr">
        <is>
          <t>20230515002731.html</t>
        </is>
      </c>
      <c r="G130" s="18" t="inlineStr">
        <is>
          <t>20230515002731</t>
        </is>
      </c>
      <c r="H130" s="19" t="inlineStr">
        <is>
          <t>열기</t>
        </is>
      </c>
    </row>
    <row r="131">
      <c r="A131" s="18" t="inlineStr">
        <is>
          <t>2023-05-04</t>
        </is>
      </c>
      <c r="B131" s="18" t="inlineStr">
        <is>
          <t>단일판매ㆍ공급계약체결</t>
        </is>
      </c>
      <c r="C131" s="18" t="inlineStr">
        <is>
          <t>가온칩스</t>
        </is>
      </c>
      <c r="D131" s="18" t="inlineStr">
        <is>
          <t>공급계약</t>
        </is>
      </c>
      <c r="E131" s="18" t="inlineStr"/>
      <c r="F131" s="18" t="inlineStr">
        <is>
          <t>20230504900417.html</t>
        </is>
      </c>
      <c r="G131" s="18" t="inlineStr">
        <is>
          <t>20230504900417</t>
        </is>
      </c>
      <c r="H131" s="19" t="inlineStr">
        <is>
          <t>열기</t>
        </is>
      </c>
    </row>
    <row r="132">
      <c r="A132" s="18" t="inlineStr">
        <is>
          <t>2023-04-04</t>
        </is>
      </c>
      <c r="B132" s="18" t="inlineStr">
        <is>
          <t>임원ㆍ주요주주특정증권등소유상황보고서</t>
        </is>
      </c>
      <c r="C132" s="18" t="inlineStr">
        <is>
          <t>감태오</t>
        </is>
      </c>
      <c r="D132" s="18" t="inlineStr">
        <is>
          <t>임원 소유상황/거래계획</t>
        </is>
      </c>
      <c r="E132" s="18" t="inlineStr"/>
      <c r="F132" s="18" t="inlineStr">
        <is>
          <t>20230404002696.html</t>
        </is>
      </c>
      <c r="G132" s="18" t="inlineStr">
        <is>
          <t>20230404002696</t>
        </is>
      </c>
      <c r="H132" s="19" t="inlineStr">
        <is>
          <t>열기</t>
        </is>
      </c>
    </row>
    <row r="133">
      <c r="A133" s="18" t="inlineStr">
        <is>
          <t>2023-03-29</t>
        </is>
      </c>
      <c r="B133" s="18" t="inlineStr">
        <is>
          <t>정기주주총회결과</t>
        </is>
      </c>
      <c r="C133" s="18" t="inlineStr">
        <is>
          <t>가온칩스</t>
        </is>
      </c>
      <c r="D133" s="18" t="inlineStr">
        <is>
          <t>경영권/주총</t>
        </is>
      </c>
      <c r="E133" s="18" t="inlineStr"/>
      <c r="F133" s="18" t="inlineStr">
        <is>
          <t>20230329900249.html</t>
        </is>
      </c>
      <c r="G133" s="18" t="inlineStr">
        <is>
          <t>20230329900249</t>
        </is>
      </c>
      <c r="H133" s="19" t="inlineStr">
        <is>
          <t>열기</t>
        </is>
      </c>
    </row>
    <row r="134">
      <c r="A134" s="18" t="inlineStr">
        <is>
          <t>2023-03-29</t>
        </is>
      </c>
      <c r="B134" s="18" t="inlineStr">
        <is>
          <t>[기재정정]임원ㆍ주요주주특정증권등소유상황보고서</t>
        </is>
      </c>
      <c r="C134" s="18" t="inlineStr">
        <is>
          <t>이은희</t>
        </is>
      </c>
      <c r="D134" s="18" t="inlineStr">
        <is>
          <t>임원 소유상황/거래계획</t>
        </is>
      </c>
      <c r="E134" s="18" t="inlineStr">
        <is>
          <t>정정</t>
        </is>
      </c>
      <c r="F134" s="18" t="inlineStr">
        <is>
          <t>20230329000981.html</t>
        </is>
      </c>
      <c r="G134" s="18" t="inlineStr">
        <is>
          <t>20230329000981</t>
        </is>
      </c>
      <c r="H134" s="19" t="inlineStr">
        <is>
          <t>열기</t>
        </is>
      </c>
    </row>
    <row r="135">
      <c r="A135" s="18" t="inlineStr">
        <is>
          <t>2023-03-28</t>
        </is>
      </c>
      <c r="B135" s="18" t="inlineStr">
        <is>
          <t>임원ㆍ주요주주특정증권등소유상황보고서</t>
        </is>
      </c>
      <c r="C135" s="18" t="inlineStr">
        <is>
          <t>김효철</t>
        </is>
      </c>
      <c r="D135" s="18" t="inlineStr">
        <is>
          <t>임원 소유상황/거래계획</t>
        </is>
      </c>
      <c r="E135" s="18" t="inlineStr"/>
      <c r="F135" s="18" t="inlineStr">
        <is>
          <t>20230328001086.html</t>
        </is>
      </c>
      <c r="G135" s="18" t="inlineStr">
        <is>
          <t>20230328001086</t>
        </is>
      </c>
      <c r="H135" s="19" t="inlineStr">
        <is>
          <t>열기</t>
        </is>
      </c>
    </row>
    <row r="136">
      <c r="A136" s="18" t="inlineStr">
        <is>
          <t>2023-03-28</t>
        </is>
      </c>
      <c r="B136" s="18" t="inlineStr">
        <is>
          <t>임원ㆍ주요주주특정증권등소유상황보고서</t>
        </is>
      </c>
      <c r="C136" s="18" t="inlineStr">
        <is>
          <t>이은희</t>
        </is>
      </c>
      <c r="D136" s="18" t="inlineStr">
        <is>
          <t>임원 소유상황/거래계획</t>
        </is>
      </c>
      <c r="E136" s="18" t="inlineStr"/>
      <c r="F136" s="18" t="inlineStr">
        <is>
          <t>20230328001085.html</t>
        </is>
      </c>
      <c r="G136" s="18" t="inlineStr">
        <is>
          <t>20230328001085</t>
        </is>
      </c>
      <c r="H136" s="19" t="inlineStr">
        <is>
          <t>열기</t>
        </is>
      </c>
    </row>
    <row r="137">
      <c r="A137" s="18" t="inlineStr">
        <is>
          <t>2023-03-28</t>
        </is>
      </c>
      <c r="B137" s="18" t="inlineStr">
        <is>
          <t>임원ㆍ주요주주특정증권등소유상황보고서</t>
        </is>
      </c>
      <c r="C137" s="18" t="inlineStr">
        <is>
          <t>위지호</t>
        </is>
      </c>
      <c r="D137" s="18" t="inlineStr">
        <is>
          <t>임원 소유상황/거래계획</t>
        </is>
      </c>
      <c r="E137" s="18" t="inlineStr"/>
      <c r="F137" s="18" t="inlineStr">
        <is>
          <t>20230328001081.html</t>
        </is>
      </c>
      <c r="G137" s="18" t="inlineStr">
        <is>
          <t>20230328001081</t>
        </is>
      </c>
      <c r="H137" s="19" t="inlineStr">
        <is>
          <t>열기</t>
        </is>
      </c>
    </row>
    <row r="138">
      <c r="A138" s="18" t="inlineStr">
        <is>
          <t>2023-03-21</t>
        </is>
      </c>
      <c r="B138" s="18" t="inlineStr">
        <is>
          <t>감사보고서제출</t>
        </is>
      </c>
      <c r="C138" s="18" t="inlineStr">
        <is>
          <t>가온칩스</t>
        </is>
      </c>
      <c r="D138" s="18" t="inlineStr">
        <is>
          <t>감사보고서</t>
        </is>
      </c>
      <c r="E138" s="18" t="inlineStr"/>
      <c r="F138" s="18" t="inlineStr">
        <is>
          <t>20230321900693.html</t>
        </is>
      </c>
      <c r="G138" s="18" t="inlineStr">
        <is>
          <t>20230321900693</t>
        </is>
      </c>
      <c r="H138" s="19" t="inlineStr">
        <is>
          <t>열기</t>
        </is>
      </c>
    </row>
    <row r="139">
      <c r="A139" s="18" t="inlineStr">
        <is>
          <t>2023-03-21</t>
        </is>
      </c>
      <c r="B139" s="18" t="inlineStr">
        <is>
          <t>사업보고서 (2022.12)</t>
        </is>
      </c>
      <c r="C139" s="18" t="inlineStr">
        <is>
          <t>가온칩스</t>
        </is>
      </c>
      <c r="D139" s="18" t="inlineStr">
        <is>
          <t>정기보고서</t>
        </is>
      </c>
      <c r="E139" s="18" t="inlineStr"/>
      <c r="F139" s="18" t="inlineStr">
        <is>
          <t>20230321001274.html</t>
        </is>
      </c>
      <c r="G139" s="18" t="inlineStr">
        <is>
          <t>20230321001274</t>
        </is>
      </c>
      <c r="H139" s="19" t="inlineStr">
        <is>
          <t>열기</t>
        </is>
      </c>
    </row>
    <row r="140">
      <c r="A140" s="18" t="inlineStr">
        <is>
          <t>2023-03-17</t>
        </is>
      </c>
      <c r="B140" s="18" t="inlineStr">
        <is>
          <t>[기재정정]단일판매ㆍ공급계약체결</t>
        </is>
      </c>
      <c r="C140" s="18" t="inlineStr">
        <is>
          <t>가온칩스</t>
        </is>
      </c>
      <c r="D140" s="18" t="inlineStr">
        <is>
          <t>공급계약</t>
        </is>
      </c>
      <c r="E140" s="18" t="inlineStr">
        <is>
          <t>정정</t>
        </is>
      </c>
      <c r="F140" s="18" t="inlineStr">
        <is>
          <t>20230317900300.html</t>
        </is>
      </c>
      <c r="G140" s="18" t="inlineStr">
        <is>
          <t>20230317900300</t>
        </is>
      </c>
      <c r="H140" s="19" t="inlineStr">
        <is>
          <t>열기</t>
        </is>
      </c>
    </row>
    <row r="141">
      <c r="A141" s="18" t="inlineStr">
        <is>
          <t>2023-03-13</t>
        </is>
      </c>
      <c r="B141" s="18" t="inlineStr">
        <is>
          <t>주주총회소집결의</t>
        </is>
      </c>
      <c r="C141" s="18" t="inlineStr">
        <is>
          <t>가온칩스</t>
        </is>
      </c>
      <c r="D141" s="18" t="inlineStr">
        <is>
          <t>경영권/주총</t>
        </is>
      </c>
      <c r="E141" s="18" t="inlineStr"/>
      <c r="F141" s="18" t="inlineStr">
        <is>
          <t>20230313900767.html</t>
        </is>
      </c>
      <c r="G141" s="18" t="inlineStr">
        <is>
          <t>20230313900767</t>
        </is>
      </c>
      <c r="H141" s="19" t="inlineStr">
        <is>
          <t>열기</t>
        </is>
      </c>
    </row>
    <row r="142">
      <c r="A142" s="18" t="inlineStr">
        <is>
          <t>2023-03-13</t>
        </is>
      </c>
      <c r="B142" s="18" t="inlineStr">
        <is>
          <t>주주총회소집공고</t>
        </is>
      </c>
      <c r="C142" s="18" t="inlineStr">
        <is>
          <t>가온칩스</t>
        </is>
      </c>
      <c r="D142" s="18" t="inlineStr">
        <is>
          <t>경영권/주총</t>
        </is>
      </c>
      <c r="E142" s="18" t="inlineStr"/>
      <c r="F142" s="18" t="inlineStr">
        <is>
          <t>20230313000614.html</t>
        </is>
      </c>
      <c r="G142" s="18" t="inlineStr">
        <is>
          <t>20230313000614</t>
        </is>
      </c>
      <c r="H142" s="19" t="inlineStr">
        <is>
          <t>열기</t>
        </is>
      </c>
    </row>
    <row r="143">
      <c r="A143" s="18" t="inlineStr">
        <is>
          <t>2023-02-21</t>
        </is>
      </c>
      <c r="B143" s="18" t="inlineStr">
        <is>
          <t>주식등의대량보유상황보고서(일반)</t>
        </is>
      </c>
      <c r="C143" s="18" t="inlineStr">
        <is>
          <t>정규동</t>
        </is>
      </c>
      <c r="D143" s="18" t="inlineStr">
        <is>
          <t>5% 대량보유</t>
        </is>
      </c>
      <c r="E143" s="18" t="inlineStr"/>
      <c r="F143" s="18" t="inlineStr">
        <is>
          <t>20230221002331.html</t>
        </is>
      </c>
      <c r="G143" s="18" t="inlineStr">
        <is>
          <t>20230221002331</t>
        </is>
      </c>
      <c r="H143" s="19" t="inlineStr">
        <is>
          <t>열기</t>
        </is>
      </c>
    </row>
    <row r="144">
      <c r="A144" s="18" t="inlineStr">
        <is>
          <t>2023-02-21</t>
        </is>
      </c>
      <c r="B144" s="18" t="inlineStr">
        <is>
          <t>임원ㆍ주요주주특정증권등소유상황보고서</t>
        </is>
      </c>
      <c r="C144" s="18" t="inlineStr">
        <is>
          <t>서정욱</t>
        </is>
      </c>
      <c r="D144" s="18" t="inlineStr">
        <is>
          <t>임원 소유상황/거래계획</t>
        </is>
      </c>
      <c r="E144" s="18" t="inlineStr"/>
      <c r="F144" s="18" t="inlineStr">
        <is>
          <t>20230221002277.html</t>
        </is>
      </c>
      <c r="G144" s="18" t="inlineStr">
        <is>
          <t>20230221002277</t>
        </is>
      </c>
      <c r="H144" s="19" t="inlineStr">
        <is>
          <t>열기</t>
        </is>
      </c>
    </row>
    <row r="145">
      <c r="A145" s="18" t="inlineStr">
        <is>
          <t>2023-02-15</t>
        </is>
      </c>
      <c r="B145" s="18" t="inlineStr">
        <is>
          <t>임원ㆍ주요주주특정증권등소유상황보고서</t>
        </is>
      </c>
      <c r="C145" s="18" t="inlineStr">
        <is>
          <t>박대남</t>
        </is>
      </c>
      <c r="D145" s="18" t="inlineStr">
        <is>
          <t>임원 소유상황/거래계획</t>
        </is>
      </c>
      <c r="E145" s="18" t="inlineStr"/>
      <c r="F145" s="18" t="inlineStr">
        <is>
          <t>20230215001268.html</t>
        </is>
      </c>
      <c r="G145" s="18" t="inlineStr">
        <is>
          <t>20230215001268</t>
        </is>
      </c>
      <c r="H145" s="19" t="inlineStr">
        <is>
          <t>열기</t>
        </is>
      </c>
    </row>
    <row r="146">
      <c r="A146" s="18" t="inlineStr">
        <is>
          <t>2023-02-15</t>
        </is>
      </c>
      <c r="B146" s="18" t="inlineStr">
        <is>
          <t>임원ㆍ주요주주특정증권등소유상황보고서</t>
        </is>
      </c>
      <c r="C146" s="18" t="inlineStr">
        <is>
          <t>윤형석</t>
        </is>
      </c>
      <c r="D146" s="18" t="inlineStr">
        <is>
          <t>임원 소유상황/거래계획</t>
        </is>
      </c>
      <c r="E146" s="18" t="inlineStr"/>
      <c r="F146" s="18" t="inlineStr">
        <is>
          <t>20230215001257.html</t>
        </is>
      </c>
      <c r="G146" s="18" t="inlineStr">
        <is>
          <t>20230215001257</t>
        </is>
      </c>
      <c r="H146" s="19" t="inlineStr">
        <is>
          <t>열기</t>
        </is>
      </c>
    </row>
    <row r="147">
      <c r="A147" s="18" t="inlineStr">
        <is>
          <t>2023-02-13</t>
        </is>
      </c>
      <c r="B147" s="18" t="inlineStr">
        <is>
          <t>매출액또는손익구조30%(대규모법인은15%)이상변동</t>
        </is>
      </c>
      <c r="C147" s="18" t="inlineStr">
        <is>
          <t>가온칩스</t>
        </is>
      </c>
      <c r="D147" s="18" t="inlineStr">
        <is>
          <t>실적변동</t>
        </is>
      </c>
      <c r="E147" s="18" t="inlineStr"/>
      <c r="F147" s="18" t="inlineStr">
        <is>
          <t>20230213901193.html</t>
        </is>
      </c>
      <c r="G147" s="18" t="inlineStr">
        <is>
          <t>20230213901193</t>
        </is>
      </c>
      <c r="H147" s="19" t="inlineStr">
        <is>
          <t>열기</t>
        </is>
      </c>
    </row>
    <row r="148">
      <c r="A148" s="18" t="inlineStr">
        <is>
          <t>2023-02-08</t>
        </is>
      </c>
      <c r="B148" s="18" t="inlineStr">
        <is>
          <t>임원ㆍ주요주주특정증권등소유상황보고서</t>
        </is>
      </c>
      <c r="C148" s="18" t="inlineStr">
        <is>
          <t>박대남</t>
        </is>
      </c>
      <c r="D148" s="18" t="inlineStr">
        <is>
          <t>임원 소유상황/거래계획</t>
        </is>
      </c>
      <c r="E148" s="18" t="inlineStr"/>
      <c r="F148" s="18" t="inlineStr">
        <is>
          <t>20230208000558.html</t>
        </is>
      </c>
      <c r="G148" s="18" t="inlineStr">
        <is>
          <t>20230208000558</t>
        </is>
      </c>
      <c r="H148" s="19" t="inlineStr">
        <is>
          <t>열기</t>
        </is>
      </c>
    </row>
    <row r="149">
      <c r="A149" s="18" t="inlineStr">
        <is>
          <t>2023-01-09</t>
        </is>
      </c>
      <c r="B149" s="18" t="inlineStr">
        <is>
          <t>임원ㆍ주요주주특정증권등소유상황보고서</t>
        </is>
      </c>
      <c r="C149" s="18" t="inlineStr">
        <is>
          <t>박영근</t>
        </is>
      </c>
      <c r="D149" s="18" t="inlineStr">
        <is>
          <t>임원 소유상황/거래계획</t>
        </is>
      </c>
      <c r="E149" s="18" t="inlineStr"/>
      <c r="F149" s="18" t="inlineStr">
        <is>
          <t>20230109000258.html</t>
        </is>
      </c>
      <c r="G149" s="18" t="inlineStr">
        <is>
          <t>20230109000258</t>
        </is>
      </c>
      <c r="H149" s="19" t="inlineStr">
        <is>
          <t>열기</t>
        </is>
      </c>
    </row>
    <row r="150">
      <c r="A150" s="18" t="inlineStr">
        <is>
          <t>2023-01-02</t>
        </is>
      </c>
      <c r="B150" s="18" t="inlineStr">
        <is>
          <t>본점소재지변경</t>
        </is>
      </c>
      <c r="C150" s="18" t="inlineStr">
        <is>
          <t>가온칩스</t>
        </is>
      </c>
      <c r="D150" s="18" t="inlineStr">
        <is>
          <t>기타</t>
        </is>
      </c>
      <c r="E150" s="18" t="inlineStr"/>
      <c r="F150" s="18" t="inlineStr">
        <is>
          <t>20230102900617.html</t>
        </is>
      </c>
      <c r="G150" s="18" t="inlineStr">
        <is>
          <t>20230102900617</t>
        </is>
      </c>
      <c r="H150" s="19" t="inlineStr">
        <is>
          <t>열기</t>
        </is>
      </c>
    </row>
    <row r="151">
      <c r="A151" s="18" t="inlineStr">
        <is>
          <t>2022-12-14</t>
        </is>
      </c>
      <c r="B151" s="18" t="inlineStr">
        <is>
          <t>주식등의대량보유상황보고서(일반)</t>
        </is>
      </c>
      <c r="C151" s="18" t="inlineStr">
        <is>
          <t>정규동</t>
        </is>
      </c>
      <c r="D151" s="18" t="inlineStr">
        <is>
          <t>5% 대량보유</t>
        </is>
      </c>
      <c r="E151" s="18" t="inlineStr"/>
      <c r="F151" s="18" t="inlineStr">
        <is>
          <t>20221214000386.html</t>
        </is>
      </c>
      <c r="G151" s="18" t="inlineStr">
        <is>
          <t>20221214000386</t>
        </is>
      </c>
      <c r="H151" s="19" t="inlineStr">
        <is>
          <t>열기</t>
        </is>
      </c>
    </row>
    <row r="152">
      <c r="A152" s="18" t="inlineStr">
        <is>
          <t>2022-12-14</t>
        </is>
      </c>
      <c r="B152" s="18" t="inlineStr">
        <is>
          <t>임원ㆍ주요주주특정증권등소유상황보고서</t>
        </is>
      </c>
      <c r="C152" s="18" t="inlineStr">
        <is>
          <t>이은희</t>
        </is>
      </c>
      <c r="D152" s="18" t="inlineStr">
        <is>
          <t>임원 소유상황/거래계획</t>
        </is>
      </c>
      <c r="E152" s="18" t="inlineStr"/>
      <c r="F152" s="18" t="inlineStr">
        <is>
          <t>20221214000371.html</t>
        </is>
      </c>
      <c r="G152" s="18" t="inlineStr">
        <is>
          <t>20221214000371</t>
        </is>
      </c>
      <c r="H152" s="19" t="inlineStr">
        <is>
          <t>열기</t>
        </is>
      </c>
    </row>
    <row r="153">
      <c r="A153" s="18" t="inlineStr">
        <is>
          <t>2022-12-14</t>
        </is>
      </c>
      <c r="B153" s="18" t="inlineStr">
        <is>
          <t>임원ㆍ주요주주특정증권등소유상황보고서</t>
        </is>
      </c>
      <c r="C153" s="18" t="inlineStr">
        <is>
          <t>김효철</t>
        </is>
      </c>
      <c r="D153" s="18" t="inlineStr">
        <is>
          <t>임원 소유상황/거래계획</t>
        </is>
      </c>
      <c r="E153" s="18" t="inlineStr"/>
      <c r="F153" s="18" t="inlineStr">
        <is>
          <t>20221214000367.html</t>
        </is>
      </c>
      <c r="G153" s="18" t="inlineStr">
        <is>
          <t>20221214000367</t>
        </is>
      </c>
      <c r="H153" s="19" t="inlineStr">
        <is>
          <t>열기</t>
        </is>
      </c>
    </row>
    <row r="154">
      <c r="A154" s="18" t="inlineStr">
        <is>
          <t>2022-12-14</t>
        </is>
      </c>
      <c r="B154" s="18" t="inlineStr">
        <is>
          <t>임원ㆍ주요주주특정증권등소유상황보고서</t>
        </is>
      </c>
      <c r="C154" s="18" t="inlineStr">
        <is>
          <t>최진열</t>
        </is>
      </c>
      <c r="D154" s="18" t="inlineStr">
        <is>
          <t>임원 소유상황/거래계획</t>
        </is>
      </c>
      <c r="E154" s="18" t="inlineStr"/>
      <c r="F154" s="18" t="inlineStr">
        <is>
          <t>20221214000363.html</t>
        </is>
      </c>
      <c r="G154" s="18" t="inlineStr">
        <is>
          <t>20221214000363</t>
        </is>
      </c>
      <c r="H154" s="19" t="inlineStr">
        <is>
          <t>열기</t>
        </is>
      </c>
    </row>
    <row r="155">
      <c r="A155" s="18" t="inlineStr">
        <is>
          <t>2022-12-12</t>
        </is>
      </c>
      <c r="B155" s="18" t="inlineStr">
        <is>
          <t>주주명부폐쇄기간또는기준일설정</t>
        </is>
      </c>
      <c r="C155" s="18" t="inlineStr">
        <is>
          <t>가온칩스</t>
        </is>
      </c>
      <c r="D155" s="18" t="inlineStr">
        <is>
          <t>경영권/주총</t>
        </is>
      </c>
      <c r="E155" s="18" t="inlineStr"/>
      <c r="F155" s="18" t="inlineStr">
        <is>
          <t>20221212900328.html</t>
        </is>
      </c>
      <c r="G155" s="18" t="inlineStr">
        <is>
          <t>20221212900328</t>
        </is>
      </c>
      <c r="H155" s="19" t="inlineStr">
        <is>
          <t>열기</t>
        </is>
      </c>
    </row>
    <row r="156">
      <c r="A156" s="18" t="inlineStr">
        <is>
          <t>2022-11-14</t>
        </is>
      </c>
      <c r="B156" s="18" t="inlineStr">
        <is>
          <t>분기보고서 (2022.09)</t>
        </is>
      </c>
      <c r="C156" s="18" t="inlineStr">
        <is>
          <t>가온칩스</t>
        </is>
      </c>
      <c r="D156" s="18" t="inlineStr">
        <is>
          <t>정기보고서</t>
        </is>
      </c>
      <c r="E156" s="18" t="inlineStr"/>
      <c r="F156" s="18" t="inlineStr">
        <is>
          <t>20221114001149.html</t>
        </is>
      </c>
      <c r="G156" s="18" t="inlineStr">
        <is>
          <t>20221114001149</t>
        </is>
      </c>
      <c r="H156" s="19" t="inlineStr">
        <is>
          <t>열기</t>
        </is>
      </c>
    </row>
    <row r="157">
      <c r="A157" s="18" t="inlineStr">
        <is>
          <t>2022-08-31</t>
        </is>
      </c>
      <c r="B157" s="18" t="inlineStr">
        <is>
          <t>단일판매ㆍ공급계약체결</t>
        </is>
      </c>
      <c r="C157" s="18" t="inlineStr">
        <is>
          <t>가온칩스</t>
        </is>
      </c>
      <c r="D157" s="18" t="inlineStr">
        <is>
          <t>공급계약</t>
        </is>
      </c>
      <c r="E157" s="18" t="inlineStr"/>
      <c r="F157" s="18" t="inlineStr">
        <is>
          <t>20220831900145.html</t>
        </is>
      </c>
      <c r="G157" s="18" t="inlineStr">
        <is>
          <t>20220831900145</t>
        </is>
      </c>
      <c r="H157" s="19" t="inlineStr">
        <is>
          <t>열기</t>
        </is>
      </c>
    </row>
    <row r="158">
      <c r="A158" s="18" t="inlineStr">
        <is>
          <t>2022-08-16</t>
        </is>
      </c>
      <c r="B158" s="18" t="inlineStr">
        <is>
          <t>반기보고서 (2022.06)</t>
        </is>
      </c>
      <c r="C158" s="18" t="inlineStr">
        <is>
          <t>가온칩스</t>
        </is>
      </c>
      <c r="D158" s="18" t="inlineStr">
        <is>
          <t>정기보고서</t>
        </is>
      </c>
      <c r="E158" s="18" t="inlineStr"/>
      <c r="F158" s="18" t="inlineStr">
        <is>
          <t>20220816001998.html</t>
        </is>
      </c>
      <c r="G158" s="18" t="inlineStr">
        <is>
          <t>20220816001998</t>
        </is>
      </c>
      <c r="H158" s="19" t="inlineStr">
        <is>
          <t>열기</t>
        </is>
      </c>
    </row>
    <row r="159">
      <c r="A159" s="18" t="inlineStr">
        <is>
          <t>2022-06-22</t>
        </is>
      </c>
      <c r="B159" s="18" t="inlineStr">
        <is>
          <t>주식등의대량보유상황보고서(약식)</t>
        </is>
      </c>
      <c r="C159" s="18" t="inlineStr">
        <is>
          <t>김원한</t>
        </is>
      </c>
      <c r="D159" s="18" t="inlineStr">
        <is>
          <t>5% 대량보유</t>
        </is>
      </c>
      <c r="E159" s="18" t="inlineStr"/>
      <c r="F159" s="18" t="inlineStr">
        <is>
          <t>20220622000450.html</t>
        </is>
      </c>
      <c r="G159" s="18" t="inlineStr">
        <is>
          <t>20220622000450</t>
        </is>
      </c>
      <c r="H159" s="19" t="inlineStr">
        <is>
          <t>열기</t>
        </is>
      </c>
    </row>
    <row r="160">
      <c r="A160" s="18" t="inlineStr">
        <is>
          <t>2022-05-26</t>
        </is>
      </c>
      <c r="B160" s="18" t="inlineStr">
        <is>
          <t>주식등의대량보유상황보고서(약식)</t>
        </is>
      </c>
      <c r="C160" s="18" t="inlineStr">
        <is>
          <t>김원한</t>
        </is>
      </c>
      <c r="D160" s="18" t="inlineStr">
        <is>
          <t>5% 대량보유</t>
        </is>
      </c>
      <c r="E160" s="18" t="inlineStr"/>
      <c r="F160" s="18" t="inlineStr">
        <is>
          <t>20220526000288.html</t>
        </is>
      </c>
      <c r="G160" s="18" t="inlineStr">
        <is>
          <t>20220526000288</t>
        </is>
      </c>
      <c r="H160" s="19" t="inlineStr">
        <is>
          <t>열기</t>
        </is>
      </c>
    </row>
    <row r="161">
      <c r="A161" s="18" t="inlineStr">
        <is>
          <t>2022-05-24</t>
        </is>
      </c>
      <c r="B161" s="18" t="inlineStr">
        <is>
          <t>임원ㆍ주요주주특정증권등소유상황보고서</t>
        </is>
      </c>
      <c r="C161" s="18" t="inlineStr">
        <is>
          <t>이은희</t>
        </is>
      </c>
      <c r="D161" s="18" t="inlineStr">
        <is>
          <t>임원 소유상황/거래계획</t>
        </is>
      </c>
      <c r="E161" s="18" t="inlineStr"/>
      <c r="F161" s="18" t="inlineStr">
        <is>
          <t>20220524000533.html</t>
        </is>
      </c>
      <c r="G161" s="18" t="inlineStr">
        <is>
          <t>20220524000533</t>
        </is>
      </c>
      <c r="H161" s="19" t="inlineStr">
        <is>
          <t>열기</t>
        </is>
      </c>
    </row>
    <row r="162">
      <c r="A162" s="18" t="inlineStr">
        <is>
          <t>2022-05-24</t>
        </is>
      </c>
      <c r="B162" s="18" t="inlineStr">
        <is>
          <t>임원ㆍ주요주주특정증권등소유상황보고서</t>
        </is>
      </c>
      <c r="C162" s="18" t="inlineStr">
        <is>
          <t>서정욱</t>
        </is>
      </c>
      <c r="D162" s="18" t="inlineStr">
        <is>
          <t>임원 소유상황/거래계획</t>
        </is>
      </c>
      <c r="E162" s="18" t="inlineStr"/>
      <c r="F162" s="18" t="inlineStr">
        <is>
          <t>20220524000530.html</t>
        </is>
      </c>
      <c r="G162" s="18" t="inlineStr">
        <is>
          <t>20220524000530</t>
        </is>
      </c>
      <c r="H162" s="19" t="inlineStr">
        <is>
          <t>열기</t>
        </is>
      </c>
    </row>
    <row r="163">
      <c r="A163" s="18" t="inlineStr">
        <is>
          <t>2022-05-24</t>
        </is>
      </c>
      <c r="B163" s="18" t="inlineStr">
        <is>
          <t>임원ㆍ주요주주특정증권등소유상황보고서</t>
        </is>
      </c>
      <c r="C163" s="18" t="inlineStr">
        <is>
          <t>위지호</t>
        </is>
      </c>
      <c r="D163" s="18" t="inlineStr">
        <is>
          <t>임원 소유상황/거래계획</t>
        </is>
      </c>
      <c r="E163" s="18" t="inlineStr"/>
      <c r="F163" s="18" t="inlineStr">
        <is>
          <t>20220524000523.html</t>
        </is>
      </c>
      <c r="G163" s="18" t="inlineStr">
        <is>
          <t>20220524000523</t>
        </is>
      </c>
      <c r="H163" s="19" t="inlineStr">
        <is>
          <t>열기</t>
        </is>
      </c>
    </row>
    <row r="164">
      <c r="A164" s="18" t="inlineStr">
        <is>
          <t>2022-05-24</t>
        </is>
      </c>
      <c r="B164" s="18" t="inlineStr">
        <is>
          <t>임원ㆍ주요주주특정증권등소유상황보고서</t>
        </is>
      </c>
      <c r="C164" s="18" t="inlineStr">
        <is>
          <t>감태오</t>
        </is>
      </c>
      <c r="D164" s="18" t="inlineStr">
        <is>
          <t>임원 소유상황/거래계획</t>
        </is>
      </c>
      <c r="E164" s="18" t="inlineStr"/>
      <c r="F164" s="18" t="inlineStr">
        <is>
          <t>20220524000517.html</t>
        </is>
      </c>
      <c r="G164" s="18" t="inlineStr">
        <is>
          <t>20220524000517</t>
        </is>
      </c>
      <c r="H164" s="19" t="inlineStr">
        <is>
          <t>열기</t>
        </is>
      </c>
    </row>
    <row r="165">
      <c r="A165" s="18" t="inlineStr">
        <is>
          <t>2022-05-24</t>
        </is>
      </c>
      <c r="B165" s="18" t="inlineStr">
        <is>
          <t>임원ㆍ주요주주특정증권등소유상황보고서</t>
        </is>
      </c>
      <c r="C165" s="18" t="inlineStr">
        <is>
          <t>김효철</t>
        </is>
      </c>
      <c r="D165" s="18" t="inlineStr">
        <is>
          <t>임원 소유상황/거래계획</t>
        </is>
      </c>
      <c r="E165" s="18" t="inlineStr"/>
      <c r="F165" s="18" t="inlineStr">
        <is>
          <t>20220524000514.html</t>
        </is>
      </c>
      <c r="G165" s="18" t="inlineStr">
        <is>
          <t>20220524000514</t>
        </is>
      </c>
      <c r="H165" s="19" t="inlineStr">
        <is>
          <t>열기</t>
        </is>
      </c>
    </row>
    <row r="166">
      <c r="A166" s="18" t="inlineStr">
        <is>
          <t>2022-05-24</t>
        </is>
      </c>
      <c r="B166" s="18" t="inlineStr">
        <is>
          <t>임원ㆍ주요주주특정증권등소유상황보고서</t>
        </is>
      </c>
      <c r="C166" s="18" t="inlineStr">
        <is>
          <t>최진열</t>
        </is>
      </c>
      <c r="D166" s="18" t="inlineStr">
        <is>
          <t>임원 소유상황/거래계획</t>
        </is>
      </c>
      <c r="E166" s="18" t="inlineStr"/>
      <c r="F166" s="18" t="inlineStr">
        <is>
          <t>20220524000508.html</t>
        </is>
      </c>
      <c r="G166" s="18" t="inlineStr">
        <is>
          <t>20220524000508</t>
        </is>
      </c>
      <c r="H166" s="19" t="inlineStr">
        <is>
          <t>열기</t>
        </is>
      </c>
    </row>
    <row r="167">
      <c r="A167" s="18" t="inlineStr">
        <is>
          <t>2022-05-24</t>
        </is>
      </c>
      <c r="B167" s="18" t="inlineStr">
        <is>
          <t>임원ㆍ주요주주특정증권등소유상황보고서</t>
        </is>
      </c>
      <c r="C167" s="18" t="inlineStr">
        <is>
          <t>윤형석</t>
        </is>
      </c>
      <c r="D167" s="18" t="inlineStr">
        <is>
          <t>임원 소유상황/거래계획</t>
        </is>
      </c>
      <c r="E167" s="18" t="inlineStr"/>
      <c r="F167" s="18" t="inlineStr">
        <is>
          <t>20220524000502.html</t>
        </is>
      </c>
      <c r="G167" s="18" t="inlineStr">
        <is>
          <t>20220524000502</t>
        </is>
      </c>
      <c r="H167" s="19" t="inlineStr">
        <is>
          <t>열기</t>
        </is>
      </c>
    </row>
    <row r="168">
      <c r="A168" s="18" t="inlineStr">
        <is>
          <t>2022-05-24</t>
        </is>
      </c>
      <c r="B168" s="18" t="inlineStr">
        <is>
          <t>임원ㆍ주요주주특정증권등소유상황보고서</t>
        </is>
      </c>
      <c r="C168" s="18" t="inlineStr">
        <is>
          <t>박대남</t>
        </is>
      </c>
      <c r="D168" s="18" t="inlineStr">
        <is>
          <t>임원 소유상황/거래계획</t>
        </is>
      </c>
      <c r="E168" s="18" t="inlineStr"/>
      <c r="F168" s="18" t="inlineStr">
        <is>
          <t>20220524000496.html</t>
        </is>
      </c>
      <c r="G168" s="18" t="inlineStr">
        <is>
          <t>20220524000496</t>
        </is>
      </c>
      <c r="H168" s="19" t="inlineStr">
        <is>
          <t>열기</t>
        </is>
      </c>
    </row>
    <row r="169">
      <c r="A169" s="18" t="inlineStr">
        <is>
          <t>2022-05-24</t>
        </is>
      </c>
      <c r="B169" s="18" t="inlineStr">
        <is>
          <t>임원ㆍ주요주주특정증권등소유상황보고서</t>
        </is>
      </c>
      <c r="C169" s="18" t="inlineStr">
        <is>
          <t>이상배</t>
        </is>
      </c>
      <c r="D169" s="18" t="inlineStr">
        <is>
          <t>임원 소유상황/거래계획</t>
        </is>
      </c>
      <c r="E169" s="18" t="inlineStr"/>
      <c r="F169" s="18" t="inlineStr">
        <is>
          <t>20220524000493.html</t>
        </is>
      </c>
      <c r="G169" s="18" t="inlineStr">
        <is>
          <t>20220524000493</t>
        </is>
      </c>
      <c r="H169" s="19" t="inlineStr">
        <is>
          <t>열기</t>
        </is>
      </c>
    </row>
    <row r="170">
      <c r="A170" s="18" t="inlineStr">
        <is>
          <t>2022-05-24</t>
        </is>
      </c>
      <c r="B170" s="18" t="inlineStr">
        <is>
          <t>임원ㆍ주요주주특정증권등소유상황보고서</t>
        </is>
      </c>
      <c r="C170" s="18" t="inlineStr">
        <is>
          <t>심진섭</t>
        </is>
      </c>
      <c r="D170" s="18" t="inlineStr">
        <is>
          <t>임원 소유상황/거래계획</t>
        </is>
      </c>
      <c r="E170" s="18" t="inlineStr"/>
      <c r="F170" s="18" t="inlineStr">
        <is>
          <t>20220524000488.html</t>
        </is>
      </c>
      <c r="G170" s="18" t="inlineStr">
        <is>
          <t>20220524000488</t>
        </is>
      </c>
      <c r="H170" s="19" t="inlineStr">
        <is>
          <t>열기</t>
        </is>
      </c>
    </row>
    <row r="171">
      <c r="A171" s="18" t="inlineStr">
        <is>
          <t>2022-05-24</t>
        </is>
      </c>
      <c r="B171" s="18" t="inlineStr">
        <is>
          <t>임원ㆍ주요주주특정증권등소유상황보고서</t>
        </is>
      </c>
      <c r="C171" s="18" t="inlineStr">
        <is>
          <t>김재성</t>
        </is>
      </c>
      <c r="D171" s="18" t="inlineStr">
        <is>
          <t>임원 소유상황/거래계획</t>
        </is>
      </c>
      <c r="E171" s="18" t="inlineStr"/>
      <c r="F171" s="18" t="inlineStr">
        <is>
          <t>20220524000484.html</t>
        </is>
      </c>
      <c r="G171" s="18" t="inlineStr">
        <is>
          <t>20220524000484</t>
        </is>
      </c>
      <c r="H171" s="19" t="inlineStr">
        <is>
          <t>열기</t>
        </is>
      </c>
    </row>
    <row r="172">
      <c r="A172" s="18" t="inlineStr">
        <is>
          <t>2022-05-24</t>
        </is>
      </c>
      <c r="B172" s="18" t="inlineStr">
        <is>
          <t>임원ㆍ주요주주특정증권등소유상황보고서</t>
        </is>
      </c>
      <c r="C172" s="18" t="inlineStr">
        <is>
          <t>정규동</t>
        </is>
      </c>
      <c r="D172" s="18" t="inlineStr">
        <is>
          <t>임원 소유상황/거래계획</t>
        </is>
      </c>
      <c r="E172" s="18" t="inlineStr"/>
      <c r="F172" s="18" t="inlineStr">
        <is>
          <t>20220524000475.html</t>
        </is>
      </c>
      <c r="G172" s="18" t="inlineStr">
        <is>
          <t>20220524000475</t>
        </is>
      </c>
      <c r="H172" s="19" t="inlineStr">
        <is>
          <t>열기</t>
        </is>
      </c>
    </row>
    <row r="173">
      <c r="A173" s="18" t="inlineStr">
        <is>
          <t>2022-05-24</t>
        </is>
      </c>
      <c r="B173" s="18" t="inlineStr">
        <is>
          <t>주식등의대량보유상황보고서(일반)</t>
        </is>
      </c>
      <c r="C173" s="18" t="inlineStr">
        <is>
          <t>정규동</t>
        </is>
      </c>
      <c r="D173" s="18" t="inlineStr">
        <is>
          <t>5% 대량보유</t>
        </is>
      </c>
      <c r="E173" s="18" t="inlineStr"/>
      <c r="F173" s="18" t="inlineStr">
        <is>
          <t>20220524000470.html</t>
        </is>
      </c>
      <c r="G173" s="18" t="inlineStr">
        <is>
          <t>20220524000470</t>
        </is>
      </c>
      <c r="H173" s="19" t="inlineStr">
        <is>
          <t>열기</t>
        </is>
      </c>
    </row>
    <row r="174">
      <c r="A174" s="18" t="inlineStr">
        <is>
          <t>2022-05-17</t>
        </is>
      </c>
      <c r="B174" s="18" t="inlineStr">
        <is>
          <t>[기재정정]증권발행실적보고서</t>
        </is>
      </c>
      <c r="C174" s="18" t="inlineStr">
        <is>
          <t>가온칩스</t>
        </is>
      </c>
      <c r="D174" s="18" t="inlineStr">
        <is>
          <t>증권신고/합병</t>
        </is>
      </c>
      <c r="E174" s="18" t="inlineStr">
        <is>
          <t>정정</t>
        </is>
      </c>
      <c r="F174" s="18" t="inlineStr">
        <is>
          <t>20220517000328.html</t>
        </is>
      </c>
      <c r="G174" s="18" t="inlineStr">
        <is>
          <t>20220517000328</t>
        </is>
      </c>
      <c r="H174" s="19" t="inlineStr">
        <is>
          <t>열기</t>
        </is>
      </c>
    </row>
    <row r="175">
      <c r="A175" s="18" t="inlineStr">
        <is>
          <t>2022-05-16</t>
        </is>
      </c>
      <c r="B175" s="18" t="inlineStr">
        <is>
          <t>증권발행실적보고서</t>
        </is>
      </c>
      <c r="C175" s="18" t="inlineStr">
        <is>
          <t>가온칩스</t>
        </is>
      </c>
      <c r="D175" s="18" t="inlineStr">
        <is>
          <t>증권신고/합병</t>
        </is>
      </c>
      <c r="E175" s="18" t="inlineStr"/>
      <c r="F175" s="18" t="inlineStr">
        <is>
          <t>20220516001198.html</t>
        </is>
      </c>
      <c r="G175" s="18" t="inlineStr">
        <is>
          <t>20220516001198</t>
        </is>
      </c>
      <c r="H175" s="19" t="inlineStr">
        <is>
          <t>열기</t>
        </is>
      </c>
    </row>
    <row r="176">
      <c r="A176" s="18" t="inlineStr">
        <is>
          <t>2022-05-06</t>
        </is>
      </c>
      <c r="B176" s="18" t="inlineStr">
        <is>
          <t>[기재정정]투자설명서</t>
        </is>
      </c>
      <c r="C176" s="18" t="inlineStr">
        <is>
          <t>가온칩스</t>
        </is>
      </c>
      <c r="D176" s="18" t="inlineStr">
        <is>
          <t>증권신고/합병</t>
        </is>
      </c>
      <c r="E176" s="18" t="inlineStr">
        <is>
          <t>정정</t>
        </is>
      </c>
      <c r="F176" s="18" t="inlineStr">
        <is>
          <t>20220506000115.html</t>
        </is>
      </c>
      <c r="G176" s="18" t="inlineStr">
        <is>
          <t>20220506000115</t>
        </is>
      </c>
      <c r="H176" s="19" t="inlineStr">
        <is>
          <t>열기</t>
        </is>
      </c>
    </row>
    <row r="177">
      <c r="A177" s="18" t="inlineStr">
        <is>
          <t>2022-05-06</t>
        </is>
      </c>
      <c r="B177" s="18" t="inlineStr">
        <is>
          <t>[발행조건확정]증권신고서(지분증권)</t>
        </is>
      </c>
      <c r="C177" s="18" t="inlineStr">
        <is>
          <t>가온칩스</t>
        </is>
      </c>
      <c r="D177" s="18" t="inlineStr">
        <is>
          <t>증권신고/합병</t>
        </is>
      </c>
      <c r="E177" s="18" t="inlineStr"/>
      <c r="F177" s="18" t="inlineStr">
        <is>
          <t>20220506000110.html</t>
        </is>
      </c>
      <c r="G177" s="18" t="inlineStr">
        <is>
          <t>20220506000110</t>
        </is>
      </c>
      <c r="H177" s="19" t="inlineStr">
        <is>
          <t>열기</t>
        </is>
      </c>
    </row>
    <row r="178">
      <c r="A178" s="18" t="inlineStr">
        <is>
          <t>2022-04-29</t>
        </is>
      </c>
      <c r="B178" s="18" t="inlineStr">
        <is>
          <t>투자설명서</t>
        </is>
      </c>
      <c r="C178" s="18" t="inlineStr">
        <is>
          <t>가온칩스</t>
        </is>
      </c>
      <c r="D178" s="18" t="inlineStr">
        <is>
          <t>증권신고/합병</t>
        </is>
      </c>
      <c r="E178" s="18" t="inlineStr"/>
      <c r="F178" s="18" t="inlineStr">
        <is>
          <t>20220429000315.html</t>
        </is>
      </c>
      <c r="G178" s="18" t="inlineStr">
        <is>
          <t>20220429000315</t>
        </is>
      </c>
      <c r="H178" s="19" t="inlineStr">
        <is>
          <t>열기</t>
        </is>
      </c>
    </row>
    <row r="179">
      <c r="A179" s="18" t="inlineStr">
        <is>
          <t>2022-04-19</t>
        </is>
      </c>
      <c r="B179" s="18" t="inlineStr">
        <is>
          <t>[기재정정]증권신고서(지분증권)</t>
        </is>
      </c>
      <c r="C179" s="18" t="inlineStr">
        <is>
          <t>가온칩스</t>
        </is>
      </c>
      <c r="D179" s="18" t="inlineStr">
        <is>
          <t>증권신고/합병</t>
        </is>
      </c>
      <c r="E179" s="18" t="inlineStr">
        <is>
          <t>정정</t>
        </is>
      </c>
      <c r="F179" s="18" t="inlineStr">
        <is>
          <t>20220419000335.html</t>
        </is>
      </c>
      <c r="G179" s="18" t="inlineStr">
        <is>
          <t>20220419000335</t>
        </is>
      </c>
      <c r="H179" s="19" t="inlineStr">
        <is>
          <t>열기</t>
        </is>
      </c>
    </row>
    <row r="180">
      <c r="A180" s="18" t="inlineStr">
        <is>
          <t>2022-04-07</t>
        </is>
      </c>
      <c r="B180" s="18" t="inlineStr">
        <is>
          <t>증권신고서(지분증권)</t>
        </is>
      </c>
      <c r="C180" s="18" t="inlineStr">
        <is>
          <t>가온칩스</t>
        </is>
      </c>
      <c r="D180" s="18" t="inlineStr">
        <is>
          <t>증권신고/합병</t>
        </is>
      </c>
      <c r="E180" s="18" t="inlineStr"/>
      <c r="F180" s="18" t="inlineStr">
        <is>
          <t>20220407002417.html</t>
        </is>
      </c>
      <c r="G180" s="18" t="inlineStr">
        <is>
          <t>20220407002417</t>
        </is>
      </c>
      <c r="H180" s="19" t="inlineStr">
        <is>
          <t>열기</t>
        </is>
      </c>
    </row>
    <row r="181">
      <c r="A181" s="18" t="inlineStr">
        <is>
          <t>2022-04-04</t>
        </is>
      </c>
      <c r="B181" s="18" t="inlineStr">
        <is>
          <t>감사보고서 (2021.12)</t>
        </is>
      </c>
      <c r="C181" s="18" t="inlineStr">
        <is>
          <t>삼일회계법인</t>
        </is>
      </c>
      <c r="D181" s="18" t="inlineStr">
        <is>
          <t>감사보고서</t>
        </is>
      </c>
      <c r="E181" s="18" t="inlineStr"/>
      <c r="F181" s="18" t="inlineStr">
        <is>
          <t>20220404002812.html</t>
        </is>
      </c>
      <c r="G181" s="18" t="inlineStr">
        <is>
          <t>20220404002812</t>
        </is>
      </c>
      <c r="H181" s="19" t="inlineStr">
        <is>
          <t>열기</t>
        </is>
      </c>
    </row>
    <row r="182">
      <c r="A182" s="18" t="inlineStr">
        <is>
          <t>2021-12-20</t>
        </is>
      </c>
      <c r="B182" s="18" t="inlineStr">
        <is>
          <t>[기재정정]감사보고서 (2020.12)</t>
        </is>
      </c>
      <c r="C182" s="18" t="inlineStr">
        <is>
          <t>성운회계법인</t>
        </is>
      </c>
      <c r="D182" s="18" t="inlineStr">
        <is>
          <t>감사보고서</t>
        </is>
      </c>
      <c r="E182" s="18" t="inlineStr">
        <is>
          <t>정정</t>
        </is>
      </c>
      <c r="F182" s="18" t="inlineStr">
        <is>
          <t>20211220000351.html</t>
        </is>
      </c>
      <c r="G182" s="18" t="inlineStr">
        <is>
          <t>20211220000351</t>
        </is>
      </c>
      <c r="H182" s="19" t="inlineStr">
        <is>
          <t>열기</t>
        </is>
      </c>
    </row>
    <row r="183">
      <c r="A183" s="18" t="inlineStr">
        <is>
          <t>2021-04-12</t>
        </is>
      </c>
      <c r="B183" s="18" t="inlineStr">
        <is>
          <t>감사보고서 (2020.12)</t>
        </is>
      </c>
      <c r="C183" s="18" t="inlineStr">
        <is>
          <t>성운회계법인</t>
        </is>
      </c>
      <c r="D183" s="18" t="inlineStr">
        <is>
          <t>감사보고서</t>
        </is>
      </c>
      <c r="E183" s="18" t="inlineStr"/>
      <c r="F183" s="18" t="inlineStr">
        <is>
          <t>20210412000801.html</t>
        </is>
      </c>
      <c r="G183" s="18" t="inlineStr">
        <is>
          <t>20210412000801</t>
        </is>
      </c>
      <c r="H183" s="19" t="inlineStr">
        <is>
          <t>열기</t>
        </is>
      </c>
    </row>
    <row r="184">
      <c r="A184" s="18" t="inlineStr">
        <is>
          <t>2020-04-10</t>
        </is>
      </c>
      <c r="B184" s="18" t="inlineStr">
        <is>
          <t>감사보고서 (2019.12)</t>
        </is>
      </c>
      <c r="C184" s="18" t="inlineStr">
        <is>
          <t>성운회계법인</t>
        </is>
      </c>
      <c r="D184" s="18" t="inlineStr">
        <is>
          <t>감사보고서</t>
        </is>
      </c>
      <c r="E184" s="18" t="inlineStr"/>
      <c r="F184" s="18" t="inlineStr">
        <is>
          <t>20200410001964.html</t>
        </is>
      </c>
      <c r="G184" s="18" t="inlineStr">
        <is>
          <t>20200410001964</t>
        </is>
      </c>
      <c r="H184" s="19" t="inlineStr">
        <is>
          <t>열기</t>
        </is>
      </c>
    </row>
  </sheetData>
  <autoFilter ref="A1:H18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6" customWidth="1" min="4" max="4"/>
    <col width="16" customWidth="1" min="5" max="5"/>
    <col width="12" customWidth="1" min="6" max="6"/>
    <col width="16" customWidth="1" min="7" max="7"/>
    <col width="16" customWidth="1" min="8" max="8"/>
    <col width="16" customWidth="1" min="9" max="9"/>
    <col width="14" customWidth="1" min="10" max="10"/>
    <col width="12" customWidth="1" min="11" max="11"/>
    <col width="22" customWidth="1" min="12" max="12"/>
  </cols>
  <sheetData>
    <row r="1" ht="30" customHeight="1">
      <c r="A1" s="17" t="inlineStr">
        <is>
          <t>기간</t>
        </is>
      </c>
      <c r="B1" s="17" t="inlineStr">
        <is>
          <t>구분</t>
        </is>
      </c>
      <c r="C1" s="17" t="inlineStr">
        <is>
          <t>매출액</t>
        </is>
      </c>
      <c r="D1" s="17" t="inlineStr">
        <is>
          <t>영업이익</t>
        </is>
      </c>
      <c r="E1" s="17" t="inlineStr">
        <is>
          <t>당기순이익</t>
        </is>
      </c>
      <c r="F1" s="17" t="inlineStr">
        <is>
          <t>영업이익률(%)</t>
        </is>
      </c>
      <c r="G1" s="17" t="inlineStr">
        <is>
          <t>자산총계</t>
        </is>
      </c>
      <c r="H1" s="17" t="inlineStr">
        <is>
          <t>부채총계</t>
        </is>
      </c>
      <c r="I1" s="17" t="inlineStr">
        <is>
          <t>자본총계</t>
        </is>
      </c>
      <c r="J1" s="17" t="inlineStr">
        <is>
          <t>자본금</t>
        </is>
      </c>
      <c r="K1" s="17" t="inlineStr">
        <is>
          <t>부채비율(%)</t>
        </is>
      </c>
      <c r="L1" s="17" t="inlineStr">
        <is>
          <t>비고</t>
        </is>
      </c>
    </row>
    <row r="2">
      <c r="A2" s="18" t="inlineStr">
        <is>
          <t>2022Q2</t>
        </is>
      </c>
      <c r="B2" s="18" t="inlineStr">
        <is>
          <t>분기</t>
        </is>
      </c>
      <c r="C2" s="20" t="n">
        <v>10481256697</v>
      </c>
      <c r="D2" s="20" t="n">
        <v>-315190747</v>
      </c>
      <c r="E2" s="20" t="n">
        <v>12299368</v>
      </c>
      <c r="F2" s="20" t="n">
        <v>-3</v>
      </c>
      <c r="G2" s="20" t="n">
        <v>68917800284</v>
      </c>
      <c r="H2" s="20" t="n">
        <v>17354108176</v>
      </c>
      <c r="I2" s="20" t="n">
        <v>51563692108</v>
      </c>
      <c r="J2" s="20" t="n">
        <v>5744160000</v>
      </c>
      <c r="K2" s="20" t="n">
        <v>33.7</v>
      </c>
      <c r="L2" s="18" t="inlineStr">
        <is>
          <t>3개월 단독</t>
        </is>
      </c>
    </row>
    <row r="3">
      <c r="A3" s="18" t="inlineStr">
        <is>
          <t>2022Q3</t>
        </is>
      </c>
      <c r="B3" s="18" t="inlineStr">
        <is>
          <t>분기</t>
        </is>
      </c>
      <c r="C3" s="20" t="n">
        <v>10816487216</v>
      </c>
      <c r="D3" s="20" t="n">
        <v>946258034</v>
      </c>
      <c r="E3" s="20" t="n">
        <v>754677339</v>
      </c>
      <c r="F3" s="20" t="n">
        <v>8.699999999999999</v>
      </c>
      <c r="G3" s="20" t="n">
        <v>73877811383</v>
      </c>
      <c r="H3" s="20" t="n">
        <v>21500212142</v>
      </c>
      <c r="I3" s="20" t="n">
        <v>52377599241</v>
      </c>
      <c r="J3" s="20" t="n">
        <v>5744160000</v>
      </c>
      <c r="K3" s="20" t="n">
        <v>41</v>
      </c>
      <c r="L3" s="18" t="inlineStr">
        <is>
          <t>3개월 단독</t>
        </is>
      </c>
    </row>
    <row r="4">
      <c r="A4" s="18" t="inlineStr">
        <is>
          <t>2022 연간</t>
        </is>
      </c>
      <c r="B4" s="18" t="inlineStr">
        <is>
          <t>연간</t>
        </is>
      </c>
      <c r="C4" s="20" t="n">
        <v>43320504880</v>
      </c>
      <c r="D4" s="20" t="n">
        <v>3899765486</v>
      </c>
      <c r="E4" s="20" t="n">
        <v>4418777712</v>
      </c>
      <c r="F4" s="20" t="n">
        <v>9</v>
      </c>
      <c r="G4" s="20" t="n">
        <v>73181102067</v>
      </c>
      <c r="H4" s="20" t="n">
        <v>18791727827</v>
      </c>
      <c r="I4" s="20" t="n">
        <v>54389374240</v>
      </c>
      <c r="J4" s="20" t="n">
        <v>5744160000</v>
      </c>
      <c r="K4" s="20" t="n">
        <v>34.6</v>
      </c>
      <c r="L4" s="18" t="inlineStr">
        <is>
          <t>연결</t>
        </is>
      </c>
    </row>
    <row r="5">
      <c r="A5" s="18" t="inlineStr">
        <is>
          <t>2023Q1</t>
        </is>
      </c>
      <c r="B5" s="18" t="inlineStr">
        <is>
          <t>분기</t>
        </is>
      </c>
      <c r="C5" s="20" t="n">
        <v>12653945692</v>
      </c>
      <c r="D5" s="20" t="n">
        <v>-640797808</v>
      </c>
      <c r="E5" s="20" t="n">
        <v>39563443</v>
      </c>
      <c r="F5" s="20" t="n">
        <v>-5.1</v>
      </c>
      <c r="G5" s="20" t="n">
        <v>74361590199</v>
      </c>
      <c r="H5" s="20" t="n">
        <v>19880928802</v>
      </c>
      <c r="I5" s="20" t="n">
        <v>54480661397</v>
      </c>
      <c r="J5" s="20" t="n">
        <v>5744160000</v>
      </c>
      <c r="K5" s="20" t="n">
        <v>36.5</v>
      </c>
      <c r="L5" s="18" t="inlineStr">
        <is>
          <t>3개월 단독</t>
        </is>
      </c>
    </row>
    <row r="6">
      <c r="A6" s="18" t="inlineStr">
        <is>
          <t>2023Q2</t>
        </is>
      </c>
      <c r="B6" s="18" t="inlineStr">
        <is>
          <t>분기</t>
        </is>
      </c>
      <c r="C6" s="20" t="n">
        <v>14356836661</v>
      </c>
      <c r="D6" s="20" t="n">
        <v>1466782641</v>
      </c>
      <c r="E6" s="20" t="n">
        <v>1696907233</v>
      </c>
      <c r="F6" s="20" t="n">
        <v>10.2</v>
      </c>
      <c r="G6" s="20" t="n">
        <v>78023915254</v>
      </c>
      <c r="H6" s="20" t="n">
        <v>21810894660</v>
      </c>
      <c r="I6" s="20" t="n">
        <v>56213020594</v>
      </c>
      <c r="J6" s="20" t="n">
        <v>5744160000</v>
      </c>
      <c r="K6" s="20" t="n">
        <v>38.8</v>
      </c>
      <c r="L6" s="18" t="inlineStr">
        <is>
          <t>3개월 단독</t>
        </is>
      </c>
    </row>
    <row r="7">
      <c r="A7" s="18" t="inlineStr">
        <is>
          <t>2023Q3</t>
        </is>
      </c>
      <c r="B7" s="18" t="inlineStr">
        <is>
          <t>분기</t>
        </is>
      </c>
      <c r="C7" s="20" t="n">
        <v>15699817195</v>
      </c>
      <c r="D7" s="20" t="n">
        <v>1163099543</v>
      </c>
      <c r="E7" s="20" t="n">
        <v>1072755352</v>
      </c>
      <c r="F7" s="20" t="n">
        <v>7.4</v>
      </c>
      <c r="G7" s="20" t="n">
        <v>85207098996</v>
      </c>
      <c r="H7" s="20" t="n">
        <v>27774099178</v>
      </c>
      <c r="I7" s="20" t="n">
        <v>57432999818</v>
      </c>
      <c r="J7" s="20" t="n">
        <v>5744160000</v>
      </c>
      <c r="K7" s="20" t="n">
        <v>48.4</v>
      </c>
      <c r="L7" s="18" t="inlineStr">
        <is>
          <t>3개월 단독</t>
        </is>
      </c>
    </row>
    <row r="8">
      <c r="A8" s="18" t="inlineStr">
        <is>
          <t>2023Q4</t>
        </is>
      </c>
      <c r="B8" s="18" t="inlineStr">
        <is>
          <t>분기</t>
        </is>
      </c>
      <c r="C8" s="20" t="n">
        <v>20886750256</v>
      </c>
      <c r="D8" s="20" t="n">
        <v>2362562084</v>
      </c>
      <c r="E8" s="20" t="n">
        <v>3535219890</v>
      </c>
      <c r="F8" s="20" t="n">
        <v>11.3</v>
      </c>
      <c r="G8" s="20" t="n">
        <v>94609678796</v>
      </c>
      <c r="H8" s="20" t="n">
        <v>32590129089</v>
      </c>
      <c r="I8" s="20" t="n">
        <v>62019549707</v>
      </c>
      <c r="J8" s="20" t="n">
        <v>5744160000</v>
      </c>
      <c r="K8" s="20" t="n">
        <v>52.5</v>
      </c>
      <c r="L8" s="18" t="inlineStr">
        <is>
          <t>연간-누적(1~3Q) 계산</t>
        </is>
      </c>
    </row>
    <row r="9">
      <c r="A9" s="18" t="inlineStr">
        <is>
          <t>2023 연간</t>
        </is>
      </c>
      <c r="B9" s="18" t="inlineStr">
        <is>
          <t>연간</t>
        </is>
      </c>
      <c r="C9" s="20" t="n">
        <v>63597349804</v>
      </c>
      <c r="D9" s="20" t="n">
        <v>4351646460</v>
      </c>
      <c r="E9" s="20" t="n">
        <v>6344445918</v>
      </c>
      <c r="F9" s="20" t="n">
        <v>6.8</v>
      </c>
      <c r="G9" s="20" t="n">
        <v>94609678796</v>
      </c>
      <c r="H9" s="20" t="n">
        <v>32590129089</v>
      </c>
      <c r="I9" s="20" t="n">
        <v>62019549707</v>
      </c>
      <c r="J9" s="20" t="n">
        <v>5744160000</v>
      </c>
      <c r="K9" s="20" t="n">
        <v>52.5</v>
      </c>
      <c r="L9" s="18" t="inlineStr">
        <is>
          <t>연결</t>
        </is>
      </c>
    </row>
    <row r="10">
      <c r="A10" s="18" t="inlineStr">
        <is>
          <t>2024Q1</t>
        </is>
      </c>
      <c r="B10" s="18" t="inlineStr">
        <is>
          <t>분기</t>
        </is>
      </c>
      <c r="C10" s="20" t="n">
        <v>17934956248</v>
      </c>
      <c r="D10" s="20" t="n">
        <v>-609184992</v>
      </c>
      <c r="E10" s="20" t="n">
        <v>-402235281</v>
      </c>
      <c r="F10" s="20" t="n">
        <v>-3.4</v>
      </c>
      <c r="G10" s="20" t="n">
        <v>105726777037</v>
      </c>
      <c r="H10" s="20" t="n">
        <v>43955665428</v>
      </c>
      <c r="I10" s="20" t="n">
        <v>61771111609</v>
      </c>
      <c r="J10" s="20" t="n">
        <v>5744160000</v>
      </c>
      <c r="K10" s="20" t="n">
        <v>71.2</v>
      </c>
      <c r="L10" s="18" t="inlineStr">
        <is>
          <t>3개월 단독</t>
        </is>
      </c>
    </row>
    <row r="11">
      <c r="A11" s="18" t="inlineStr">
        <is>
          <t>2024Q2</t>
        </is>
      </c>
      <c r="B11" s="18" t="inlineStr">
        <is>
          <t>분기</t>
        </is>
      </c>
      <c r="C11" s="20" t="n">
        <v>23269672904</v>
      </c>
      <c r="D11" s="20" t="n">
        <v>66811797</v>
      </c>
      <c r="E11" s="20" t="n">
        <v>1509931520</v>
      </c>
      <c r="F11" s="20" t="n">
        <v>0.3</v>
      </c>
      <c r="G11" s="20" t="n">
        <v>99807328601</v>
      </c>
      <c r="H11" s="20" t="n">
        <v>36367310633</v>
      </c>
      <c r="I11" s="20" t="n">
        <v>63440017968</v>
      </c>
      <c r="J11" s="20" t="n">
        <v>5744160000</v>
      </c>
      <c r="K11" s="20" t="n">
        <v>57.3</v>
      </c>
      <c r="L11" s="18" t="inlineStr">
        <is>
          <t>3개월 단독</t>
        </is>
      </c>
    </row>
    <row r="12">
      <c r="A12" s="18" t="inlineStr">
        <is>
          <t>2024Q3</t>
        </is>
      </c>
      <c r="B12" s="18" t="inlineStr">
        <is>
          <t>분기</t>
        </is>
      </c>
      <c r="C12" s="20" t="n">
        <v>28908136250</v>
      </c>
      <c r="D12" s="20" t="n">
        <v>2235505911</v>
      </c>
      <c r="E12" s="20" t="n">
        <v>1648582349</v>
      </c>
      <c r="F12" s="20" t="n">
        <v>7.7</v>
      </c>
      <c r="G12" s="20" t="n">
        <v>103363945209</v>
      </c>
      <c r="H12" s="20" t="n">
        <v>38129882804</v>
      </c>
      <c r="I12" s="20" t="n">
        <v>65234062405</v>
      </c>
      <c r="J12" s="20" t="n">
        <v>5744160000</v>
      </c>
      <c r="K12" s="20" t="n">
        <v>58.5</v>
      </c>
      <c r="L12" s="18" t="inlineStr">
        <is>
          <t>3개월 단독</t>
        </is>
      </c>
    </row>
    <row r="13">
      <c r="A13" s="18" t="inlineStr">
        <is>
          <t>2024Q4</t>
        </is>
      </c>
      <c r="B13" s="18" t="inlineStr">
        <is>
          <t>분기</t>
        </is>
      </c>
      <c r="C13" s="20" t="n">
        <v>26379236286</v>
      </c>
      <c r="D13" s="20" t="n">
        <v>1831780212</v>
      </c>
      <c r="E13" s="20" t="n">
        <v>4774270580</v>
      </c>
      <c r="F13" s="20" t="n">
        <v>6.9</v>
      </c>
      <c r="G13" s="20" t="n">
        <v>112708406447</v>
      </c>
      <c r="H13" s="20" t="n">
        <v>43353386403</v>
      </c>
      <c r="I13" s="20" t="n">
        <v>69355020044</v>
      </c>
      <c r="J13" s="20" t="n">
        <v>5798660000</v>
      </c>
      <c r="K13" s="20" t="n">
        <v>62.5</v>
      </c>
      <c r="L13" s="18" t="inlineStr">
        <is>
          <t>연간-누적(1~3Q) 계산</t>
        </is>
      </c>
    </row>
    <row r="14">
      <c r="A14" s="18" t="inlineStr">
        <is>
          <t>2024 연간</t>
        </is>
      </c>
      <c r="B14" s="18" t="inlineStr">
        <is>
          <t>연간</t>
        </is>
      </c>
      <c r="C14" s="20" t="n">
        <v>96492001688</v>
      </c>
      <c r="D14" s="20" t="n">
        <v>3524912928</v>
      </c>
      <c r="E14" s="20" t="n">
        <v>7530549168</v>
      </c>
      <c r="F14" s="20" t="n">
        <v>3.7</v>
      </c>
      <c r="G14" s="20" t="n">
        <v>112708406447</v>
      </c>
      <c r="H14" s="20" t="n">
        <v>43353386403</v>
      </c>
      <c r="I14" s="20" t="n">
        <v>69355020044</v>
      </c>
      <c r="J14" s="20" t="n">
        <v>5798660000</v>
      </c>
      <c r="K14" s="20" t="n">
        <v>62.5</v>
      </c>
      <c r="L14" s="18" t="inlineStr">
        <is>
          <t>연결</t>
        </is>
      </c>
    </row>
    <row r="15">
      <c r="A15" s="18" t="inlineStr">
        <is>
          <t>2025Q1</t>
        </is>
      </c>
      <c r="B15" s="18" t="inlineStr">
        <is>
          <t>분기</t>
        </is>
      </c>
      <c r="C15" s="20" t="n">
        <v>15201026995</v>
      </c>
      <c r="D15" s="20" t="n">
        <v>-6426235850</v>
      </c>
      <c r="E15" s="20" t="n">
        <v>-5627893003</v>
      </c>
      <c r="F15" s="20" t="n">
        <v>-42.3</v>
      </c>
      <c r="G15" s="20" t="n">
        <v>96693989816</v>
      </c>
      <c r="H15" s="20" t="n">
        <v>32831483896</v>
      </c>
      <c r="I15" s="20" t="n">
        <v>63862505920</v>
      </c>
      <c r="J15" s="20" t="n">
        <v>5798660000</v>
      </c>
      <c r="K15" s="20" t="n">
        <v>51.4</v>
      </c>
      <c r="L15" s="18" t="inlineStr">
        <is>
          <t>3개월 단독</t>
        </is>
      </c>
    </row>
    <row r="16">
      <c r="A16" s="18" t="inlineStr">
        <is>
          <t>2025Q2</t>
        </is>
      </c>
      <c r="B16" s="18" t="inlineStr">
        <is>
          <t>분기</t>
        </is>
      </c>
      <c r="C16" s="20" t="n">
        <v>9138899064</v>
      </c>
      <c r="D16" s="20" t="n">
        <v>-4729705401</v>
      </c>
      <c r="E16" s="20" t="n">
        <v>-4084809937</v>
      </c>
      <c r="F16" s="20" t="n">
        <v>-51.8</v>
      </c>
      <c r="G16" s="20" t="n">
        <v>133916205086</v>
      </c>
      <c r="H16" s="20" t="n">
        <v>74022646162</v>
      </c>
      <c r="I16" s="20" t="n">
        <v>59893558924</v>
      </c>
      <c r="J16" s="20" t="n">
        <v>5800210000</v>
      </c>
      <c r="K16" s="20" t="n">
        <v>123.6</v>
      </c>
      <c r="L16" s="18" t="inlineStr">
        <is>
          <t>3개월 단독</t>
        </is>
      </c>
    </row>
    <row r="17">
      <c r="A17" s="18" t="inlineStr">
        <is>
          <t>2025Q3</t>
        </is>
      </c>
      <c r="B17" s="18" t="inlineStr">
        <is>
          <t>분기</t>
        </is>
      </c>
      <c r="C17" s="20" t="n">
        <v>11063148053</v>
      </c>
      <c r="D17" s="20" t="n">
        <v>-7277192133</v>
      </c>
      <c r="E17" s="20" t="n">
        <v>-5985658734</v>
      </c>
      <c r="F17" s="20" t="n">
        <v>-65.8</v>
      </c>
      <c r="G17" s="20" t="n">
        <v>141635140576</v>
      </c>
      <c r="H17" s="20" t="n">
        <v>87614939505</v>
      </c>
      <c r="I17" s="20" t="n">
        <v>54020201071</v>
      </c>
      <c r="J17" s="20" t="n">
        <v>5800210000</v>
      </c>
      <c r="K17" s="20" t="n">
        <v>162.2</v>
      </c>
      <c r="L17" s="18" t="inlineStr">
        <is>
          <t>3개월 단독</t>
        </is>
      </c>
    </row>
    <row r="18">
      <c r="A18" s="18" t="inlineStr">
        <is>
          <t>2025Q4</t>
        </is>
      </c>
      <c r="B18" s="18" t="inlineStr">
        <is>
          <t>분기</t>
        </is>
      </c>
      <c r="C18" s="20" t="n">
        <v>33107106896</v>
      </c>
      <c r="D18" s="20" t="n">
        <v>1711637156</v>
      </c>
      <c r="E18" s="20" t="n">
        <v>1329218309</v>
      </c>
      <c r="F18" s="20" t="n">
        <v>5.2</v>
      </c>
      <c r="G18" s="20" t="n">
        <v>159310899656</v>
      </c>
      <c r="H18" s="20" t="n">
        <v>104622741139</v>
      </c>
      <c r="I18" s="20" t="n">
        <v>54688158517</v>
      </c>
      <c r="J18" s="20" t="n">
        <v>5800210000</v>
      </c>
      <c r="K18" s="20" t="n">
        <v>191.3</v>
      </c>
      <c r="L18" s="18" t="inlineStr">
        <is>
          <t>연간-누적(1~3Q) 계산</t>
        </is>
      </c>
    </row>
    <row r="19">
      <c r="A19" s="18" t="inlineStr">
        <is>
          <t>2025 연간</t>
        </is>
      </c>
      <c r="B19" s="18" t="inlineStr">
        <is>
          <t>연간</t>
        </is>
      </c>
      <c r="C19" s="20" t="n">
        <v>68510181008</v>
      </c>
      <c r="D19" s="20" t="n">
        <v>-16721496228</v>
      </c>
      <c r="E19" s="20" t="n">
        <v>-14369143365</v>
      </c>
      <c r="F19" s="20" t="n">
        <v>-24.4</v>
      </c>
      <c r="G19" s="20" t="n">
        <v>159310899656</v>
      </c>
      <c r="H19" s="20" t="n">
        <v>104622741139</v>
      </c>
      <c r="I19" s="20" t="n">
        <v>54688158517</v>
      </c>
      <c r="J19" s="20" t="n">
        <v>5800210000</v>
      </c>
      <c r="K19" s="20" t="n">
        <v>191.3</v>
      </c>
      <c r="L19" s="18" t="inlineStr">
        <is>
          <t>연결</t>
        </is>
      </c>
    </row>
    <row r="20">
      <c r="A20" s="18" t="inlineStr">
        <is>
          <t>2026Q1</t>
        </is>
      </c>
      <c r="B20" s="18" t="inlineStr">
        <is>
          <t>분기</t>
        </is>
      </c>
      <c r="C20" s="20" t="n">
        <v>20569510882</v>
      </c>
      <c r="D20" s="20" t="n">
        <v>-3906114629</v>
      </c>
      <c r="E20" s="20" t="n">
        <v>-1539643256</v>
      </c>
      <c r="F20" s="20" t="n">
        <v>-19</v>
      </c>
      <c r="G20" s="20" t="n">
        <v>161764407608</v>
      </c>
      <c r="H20" s="20" t="n">
        <v>108057049886</v>
      </c>
      <c r="I20" s="20" t="n">
        <v>53707357722</v>
      </c>
      <c r="J20" s="20" t="n">
        <v>5800210000</v>
      </c>
      <c r="K20" s="20" t="n">
        <v>201.2</v>
      </c>
      <c r="L20" s="18" t="inlineStr">
        <is>
          <t>3개월 단독</t>
        </is>
      </c>
    </row>
    <row r="21">
      <c r="A21" s="18" t="inlineStr">
        <is>
          <t>2026Q2</t>
        </is>
      </c>
      <c r="B21" s="18" t="inlineStr">
        <is>
          <t>분기</t>
        </is>
      </c>
      <c r="C21" s="20" t="n">
        <v>21310472297</v>
      </c>
      <c r="D21" s="20" t="n">
        <v>328112081</v>
      </c>
      <c r="E21" s="20" t="n">
        <v>729241978</v>
      </c>
      <c r="F21" s="20" t="n">
        <v>1.5</v>
      </c>
      <c r="G21" s="20" t="n">
        <v>167126423046</v>
      </c>
      <c r="H21" s="20" t="n">
        <v>95332267705</v>
      </c>
      <c r="I21" s="20" t="n">
        <v>71794155341</v>
      </c>
      <c r="J21" s="20" t="n">
        <v>5929422000</v>
      </c>
      <c r="K21" s="20" t="n">
        <v>132.8</v>
      </c>
      <c r="L21" s="18" t="inlineStr">
        <is>
          <t>3개월 단독</t>
        </is>
      </c>
    </row>
    <row r="23">
      <c r="A23" s="21" t="inlineStr">
        <is>
          <t>출처: DART 단일회사 주요계정 API(fnlttSinglAcnt). 연결 우선(없으면 별도). 단위: 원. 분기값은 해당 3개월, Q4는 연간-누적 계산.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0" customHeight="1">
      <c r="A1" s="17" t="inlineStr">
        <is>
          <t>매출유형 | 판매경로(품목)</t>
        </is>
      </c>
      <c r="B1" s="17" t="inlineStr">
        <is>
          <t>2026.06
누적</t>
        </is>
      </c>
      <c r="C1" s="17" t="inlineStr">
        <is>
          <t>2026.03
누적</t>
        </is>
      </c>
      <c r="D1" s="17" t="inlineStr">
        <is>
          <t>2025.12
연간</t>
        </is>
      </c>
      <c r="E1" s="17" t="inlineStr">
        <is>
          <t>2025.09
누적</t>
        </is>
      </c>
      <c r="F1" s="17" t="inlineStr">
        <is>
          <t>2025.06
누적</t>
        </is>
      </c>
      <c r="G1" s="17" t="inlineStr">
        <is>
          <t>2025.03
누적</t>
        </is>
      </c>
      <c r="H1" s="17" t="inlineStr">
        <is>
          <t>2024.12
연간</t>
        </is>
      </c>
      <c r="I1" s="17" t="inlineStr">
        <is>
          <t>2024.09
누적</t>
        </is>
      </c>
      <c r="J1" s="17" t="inlineStr">
        <is>
          <t>2024.06
누적</t>
        </is>
      </c>
      <c r="K1" s="17" t="inlineStr">
        <is>
          <t>2024.03
누적</t>
        </is>
      </c>
      <c r="L1" s="17" t="inlineStr">
        <is>
          <t>2023.12
연간</t>
        </is>
      </c>
      <c r="M1" s="17" t="inlineStr">
        <is>
          <t>2023.09
누적</t>
        </is>
      </c>
      <c r="N1" s="17" t="inlineStr">
        <is>
          <t>2023.06
누적</t>
        </is>
      </c>
      <c r="O1" s="17" t="inlineStr">
        <is>
          <t>2023.03
누적</t>
        </is>
      </c>
      <c r="P1" s="17" t="inlineStr">
        <is>
          <t>2022.12
연간</t>
        </is>
      </c>
      <c r="Q1" s="17" t="inlineStr">
        <is>
          <t>2022.09
누적</t>
        </is>
      </c>
      <c r="R1" s="17" t="inlineStr">
        <is>
          <t>2022.06
누적</t>
        </is>
      </c>
    </row>
    <row r="2">
      <c r="A2" s="18" t="inlineStr">
        <is>
          <t>제품매출 | 내수</t>
        </is>
      </c>
      <c r="B2" s="20" t="n">
        <v>28990</v>
      </c>
      <c r="C2" s="20" t="n">
        <v>14808</v>
      </c>
      <c r="D2" s="20" t="n">
        <v>38389</v>
      </c>
      <c r="E2" s="20" t="n">
        <v>20165</v>
      </c>
      <c r="F2" s="20" t="n">
        <v>12287</v>
      </c>
      <c r="G2" s="20" t="n">
        <v>8188</v>
      </c>
      <c r="H2" s="20" t="n">
        <v>46050</v>
      </c>
      <c r="I2" s="20" t="n">
        <v>31138</v>
      </c>
      <c r="J2" s="20" t="n">
        <v>18394</v>
      </c>
      <c r="K2" s="20" t="n">
        <v>7458</v>
      </c>
      <c r="L2" s="20" t="n">
        <v>39328</v>
      </c>
      <c r="M2" s="20" t="n">
        <v>24829</v>
      </c>
      <c r="N2" s="20" t="n">
        <v>14674</v>
      </c>
      <c r="O2" s="20" t="n">
        <v>5749</v>
      </c>
      <c r="P2" s="20" t="n">
        <v>22654</v>
      </c>
      <c r="Q2" s="20" t="n">
        <v>17782</v>
      </c>
      <c r="R2" s="20" t="n">
        <v>12559</v>
      </c>
    </row>
    <row r="3">
      <c r="A3" s="18" t="inlineStr">
        <is>
          <t>제품매출 | 수출</t>
        </is>
      </c>
      <c r="B3" s="20" t="n">
        <v>9625</v>
      </c>
      <c r="C3" s="20" t="n">
        <v>5481</v>
      </c>
      <c r="D3" s="20" t="n">
        <v>22176</v>
      </c>
      <c r="E3" s="20" t="n">
        <v>8310</v>
      </c>
      <c r="F3" s="20" t="n">
        <v>7384</v>
      </c>
      <c r="G3" s="20" t="n">
        <v>5195</v>
      </c>
      <c r="H3" s="20" t="n">
        <v>37062</v>
      </c>
      <c r="I3" s="20" t="n">
        <v>30319</v>
      </c>
      <c r="J3" s="20" t="n">
        <v>17646</v>
      </c>
      <c r="K3" s="20" t="n">
        <v>7607</v>
      </c>
      <c r="L3" s="20" t="n">
        <v>1135</v>
      </c>
      <c r="M3" s="20" t="n">
        <v>0</v>
      </c>
      <c r="N3" s="20" t="n">
        <v>0</v>
      </c>
      <c r="O3" s="20" t="n">
        <v>0</v>
      </c>
      <c r="P3" s="20" t="n">
        <v>1384</v>
      </c>
      <c r="Q3" s="20" t="n">
        <v>1299</v>
      </c>
      <c r="R3" s="20" t="n">
        <v>1060</v>
      </c>
    </row>
    <row r="4">
      <c r="A4" s="18" t="inlineStr">
        <is>
          <t>제품매출 | 소계</t>
        </is>
      </c>
      <c r="B4" s="20" t="n">
        <v>38615</v>
      </c>
      <c r="C4" s="20" t="n">
        <v>20289</v>
      </c>
      <c r="D4" s="20" t="n">
        <v>60565</v>
      </c>
      <c r="E4" s="20" t="n">
        <v>28475</v>
      </c>
      <c r="F4" s="20" t="n">
        <v>19671</v>
      </c>
      <c r="G4" s="20" t="n">
        <v>13383</v>
      </c>
      <c r="H4" s="20" t="n">
        <v>83112</v>
      </c>
      <c r="I4" s="20" t="n">
        <v>61457</v>
      </c>
      <c r="J4" s="20" t="n">
        <v>36040</v>
      </c>
      <c r="K4" s="20" t="n">
        <v>15065</v>
      </c>
      <c r="L4" s="20" t="n">
        <v>40463</v>
      </c>
      <c r="M4" s="20" t="n">
        <v>24829</v>
      </c>
      <c r="N4" s="20" t="n">
        <v>14674</v>
      </c>
      <c r="O4" s="20" t="n">
        <v>5749</v>
      </c>
      <c r="P4" s="20" t="n">
        <v>24038</v>
      </c>
      <c r="Q4" s="20" t="n">
        <v>19081</v>
      </c>
      <c r="R4" s="20" t="n">
        <v>13619</v>
      </c>
    </row>
    <row r="5">
      <c r="A5" s="18" t="inlineStr">
        <is>
          <t>용역매출 | 내수</t>
        </is>
      </c>
      <c r="B5" s="20" t="n">
        <v>2002</v>
      </c>
      <c r="C5" s="20" t="n">
        <v>174</v>
      </c>
      <c r="D5" s="20" t="n">
        <v>7743</v>
      </c>
      <c r="E5" s="20" t="n">
        <v>6822</v>
      </c>
      <c r="F5" s="20" t="n">
        <v>4669</v>
      </c>
      <c r="G5" s="20" t="n">
        <v>1818</v>
      </c>
      <c r="H5" s="20" t="n">
        <v>13380</v>
      </c>
      <c r="I5" s="20" t="n">
        <v>8656</v>
      </c>
      <c r="J5" s="20" t="n">
        <v>5165</v>
      </c>
      <c r="K5" s="20" t="n">
        <v>2870</v>
      </c>
      <c r="L5" s="20" t="n">
        <v>23134</v>
      </c>
      <c r="M5" s="20" t="n">
        <v>17882</v>
      </c>
      <c r="N5" s="20" t="n">
        <v>12337</v>
      </c>
      <c r="O5" s="20" t="n">
        <v>6905</v>
      </c>
      <c r="P5" s="20" t="n">
        <v>19283</v>
      </c>
      <c r="Q5" s="20" t="n">
        <v>12994</v>
      </c>
      <c r="R5" s="20" t="n">
        <v>7639</v>
      </c>
    </row>
    <row r="6">
      <c r="A6" s="18" t="inlineStr">
        <is>
          <t>용역매출 | 수출</t>
        </is>
      </c>
      <c r="B6" s="20" t="n">
        <v>1263</v>
      </c>
      <c r="C6" s="20" t="n">
        <v>23</v>
      </c>
      <c r="D6" s="20" t="n">
        <v>202</v>
      </c>
      <c r="E6" s="20" t="n">
        <v>107</v>
      </c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</row>
    <row r="7">
      <c r="A7" s="18" t="inlineStr">
        <is>
          <t>용역매출 | 소계</t>
        </is>
      </c>
      <c r="B7" s="20" t="n">
        <v>3265</v>
      </c>
      <c r="C7" s="20" t="n">
        <v>197</v>
      </c>
      <c r="D7" s="20" t="n">
        <v>7945</v>
      </c>
      <c r="E7" s="20" t="n">
        <v>6928</v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</row>
    <row r="8">
      <c r="A8" s="18" t="inlineStr">
        <is>
          <t>합계</t>
        </is>
      </c>
      <c r="B8" s="20" t="n">
        <v>41880</v>
      </c>
      <c r="C8" s="20" t="n">
        <v>20486</v>
      </c>
      <c r="D8" s="20" t="n">
        <v>68510</v>
      </c>
      <c r="E8" s="20" t="n">
        <v>35403</v>
      </c>
      <c r="F8" s="20" t="n">
        <v>24340</v>
      </c>
      <c r="G8" s="20" t="n">
        <v>15201</v>
      </c>
      <c r="H8" s="20" t="n">
        <v>96492</v>
      </c>
      <c r="I8" s="20" t="n">
        <v>70113</v>
      </c>
      <c r="J8" s="20" t="n">
        <v>41205</v>
      </c>
      <c r="K8" s="20" t="n">
        <v>17935</v>
      </c>
      <c r="L8" s="20" t="n">
        <v>63597</v>
      </c>
      <c r="M8" s="20" t="n">
        <v>42711</v>
      </c>
      <c r="N8" s="20" t="n">
        <v>27011</v>
      </c>
      <c r="O8" s="20" t="n">
        <v>12654</v>
      </c>
      <c r="P8" s="20" t="n">
        <v>43321</v>
      </c>
      <c r="Q8" s="20" t="n">
        <v>32075</v>
      </c>
      <c r="R8" s="20" t="n">
        <v>21258</v>
      </c>
    </row>
    <row r="10">
      <c r="A10" s="21" t="inlineStr">
        <is>
          <t>출처: 각 정기보고서 'II. 사업의 내용 &gt; 매출 및 수주상황 &gt; 매출실적' 표의 당기 열(단위 백만원, 보고서 기준 누적 — 원문 단위 확인 필요). 열 헤더 = 보고서 기간 종료월.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.666666666666666" customWidth="1" min="3" max="3"/>
    <col hidden="1" width="10" customWidth="1" min="4" max="4"/>
    <col hidden="1" width="10" customWidth="1" min="5" max="5"/>
    <col width="11.6" customWidth="1" min="6" max="6"/>
    <col width="23.6" customWidth="1" min="7" max="7"/>
    <col width="10.13333333333333" customWidth="1" min="8" max="8"/>
    <col width="6.933333333333334" customWidth="1" min="9" max="9"/>
    <col width="18.8" customWidth="1" min="10" max="10"/>
    <col width="6.666666666666666" customWidth="1" min="11" max="11"/>
    <col width="11.73333333333333" customWidth="1" min="12" max="12"/>
    <col width="6.666666666666666" customWidth="1" min="13" max="13"/>
    <col width="11.73333333333333" customWidth="1" min="14" max="14"/>
    <col width="11.73333333333333" customWidth="1" min="15" max="15"/>
    <col width="6.666666666666666" customWidth="1" min="16" max="16"/>
    <col width="30" customWidth="1" min="17" max="17"/>
    <col width="14" customWidth="1" min="18" max="18"/>
    <col width="14" customWidth="1" min="19" max="19"/>
    <col hidden="1" width="18.8" customWidth="1" min="20" max="20"/>
  </cols>
  <sheetData>
    <row r="1" ht="25" customHeight="1">
      <c r="A1" s="1" t="inlineStr">
        <is>
          <t>접수일자</t>
        </is>
      </c>
      <c r="B1" s="1" t="inlineStr">
        <is>
          <t>DART링크</t>
        </is>
      </c>
      <c r="C1" s="1" t="inlineStr">
        <is>
          <t>회사명</t>
        </is>
      </c>
      <c r="D1" s="1" t="inlineStr">
        <is>
          <t>시장구분</t>
        </is>
      </c>
      <c r="E1" s="1" t="inlineStr">
        <is>
          <t>종목코드</t>
        </is>
      </c>
      <c r="F1" s="1" t="inlineStr">
        <is>
          <t>유형</t>
        </is>
      </c>
      <c r="G1" s="1" t="inlineStr">
        <is>
          <t>공시명</t>
        </is>
      </c>
      <c r="H1" s="1" t="inlineStr">
        <is>
          <t>조달금액</t>
        </is>
      </c>
      <c r="I1" s="1" t="inlineStr">
        <is>
          <t>발행가/전환가</t>
        </is>
      </c>
      <c r="J1" s="1" t="inlineStr">
        <is>
          <t>신주종류</t>
        </is>
      </c>
      <c r="K1" s="1" t="inlineStr">
        <is>
          <t>신주발행수</t>
        </is>
      </c>
      <c r="L1" s="1" t="inlineStr">
        <is>
          <t>납입일</t>
        </is>
      </c>
      <c r="M1" s="1" t="inlineStr">
        <is>
          <t>상장예정일</t>
        </is>
      </c>
      <c r="N1" s="1" t="inlineStr">
        <is>
          <t>전환청구시작일</t>
        </is>
      </c>
      <c r="O1" s="1" t="inlineStr">
        <is>
          <t>전환청구종료일</t>
        </is>
      </c>
      <c r="P1" s="1" t="inlineStr">
        <is>
          <t>주식총수대비</t>
        </is>
      </c>
      <c r="Q1" s="1" t="inlineStr">
        <is>
          <t>조달목적</t>
        </is>
      </c>
      <c r="R1" s="1" t="inlineStr">
        <is>
          <t>콜옵션 청구일</t>
        </is>
      </c>
      <c r="S1" s="1" t="inlineStr">
        <is>
          <t>풋옵션 청구일</t>
        </is>
      </c>
      <c r="T1" s="1" t="inlineStr">
        <is>
          <t>접수번호</t>
        </is>
      </c>
    </row>
    <row r="2" ht="36" customHeight="1">
      <c r="A2" s="2" t="inlineStr">
        <is>
          <t>2025-04-01</t>
        </is>
      </c>
      <c r="B2" s="3">
        <f>HYPERLINK("https://dart.fss.or.kr/dsaf001/main.do?rcpNo=20250401003248", "공시열람")</f>
        <v/>
      </c>
      <c r="C2" s="4" t="inlineStr">
        <is>
          <t>가온칩스</t>
        </is>
      </c>
      <c r="D2" s="2" t="inlineStr">
        <is>
          <t>코스닥</t>
        </is>
      </c>
      <c r="E2" s="2" t="inlineStr">
        <is>
          <t>399720</t>
        </is>
      </c>
      <c r="F2" s="5" t="inlineStr">
        <is>
          <t>전환사채(CB)</t>
        </is>
      </c>
      <c r="G2" s="4" t="inlineStr">
        <is>
          <t>주요사항보고서(전환사채권발행결정)</t>
        </is>
      </c>
      <c r="H2" s="6" t="n">
        <v>34500000000</v>
      </c>
      <c r="I2" s="6" t="n">
        <v>43410</v>
      </c>
      <c r="J2" s="2" t="inlineStr">
        <is>
          <t>발행회사의 기명식 보통주식</t>
        </is>
      </c>
      <c r="K2" s="7" t="n">
        <v>794747</v>
      </c>
      <c r="L2" s="2" t="inlineStr">
        <is>
          <t>2025년 04월 03일</t>
        </is>
      </c>
      <c r="M2" s="2" t="inlineStr">
        <is>
          <t>-</t>
        </is>
      </c>
      <c r="N2" s="2" t="inlineStr">
        <is>
          <t>2026년 04월 03일</t>
        </is>
      </c>
      <c r="O2" s="2" t="inlineStr">
        <is>
          <t>2030년 03월 03일</t>
        </is>
      </c>
      <c r="P2" s="8" t="n">
        <v>6.41</v>
      </c>
      <c r="Q2" s="9" t="inlineStr">
        <is>
          <t>-</t>
        </is>
      </c>
      <c r="R2" s="2" t="inlineStr">
        <is>
          <t>2026-04-03</t>
        </is>
      </c>
      <c r="S2" s="2" t="inlineStr">
        <is>
          <t>2028-04-03</t>
        </is>
      </c>
      <c r="T2" s="2" t="inlineStr">
        <is>
          <t>20250401003248</t>
        </is>
      </c>
    </row>
  </sheetData>
  <autoFilter ref="A1:T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hidden="1" width="10" customWidth="1" min="4" max="4"/>
    <col hidden="1" width="10" customWidth="1" min="5" max="5"/>
    <col width="14" customWidth="1" min="6" max="6"/>
    <col width="25" customWidth="1" min="7" max="7"/>
    <col width="30" customWidth="1" min="8" max="8"/>
    <col width="14" customWidth="1" min="9" max="9"/>
    <col width="14" customWidth="1" min="10" max="10"/>
    <col width="17.6" customWidth="1" min="11" max="11"/>
    <col width="10" customWidth="1" min="12" max="12"/>
    <col width="12.8" customWidth="1" min="13" max="13"/>
    <col width="20" customWidth="1" min="14" max="14"/>
    <col width="18" customWidth="1" min="15" max="15"/>
    <col width="18.8" customWidth="1" min="16" max="16"/>
  </cols>
  <sheetData>
    <row r="1" ht="25" customHeight="1">
      <c r="A1" s="1" t="inlineStr">
        <is>
          <t>접수일자</t>
        </is>
      </c>
      <c r="B1" s="1" t="inlineStr">
        <is>
          <t>DART링크</t>
        </is>
      </c>
      <c r="C1" s="1" t="inlineStr">
        <is>
          <t>회사명</t>
        </is>
      </c>
      <c r="D1" s="1" t="inlineStr">
        <is>
          <t>시장구분</t>
        </is>
      </c>
      <c r="E1" s="1" t="inlineStr">
        <is>
          <t>종목코드</t>
        </is>
      </c>
      <c r="F1" s="1" t="inlineStr">
        <is>
          <t>유형</t>
        </is>
      </c>
      <c r="G1" s="1" t="inlineStr">
        <is>
          <t>공시명</t>
        </is>
      </c>
      <c r="H1" s="1" t="inlineStr">
        <is>
          <t>계약내용</t>
        </is>
      </c>
      <c r="I1" s="1" t="inlineStr">
        <is>
          <t>시작일</t>
        </is>
      </c>
      <c r="J1" s="1" t="inlineStr">
        <is>
          <t>종료일</t>
        </is>
      </c>
      <c r="K1" s="1" t="inlineStr">
        <is>
          <t>수주금액</t>
        </is>
      </c>
      <c r="L1" s="1" t="inlineStr">
        <is>
          <t>수주잔고</t>
        </is>
      </c>
      <c r="M1" s="1" t="inlineStr">
        <is>
          <t>최근 매출액 대비</t>
        </is>
      </c>
      <c r="N1" s="1" t="inlineStr">
        <is>
          <t>수주상대방</t>
        </is>
      </c>
      <c r="O1" s="1" t="inlineStr">
        <is>
          <t>판매ㆍ공급지역</t>
        </is>
      </c>
      <c r="P1" s="1" t="inlineStr">
        <is>
          <t>접수번호</t>
        </is>
      </c>
    </row>
    <row r="2" ht="36" customHeight="1">
      <c r="A2" s="2" t="inlineStr">
        <is>
          <t>2026-06-11</t>
        </is>
      </c>
      <c r="B2" s="3">
        <f>HYPERLINK("https://dart.fss.or.kr/dsaf001/main.do?rcpNo=20260611900165", "공시열람")</f>
        <v/>
      </c>
      <c r="C2" s="4" t="inlineStr">
        <is>
          <t>가온칩스</t>
        </is>
      </c>
      <c r="D2" s="2" t="inlineStr">
        <is>
          <t>코스닥</t>
        </is>
      </c>
      <c r="E2" s="2" t="inlineStr">
        <is>
          <t>399720</t>
        </is>
      </c>
      <c r="F2" s="2" t="inlineStr">
        <is>
          <t>단일판매공급계약체결</t>
        </is>
      </c>
      <c r="G2" s="4" t="inlineStr">
        <is>
          <t xml:space="preserve">단일판매ㆍ공급계약체결              </t>
        </is>
      </c>
      <c r="H2" s="9" t="inlineStr">
        <is>
          <t>ASIC 반도체 설계 개발</t>
        </is>
      </c>
      <c r="I2" s="2" t="inlineStr">
        <is>
          <t>2026-05-29</t>
        </is>
      </c>
      <c r="J2" s="2" t="inlineStr">
        <is>
          <t>2028-06-30</t>
        </is>
      </c>
      <c r="K2" s="6" t="n">
        <v>29608800000</v>
      </c>
      <c r="L2" s="2" t="inlineStr">
        <is>
          <t>-</t>
        </is>
      </c>
      <c r="M2" s="10" t="n">
        <v>43.22</v>
      </c>
      <c r="N2" s="9" t="inlineStr">
        <is>
          <t>글로벌 AI반도체 기업</t>
        </is>
      </c>
      <c r="O2" s="9" t="inlineStr">
        <is>
          <t>-</t>
        </is>
      </c>
      <c r="P2" s="2" t="inlineStr">
        <is>
          <t>20260611900165</t>
        </is>
      </c>
    </row>
    <row r="3" ht="36" customHeight="1">
      <c r="A3" s="2" t="inlineStr">
        <is>
          <t>2025-12-31 (원공시: 2024-02-13)</t>
        </is>
      </c>
      <c r="B3" s="3">
        <f>HYPERLINK("https://dart.fss.or.kr/dsaf001/main.do?rcpNo=20251231900107", "공시열람")</f>
        <v/>
      </c>
      <c r="C3" s="4" t="inlineStr">
        <is>
          <t>가온칩스</t>
        </is>
      </c>
      <c r="D3" s="2" t="inlineStr">
        <is>
          <t>코스닥</t>
        </is>
      </c>
      <c r="E3" s="2" t="inlineStr">
        <is>
          <t>399720</t>
        </is>
      </c>
      <c r="F3" s="2" t="inlineStr">
        <is>
          <t>단일판매공급계약체결</t>
        </is>
      </c>
      <c r="G3" s="4" t="inlineStr">
        <is>
          <t>단일판매ㆍ공급계약체결               (정정: 20251231)</t>
        </is>
      </c>
      <c r="H3" s="9" t="inlineStr">
        <is>
          <t>AI 반도체 ASIC 설계 개발</t>
        </is>
      </c>
      <c r="I3" s="2" t="inlineStr">
        <is>
          <t>2024-02-08</t>
        </is>
      </c>
      <c r="J3" s="2" t="inlineStr">
        <is>
          <t>2026-08-31</t>
        </is>
      </c>
      <c r="K3" s="6" t="n">
        <v>55662600000</v>
      </c>
      <c r="L3" s="2" t="inlineStr">
        <is>
          <t>-</t>
        </is>
      </c>
      <c r="M3" s="10" t="n">
        <v>128.49</v>
      </c>
      <c r="N3" s="9" t="inlineStr">
        <is>
          <t>GAONCHIPS JAPAN Co., Ltd</t>
        </is>
      </c>
      <c r="O3" s="9" t="inlineStr">
        <is>
          <t>일본</t>
        </is>
      </c>
      <c r="P3" s="2" t="inlineStr">
        <is>
          <t>20251231900107</t>
        </is>
      </c>
    </row>
    <row r="4" ht="36" customHeight="1">
      <c r="A4" s="2" t="inlineStr">
        <is>
          <t>2025-12-26</t>
        </is>
      </c>
      <c r="B4" s="3">
        <f>HYPERLINK("https://dart.fss.or.kr/dsaf001/main.do?rcpNo=20251226900414", "공시열람")</f>
        <v/>
      </c>
      <c r="C4" s="4" t="inlineStr">
        <is>
          <t>가온칩스</t>
        </is>
      </c>
      <c r="D4" s="2" t="inlineStr">
        <is>
          <t>코스닥</t>
        </is>
      </c>
      <c r="E4" s="2" t="inlineStr">
        <is>
          <t>399720</t>
        </is>
      </c>
      <c r="F4" s="2" t="inlineStr">
        <is>
          <t>단일판매공급계약체결</t>
        </is>
      </c>
      <c r="G4" s="4" t="inlineStr">
        <is>
          <t xml:space="preserve">단일판매ㆍ공급계약체결              </t>
        </is>
      </c>
      <c r="H4" s="9" t="inlineStr">
        <is>
          <t>주문형 반도체 설계 개발</t>
        </is>
      </c>
      <c r="I4" s="2" t="inlineStr">
        <is>
          <t>2025-12-24</t>
        </is>
      </c>
      <c r="J4" s="2" t="inlineStr">
        <is>
          <t>2026-10-01</t>
        </is>
      </c>
      <c r="K4" s="6" t="n">
        <v>17880400000</v>
      </c>
      <c r="L4" s="2" t="inlineStr">
        <is>
          <t>-</t>
        </is>
      </c>
      <c r="M4" s="10" t="n">
        <v>18.53</v>
      </c>
      <c r="N4" s="9" t="inlineStr">
        <is>
          <t>-</t>
        </is>
      </c>
      <c r="O4" s="9" t="inlineStr">
        <is>
          <t>-</t>
        </is>
      </c>
      <c r="P4" s="2" t="inlineStr">
        <is>
          <t>20251226900414</t>
        </is>
      </c>
    </row>
    <row r="5" ht="36" customHeight="1">
      <c r="A5" s="2" t="inlineStr">
        <is>
          <t>2025-10-29</t>
        </is>
      </c>
      <c r="B5" s="3">
        <f>HYPERLINK("https://dart.fss.or.kr/dsaf001/main.do?rcpNo=20251029900487", "공시열람")</f>
        <v/>
      </c>
      <c r="C5" s="4" t="inlineStr">
        <is>
          <t>가온칩스</t>
        </is>
      </c>
      <c r="D5" s="2" t="inlineStr">
        <is>
          <t>코스닥</t>
        </is>
      </c>
      <c r="E5" s="2" t="inlineStr">
        <is>
          <t>399720</t>
        </is>
      </c>
      <c r="F5" s="2" t="inlineStr">
        <is>
          <t>단일판매공급계약체결</t>
        </is>
      </c>
      <c r="G5" s="4" t="inlineStr">
        <is>
          <t xml:space="preserve">단일판매ㆍ공급계약체결              </t>
        </is>
      </c>
      <c r="H5" s="9" t="inlineStr">
        <is>
          <t>주문형 반도체 설계 개발</t>
        </is>
      </c>
      <c r="I5" s="2" t="inlineStr">
        <is>
          <t>2025-10-29</t>
        </is>
      </c>
      <c r="J5" s="2" t="inlineStr">
        <is>
          <t>2028-07-31</t>
        </is>
      </c>
      <c r="K5" s="6" t="n">
        <v>31794165551</v>
      </c>
      <c r="L5" s="2" t="inlineStr">
        <is>
          <t>-</t>
        </is>
      </c>
      <c r="M5" s="10" t="n">
        <v>32.95</v>
      </c>
      <c r="N5" s="9" t="inlineStr">
        <is>
          <t>-</t>
        </is>
      </c>
      <c r="O5" s="9" t="inlineStr">
        <is>
          <t>-</t>
        </is>
      </c>
      <c r="P5" s="2" t="inlineStr">
        <is>
          <t>20251029900487</t>
        </is>
      </c>
    </row>
    <row r="6" ht="36" customHeight="1">
      <c r="A6" s="2" t="inlineStr">
        <is>
          <t>2025-09-16</t>
        </is>
      </c>
      <c r="B6" s="3">
        <f>HYPERLINK("https://dart.fss.or.kr/dsaf001/main.do?rcpNo=20250916900085", "공시열람")</f>
        <v/>
      </c>
      <c r="C6" s="4" t="inlineStr">
        <is>
          <t>가온칩스</t>
        </is>
      </c>
      <c r="D6" s="2" t="inlineStr">
        <is>
          <t>코스닥</t>
        </is>
      </c>
      <c r="E6" s="2" t="inlineStr">
        <is>
          <t>399720</t>
        </is>
      </c>
      <c r="F6" s="2" t="inlineStr">
        <is>
          <t>단일판매공급계약체결</t>
        </is>
      </c>
      <c r="G6" s="4" t="inlineStr">
        <is>
          <t xml:space="preserve">단일판매ㆍ공급계약체결              </t>
        </is>
      </c>
      <c r="H6" s="9" t="inlineStr">
        <is>
          <t>주문형 반도체 ASIC 설계 개발</t>
        </is>
      </c>
      <c r="I6" s="2" t="inlineStr">
        <is>
          <t>2025-09-15</t>
        </is>
      </c>
      <c r="J6" s="2" t="inlineStr">
        <is>
          <t>2027-06-30</t>
        </is>
      </c>
      <c r="K6" s="6" t="n">
        <v>9753419187</v>
      </c>
      <c r="L6" s="2" t="inlineStr">
        <is>
          <t>-</t>
        </is>
      </c>
      <c r="M6" s="10" t="n">
        <v>10.11</v>
      </c>
      <c r="N6" s="9" t="inlineStr">
        <is>
          <t>-</t>
        </is>
      </c>
      <c r="O6" s="9" t="inlineStr">
        <is>
          <t>-</t>
        </is>
      </c>
      <c r="P6" s="2" t="inlineStr">
        <is>
          <t>20250916900085</t>
        </is>
      </c>
    </row>
    <row r="7" ht="36" customHeight="1">
      <c r="A7" s="2" t="inlineStr">
        <is>
          <t>2025-07-31</t>
        </is>
      </c>
      <c r="B7" s="3">
        <f>HYPERLINK("https://dart.fss.or.kr/dsaf001/main.do?rcpNo=20250731900408", "공시열람")</f>
        <v/>
      </c>
      <c r="C7" s="4" t="inlineStr">
        <is>
          <t>가온칩스</t>
        </is>
      </c>
      <c r="D7" s="2" t="inlineStr">
        <is>
          <t>코스닥</t>
        </is>
      </c>
      <c r="E7" s="2" t="inlineStr">
        <is>
          <t>399720</t>
        </is>
      </c>
      <c r="F7" s="2" t="inlineStr">
        <is>
          <t>단일판매공급계약체결</t>
        </is>
      </c>
      <c r="G7" s="4" t="inlineStr">
        <is>
          <t xml:space="preserve">[기재정정]단일판매ㆍ공급계약체결              </t>
        </is>
      </c>
      <c r="H7" s="9" t="inlineStr">
        <is>
          <t>주문형 반도체 ASIC 설계 개발</t>
        </is>
      </c>
      <c r="I7" s="2" t="inlineStr">
        <is>
          <t>2023-05-04</t>
        </is>
      </c>
      <c r="J7" s="2" t="inlineStr">
        <is>
          <t>2025-07-31</t>
        </is>
      </c>
      <c r="K7" s="6" t="n">
        <v>12511211300</v>
      </c>
      <c r="L7" s="2" t="inlineStr">
        <is>
          <t>-</t>
        </is>
      </c>
      <c r="M7" s="10" t="n">
        <v>28.88</v>
      </c>
      <c r="N7" s="9" t="inlineStr">
        <is>
          <t>비전넥스트 주식회사</t>
        </is>
      </c>
      <c r="O7" s="9" t="inlineStr">
        <is>
          <t>대한민국</t>
        </is>
      </c>
      <c r="P7" s="2" t="inlineStr">
        <is>
          <t>20250731900408</t>
        </is>
      </c>
    </row>
    <row r="8" ht="36" customHeight="1">
      <c r="A8" s="2" t="inlineStr">
        <is>
          <t>2025-07-31</t>
        </is>
      </c>
      <c r="B8" s="3">
        <f>HYPERLINK("https://dart.fss.or.kr/dsaf001/main.do?rcpNo=20250731900405", "공시열람")</f>
        <v/>
      </c>
      <c r="C8" s="4" t="inlineStr">
        <is>
          <t>가온칩스</t>
        </is>
      </c>
      <c r="D8" s="2" t="inlineStr">
        <is>
          <t>코스닥</t>
        </is>
      </c>
      <c r="E8" s="2" t="inlineStr">
        <is>
          <t>399720</t>
        </is>
      </c>
      <c r="F8" s="2" t="inlineStr">
        <is>
          <t>단일판매공급계약체결</t>
        </is>
      </c>
      <c r="G8" s="4" t="inlineStr">
        <is>
          <t xml:space="preserve">[기재정정]단일판매ㆍ공급계약체결              </t>
        </is>
      </c>
      <c r="H8" s="9" t="inlineStr">
        <is>
          <t>주문형 반도체 시제품 공급 계약</t>
        </is>
      </c>
      <c r="I8" s="2" t="inlineStr">
        <is>
          <t>2023-12-20</t>
        </is>
      </c>
      <c r="J8" s="2" t="inlineStr">
        <is>
          <t>2025-07-31</t>
        </is>
      </c>
      <c r="K8" s="6" t="n">
        <v>5584116000</v>
      </c>
      <c r="L8" s="2" t="inlineStr">
        <is>
          <t>-</t>
        </is>
      </c>
      <c r="M8" s="10" t="n">
        <v>12.89</v>
      </c>
      <c r="N8" s="9" t="inlineStr">
        <is>
          <t>비전넥스트 주식회사</t>
        </is>
      </c>
      <c r="O8" s="9" t="inlineStr">
        <is>
          <t>대한민국</t>
        </is>
      </c>
      <c r="P8" s="2" t="inlineStr">
        <is>
          <t>20250731900405</t>
        </is>
      </c>
    </row>
    <row r="9" ht="36" customHeight="1">
      <c r="A9" s="2" t="inlineStr">
        <is>
          <t>2025-06-30</t>
        </is>
      </c>
      <c r="B9" s="3">
        <f>HYPERLINK("https://dart.fss.or.kr/dsaf001/main.do?rcpNo=20250630900699", "공시열람")</f>
        <v/>
      </c>
      <c r="C9" s="4" t="inlineStr">
        <is>
          <t>가온칩스</t>
        </is>
      </c>
      <c r="D9" s="2" t="inlineStr">
        <is>
          <t>코스닥</t>
        </is>
      </c>
      <c r="E9" s="2" t="inlineStr">
        <is>
          <t>399720</t>
        </is>
      </c>
      <c r="F9" s="2" t="inlineStr">
        <is>
          <t>단일판매공급계약체결</t>
        </is>
      </c>
      <c r="G9" s="4" t="inlineStr">
        <is>
          <t xml:space="preserve">[기재정정]단일판매ㆍ공급계약체결              </t>
        </is>
      </c>
      <c r="H9" s="9" t="inlineStr">
        <is>
          <t>주문형 반도체 ASIC 설계 개발</t>
        </is>
      </c>
      <c r="I9" s="2" t="inlineStr">
        <is>
          <t>2023-05-04</t>
        </is>
      </c>
      <c r="J9" s="2" t="inlineStr">
        <is>
          <t>2025-07-31</t>
        </is>
      </c>
      <c r="K9" s="6" t="n">
        <v>12511211300</v>
      </c>
      <c r="L9" s="2" t="inlineStr">
        <is>
          <t>-</t>
        </is>
      </c>
      <c r="M9" s="10" t="n">
        <v>28.88</v>
      </c>
      <c r="N9" s="9" t="inlineStr">
        <is>
          <t>-</t>
        </is>
      </c>
      <c r="O9" s="9" t="inlineStr">
        <is>
          <t>-</t>
        </is>
      </c>
      <c r="P9" s="2" t="inlineStr">
        <is>
          <t>20250630900699</t>
        </is>
      </c>
    </row>
    <row r="10" ht="36" customHeight="1">
      <c r="A10" s="2" t="inlineStr">
        <is>
          <t>2025-06-30</t>
        </is>
      </c>
      <c r="B10" s="3">
        <f>HYPERLINK("https://dart.fss.or.kr/dsaf001/main.do?rcpNo=20250630900701", "공시열람")</f>
        <v/>
      </c>
      <c r="C10" s="4" t="inlineStr">
        <is>
          <t>가온칩스</t>
        </is>
      </c>
      <c r="D10" s="2" t="inlineStr">
        <is>
          <t>코스닥</t>
        </is>
      </c>
      <c r="E10" s="2" t="inlineStr">
        <is>
          <t>399720</t>
        </is>
      </c>
      <c r="F10" s="2" t="inlineStr">
        <is>
          <t>단일판매공급계약체결</t>
        </is>
      </c>
      <c r="G10" s="4" t="inlineStr">
        <is>
          <t xml:space="preserve">[기재정정]단일판매ㆍ공급계약체결              </t>
        </is>
      </c>
      <c r="H10" s="9" t="inlineStr">
        <is>
          <t>주문형 반도체 시제품 공급 계약</t>
        </is>
      </c>
      <c r="I10" s="2" t="inlineStr">
        <is>
          <t>2023-12-20</t>
        </is>
      </c>
      <c r="J10" s="2" t="inlineStr">
        <is>
          <t>2025-07-31</t>
        </is>
      </c>
      <c r="K10" s="6" t="n">
        <v>5584116000</v>
      </c>
      <c r="L10" s="2" t="inlineStr">
        <is>
          <t>-</t>
        </is>
      </c>
      <c r="M10" s="10" t="n">
        <v>12.89</v>
      </c>
      <c r="N10" s="9" t="inlineStr">
        <is>
          <t>-</t>
        </is>
      </c>
      <c r="O10" s="9" t="inlineStr">
        <is>
          <t>-</t>
        </is>
      </c>
      <c r="P10" s="2" t="inlineStr">
        <is>
          <t>20250630900701</t>
        </is>
      </c>
    </row>
    <row r="11" ht="36" customHeight="1">
      <c r="A11" s="2" t="inlineStr">
        <is>
          <t>2025-06-10</t>
        </is>
      </c>
      <c r="B11" s="3">
        <f>HYPERLINK("https://dart.fss.or.kr/dsaf001/main.do?rcpNo=20250610900354", "공시열람")</f>
        <v/>
      </c>
      <c r="C11" s="4" t="inlineStr">
        <is>
          <t>가온칩스</t>
        </is>
      </c>
      <c r="D11" s="2" t="inlineStr">
        <is>
          <t>코스닥</t>
        </is>
      </c>
      <c r="E11" s="2" t="inlineStr">
        <is>
          <t>399720</t>
        </is>
      </c>
      <c r="F11" s="2" t="inlineStr">
        <is>
          <t>단일판매공급계약체결</t>
        </is>
      </c>
      <c r="G11" s="4" t="inlineStr">
        <is>
          <t xml:space="preserve">[기재정정]단일판매ㆍ공급계약체결              </t>
        </is>
      </c>
      <c r="H11" s="9" t="inlineStr">
        <is>
          <t>주문형 반도체 ASIC 설계 개발</t>
        </is>
      </c>
      <c r="I11" s="2" t="inlineStr">
        <is>
          <t>2023-05-04</t>
        </is>
      </c>
      <c r="J11" s="2" t="inlineStr">
        <is>
          <t>2025-06-30</t>
        </is>
      </c>
      <c r="K11" s="6" t="n">
        <v>11761315300</v>
      </c>
      <c r="L11" s="2" t="inlineStr">
        <is>
          <t>-</t>
        </is>
      </c>
      <c r="M11" s="10" t="n">
        <v>27.15</v>
      </c>
      <c r="N11" s="9" t="inlineStr">
        <is>
          <t>-</t>
        </is>
      </c>
      <c r="O11" s="9" t="inlineStr">
        <is>
          <t>-</t>
        </is>
      </c>
      <c r="P11" s="2" t="inlineStr">
        <is>
          <t>20250610900354</t>
        </is>
      </c>
    </row>
    <row r="12" ht="36" customHeight="1">
      <c r="A12" s="2" t="inlineStr">
        <is>
          <t>2025-06-10</t>
        </is>
      </c>
      <c r="B12" s="3">
        <f>HYPERLINK("https://dart.fss.or.kr/dsaf001/main.do?rcpNo=20250610900358", "공시열람")</f>
        <v/>
      </c>
      <c r="C12" s="4" t="inlineStr">
        <is>
          <t>가온칩스</t>
        </is>
      </c>
      <c r="D12" s="2" t="inlineStr">
        <is>
          <t>코스닥</t>
        </is>
      </c>
      <c r="E12" s="2" t="inlineStr">
        <is>
          <t>399720</t>
        </is>
      </c>
      <c r="F12" s="2" t="inlineStr">
        <is>
          <t>단일판매공급계약체결</t>
        </is>
      </c>
      <c r="G12" s="4" t="inlineStr">
        <is>
          <t xml:space="preserve">[기재정정]단일판매ㆍ공급계약체결              </t>
        </is>
      </c>
      <c r="H12" s="9" t="inlineStr">
        <is>
          <t>주문형 반도체 시제품 공급 계약</t>
        </is>
      </c>
      <c r="I12" s="2" t="inlineStr">
        <is>
          <t>2023-12-20</t>
        </is>
      </c>
      <c r="J12" s="2" t="inlineStr">
        <is>
          <t>2025-06-30</t>
        </is>
      </c>
      <c r="K12" s="6" t="n">
        <v>5584116000</v>
      </c>
      <c r="L12" s="2" t="inlineStr">
        <is>
          <t>-</t>
        </is>
      </c>
      <c r="M12" s="10" t="n">
        <v>12.89</v>
      </c>
      <c r="N12" s="9" t="inlineStr">
        <is>
          <t>-</t>
        </is>
      </c>
      <c r="O12" s="9" t="inlineStr">
        <is>
          <t>-</t>
        </is>
      </c>
      <c r="P12" s="2" t="inlineStr">
        <is>
          <t>20250610900358</t>
        </is>
      </c>
    </row>
    <row r="13" ht="36" customHeight="1">
      <c r="A13" s="2" t="inlineStr">
        <is>
          <t>2024-12-26</t>
        </is>
      </c>
      <c r="B13" s="3">
        <f>HYPERLINK("https://dart.fss.or.kr/dsaf001/main.do?rcpNo=20241226900716", "공시열람")</f>
        <v/>
      </c>
      <c r="C13" s="4" t="inlineStr">
        <is>
          <t>가온칩스</t>
        </is>
      </c>
      <c r="D13" s="2" t="inlineStr">
        <is>
          <t>코스닥</t>
        </is>
      </c>
      <c r="E13" s="2" t="inlineStr">
        <is>
          <t>399720</t>
        </is>
      </c>
      <c r="F13" s="2" t="inlineStr">
        <is>
          <t>단일판매공급계약체결</t>
        </is>
      </c>
      <c r="G13" s="4" t="inlineStr">
        <is>
          <t xml:space="preserve">[기재정정]단일판매ㆍ공급계약체결              </t>
        </is>
      </c>
      <c r="H13" s="9" t="inlineStr">
        <is>
          <t>주문형 반도체 ASIC 설계 개발</t>
        </is>
      </c>
      <c r="I13" s="2" t="inlineStr">
        <is>
          <t>2023-05-04</t>
        </is>
      </c>
      <c r="J13" s="2" t="inlineStr">
        <is>
          <t>2025-06-10</t>
        </is>
      </c>
      <c r="K13" s="6" t="n">
        <v>11761315300</v>
      </c>
      <c r="L13" s="2" t="inlineStr">
        <is>
          <t>-</t>
        </is>
      </c>
      <c r="M13" s="10" t="n">
        <v>27.15</v>
      </c>
      <c r="N13" s="9" t="inlineStr">
        <is>
          <t>-</t>
        </is>
      </c>
      <c r="O13" s="9" t="inlineStr">
        <is>
          <t>-</t>
        </is>
      </c>
      <c r="P13" s="2" t="inlineStr">
        <is>
          <t>20241226900716</t>
        </is>
      </c>
    </row>
    <row r="14" ht="36" customHeight="1">
      <c r="A14" s="2" t="inlineStr">
        <is>
          <t>2024-12-26</t>
        </is>
      </c>
      <c r="B14" s="3">
        <f>HYPERLINK("https://dart.fss.or.kr/dsaf001/main.do?rcpNo=20241226900717", "공시열람")</f>
        <v/>
      </c>
      <c r="C14" s="4" t="inlineStr">
        <is>
          <t>가온칩스</t>
        </is>
      </c>
      <c r="D14" s="2" t="inlineStr">
        <is>
          <t>코스닥</t>
        </is>
      </c>
      <c r="E14" s="2" t="inlineStr">
        <is>
          <t>399720</t>
        </is>
      </c>
      <c r="F14" s="2" t="inlineStr">
        <is>
          <t>단일판매공급계약체결</t>
        </is>
      </c>
      <c r="G14" s="4" t="inlineStr">
        <is>
          <t xml:space="preserve">[기재정정]단일판매ㆍ공급계약체결              </t>
        </is>
      </c>
      <c r="H14" s="9" t="inlineStr">
        <is>
          <t>주문형 반도체 시제품 공급 계약</t>
        </is>
      </c>
      <c r="I14" s="2" t="inlineStr">
        <is>
          <t>2023-12-20</t>
        </is>
      </c>
      <c r="J14" s="2" t="inlineStr">
        <is>
          <t>2025-06-10</t>
        </is>
      </c>
      <c r="K14" s="6" t="n">
        <v>5584116000</v>
      </c>
      <c r="L14" s="2" t="inlineStr">
        <is>
          <t>-</t>
        </is>
      </c>
      <c r="M14" s="10" t="n">
        <v>12.89</v>
      </c>
      <c r="N14" s="9" t="inlineStr">
        <is>
          <t>-</t>
        </is>
      </c>
      <c r="O14" s="9" t="inlineStr">
        <is>
          <t>-</t>
        </is>
      </c>
      <c r="P14" s="2" t="inlineStr">
        <is>
          <t>20241226900717</t>
        </is>
      </c>
    </row>
    <row r="15" ht="36" customHeight="1">
      <c r="A15" s="2" t="inlineStr">
        <is>
          <t>2024-12-24</t>
        </is>
      </c>
      <c r="B15" s="3">
        <f>HYPERLINK("https://dart.fss.or.kr/dsaf001/main.do?rcpNo=20241224900546", "공시열람")</f>
        <v/>
      </c>
      <c r="C15" s="4" t="inlineStr">
        <is>
          <t>가온칩스</t>
        </is>
      </c>
      <c r="D15" s="2" t="inlineStr">
        <is>
          <t>코스닥</t>
        </is>
      </c>
      <c r="E15" s="2" t="inlineStr">
        <is>
          <t>399720</t>
        </is>
      </c>
      <c r="F15" s="2" t="inlineStr">
        <is>
          <t>단일판매공급계약체결</t>
        </is>
      </c>
      <c r="G15" s="4" t="inlineStr">
        <is>
          <t xml:space="preserve">단일판매ㆍ공급계약해지              </t>
        </is>
      </c>
      <c r="H15" s="9" t="inlineStr">
        <is>
          <t>-</t>
        </is>
      </c>
      <c r="I15" s="2" t="inlineStr">
        <is>
          <t>2023-12-20</t>
        </is>
      </c>
      <c r="J15" s="2" t="inlineStr">
        <is>
          <t>2025-10-15</t>
        </is>
      </c>
      <c r="K15" s="6" t="inlineStr"/>
      <c r="L15" s="2" t="inlineStr">
        <is>
          <t>-</t>
        </is>
      </c>
      <c r="M15" s="10" t="n">
        <v>27.75</v>
      </c>
      <c r="N15" s="9" t="inlineStr">
        <is>
          <t>A123 Corporation</t>
        </is>
      </c>
      <c r="O15" s="9" t="inlineStr">
        <is>
          <t>-</t>
        </is>
      </c>
      <c r="P15" s="2" t="inlineStr">
        <is>
          <t>20241224900546</t>
        </is>
      </c>
    </row>
    <row r="16" ht="36" customHeight="1">
      <c r="A16" s="2" t="inlineStr">
        <is>
          <t>2024-08-08</t>
        </is>
      </c>
      <c r="B16" s="3">
        <f>HYPERLINK("https://dart.fss.or.kr/dsaf001/main.do?rcpNo=20240808900153", "공시열람")</f>
        <v/>
      </c>
      <c r="C16" s="4" t="inlineStr">
        <is>
          <t>가온칩스</t>
        </is>
      </c>
      <c r="D16" s="2" t="inlineStr">
        <is>
          <t>코스닥</t>
        </is>
      </c>
      <c r="E16" s="2" t="inlineStr">
        <is>
          <t>399720</t>
        </is>
      </c>
      <c r="F16" s="2" t="inlineStr">
        <is>
          <t>단일판매공급계약체결</t>
        </is>
      </c>
      <c r="G16" s="4" t="inlineStr">
        <is>
          <t xml:space="preserve">단일판매ㆍ공급계약체결              </t>
        </is>
      </c>
      <c r="H16" s="9" t="inlineStr">
        <is>
          <t>주문형 반도체 ASIC 설계 개발 및 시제품 공급</t>
        </is>
      </c>
      <c r="I16" s="2" t="inlineStr">
        <is>
          <t>2024-08-07</t>
        </is>
      </c>
      <c r="J16" s="2" t="inlineStr">
        <is>
          <t>2024-12-31</t>
        </is>
      </c>
      <c r="K16" s="6" t="n">
        <v>7200000000</v>
      </c>
      <c r="L16" s="2" t="inlineStr">
        <is>
          <t>-</t>
        </is>
      </c>
      <c r="M16" s="10" t="n">
        <v>11.32</v>
      </c>
      <c r="N16" s="9" t="inlineStr">
        <is>
          <t>주식회사 딥엑스</t>
        </is>
      </c>
      <c r="O16" s="9" t="inlineStr">
        <is>
          <t>대한민국</t>
        </is>
      </c>
      <c r="P16" s="2" t="inlineStr">
        <is>
          <t>20240808900153</t>
        </is>
      </c>
    </row>
    <row r="17" ht="36" customHeight="1">
      <c r="A17" s="2" t="inlineStr">
        <is>
          <t>2024-02-13</t>
        </is>
      </c>
      <c r="B17" s="3">
        <f>HYPERLINK("https://dart.fss.or.kr/dsaf001/main.do?rcpNo=20240213900270", "공시열람")</f>
        <v/>
      </c>
      <c r="C17" s="4" t="inlineStr">
        <is>
          <t>가온칩스</t>
        </is>
      </c>
      <c r="D17" s="2" t="inlineStr">
        <is>
          <t>코스닥</t>
        </is>
      </c>
      <c r="E17" s="2" t="inlineStr">
        <is>
          <t>399720</t>
        </is>
      </c>
      <c r="F17" s="2" t="inlineStr">
        <is>
          <t>단일판매공급계약체결</t>
        </is>
      </c>
      <c r="G17" s="4" t="inlineStr">
        <is>
          <t>주권매매거래정지              (단일판매공급계약)</t>
        </is>
      </c>
      <c r="H17" s="9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6" t="inlineStr"/>
      <c r="L17" s="2" t="inlineStr">
        <is>
          <t>-</t>
        </is>
      </c>
      <c r="M17" s="4" t="inlineStr"/>
      <c r="N17" s="9" t="inlineStr">
        <is>
          <t>-</t>
        </is>
      </c>
      <c r="O17" s="9" t="inlineStr">
        <is>
          <t>-</t>
        </is>
      </c>
      <c r="P17" s="2" t="inlineStr">
        <is>
          <t>20240213900270</t>
        </is>
      </c>
    </row>
    <row r="18" ht="36" customHeight="1">
      <c r="A18" s="2" t="inlineStr">
        <is>
          <t>2023-12-21</t>
        </is>
      </c>
      <c r="B18" s="3">
        <f>HYPERLINK("https://dart.fss.or.kr/dsaf001/main.do?rcpNo=20231221900172", "공시열람")</f>
        <v/>
      </c>
      <c r="C18" s="4" t="inlineStr">
        <is>
          <t>가온칩스</t>
        </is>
      </c>
      <c r="D18" s="2" t="inlineStr">
        <is>
          <t>코스닥</t>
        </is>
      </c>
      <c r="E18" s="2" t="inlineStr">
        <is>
          <t>399720</t>
        </is>
      </c>
      <c r="F18" s="2" t="inlineStr">
        <is>
          <t>단일판매공급계약체결</t>
        </is>
      </c>
      <c r="G18" s="4" t="inlineStr">
        <is>
          <t>단일판매ㆍ공급계약체결</t>
        </is>
      </c>
      <c r="H18" s="9" t="inlineStr">
        <is>
          <t>주문형 반도체 ASIC 설계 개발</t>
        </is>
      </c>
      <c r="I18" s="2" t="inlineStr">
        <is>
          <t>2023-12-20</t>
        </is>
      </c>
      <c r="J18" s="2" t="inlineStr">
        <is>
          <t>2025-10-15</t>
        </is>
      </c>
      <c r="K18" s="6" t="n">
        <v>24528360000</v>
      </c>
      <c r="L18" s="2" t="inlineStr">
        <is>
          <t>-</t>
        </is>
      </c>
      <c r="M18" s="10" t="n">
        <v>56.62</v>
      </c>
      <c r="N18" s="9" t="inlineStr">
        <is>
          <t>-</t>
        </is>
      </c>
      <c r="O18" s="9" t="inlineStr">
        <is>
          <t>-</t>
        </is>
      </c>
      <c r="P18" s="2" t="inlineStr">
        <is>
          <t>20231221900172</t>
        </is>
      </c>
    </row>
    <row r="19" ht="36" customHeight="1">
      <c r="A19" s="2" t="inlineStr">
        <is>
          <t>2023-12-21</t>
        </is>
      </c>
      <c r="B19" s="3">
        <f>HYPERLINK("https://dart.fss.or.kr/dsaf001/main.do?rcpNo=20231221900531", "공시열람")</f>
        <v/>
      </c>
      <c r="C19" s="4" t="inlineStr">
        <is>
          <t>가온칩스</t>
        </is>
      </c>
      <c r="D19" s="2" t="inlineStr">
        <is>
          <t>코스닥</t>
        </is>
      </c>
      <c r="E19" s="2" t="inlineStr">
        <is>
          <t>399720</t>
        </is>
      </c>
      <c r="F19" s="2" t="inlineStr">
        <is>
          <t>단일판매공급계약체결</t>
        </is>
      </c>
      <c r="G19" s="4" t="inlineStr">
        <is>
          <t>단일판매ㆍ공급계약체결</t>
        </is>
      </c>
      <c r="H19" s="9" t="inlineStr">
        <is>
          <t>주문형 반도체 시제품 공급 계약</t>
        </is>
      </c>
      <c r="I19" s="2" t="inlineStr">
        <is>
          <t>2023-12-20</t>
        </is>
      </c>
      <c r="J19" s="2" t="inlineStr">
        <is>
          <t>2024-12-31</t>
        </is>
      </c>
      <c r="K19" s="6" t="n">
        <v>5584116000</v>
      </c>
      <c r="L19" s="2" t="inlineStr">
        <is>
          <t>-</t>
        </is>
      </c>
      <c r="M19" s="10" t="n">
        <v>12.89</v>
      </c>
      <c r="N19" s="9" t="inlineStr">
        <is>
          <t>-</t>
        </is>
      </c>
      <c r="O19" s="9" t="inlineStr">
        <is>
          <t>-</t>
        </is>
      </c>
      <c r="P19" s="2" t="inlineStr">
        <is>
          <t>20231221900531</t>
        </is>
      </c>
    </row>
    <row r="20" ht="36" customHeight="1">
      <c r="A20" s="2" t="inlineStr">
        <is>
          <t>2023-08-10</t>
        </is>
      </c>
      <c r="B20" s="3">
        <f>HYPERLINK("https://dart.fss.or.kr/dsaf001/main.do?rcpNo=20230810900791", "공시열람")</f>
        <v/>
      </c>
      <c r="C20" s="4" t="inlineStr">
        <is>
          <t>가온칩스</t>
        </is>
      </c>
      <c r="D20" s="2" t="inlineStr">
        <is>
          <t>코스닥</t>
        </is>
      </c>
      <c r="E20" s="2" t="inlineStr">
        <is>
          <t>399720</t>
        </is>
      </c>
      <c r="F20" s="2" t="inlineStr">
        <is>
          <t>단일판매공급계약체결</t>
        </is>
      </c>
      <c r="G20" s="4" t="inlineStr">
        <is>
          <t>[기재정정]단일판매ㆍ공급계약체결</t>
        </is>
      </c>
      <c r="H20" s="9" t="inlineStr">
        <is>
          <t>주문형 반도체 ASIC 설계 개발</t>
        </is>
      </c>
      <c r="I20" s="2" t="inlineStr">
        <is>
          <t>2023-05-04</t>
        </is>
      </c>
      <c r="J20" s="2" t="inlineStr">
        <is>
          <t>2024-12-31</t>
        </is>
      </c>
      <c r="K20" s="6" t="n">
        <v>11761315300</v>
      </c>
      <c r="L20" s="2" t="inlineStr">
        <is>
          <t>-</t>
        </is>
      </c>
      <c r="M20" s="10" t="n">
        <v>27.15</v>
      </c>
      <c r="N20" s="9" t="inlineStr">
        <is>
          <t>-</t>
        </is>
      </c>
      <c r="O20" s="9" t="inlineStr">
        <is>
          <t>-</t>
        </is>
      </c>
      <c r="P20" s="2" t="inlineStr">
        <is>
          <t>20230810900791</t>
        </is>
      </c>
    </row>
    <row r="21" ht="36" customHeight="1">
      <c r="A21" s="2" t="inlineStr">
        <is>
          <t>2023-06-01</t>
        </is>
      </c>
      <c r="B21" s="3">
        <f>HYPERLINK("https://dart.fss.or.kr/dsaf001/main.do?rcpNo=20230601900458", "공시열람")</f>
        <v/>
      </c>
      <c r="C21" s="4" t="inlineStr">
        <is>
          <t>가온칩스</t>
        </is>
      </c>
      <c r="D21" s="2" t="inlineStr">
        <is>
          <t>코스닥</t>
        </is>
      </c>
      <c r="E21" s="2" t="inlineStr">
        <is>
          <t>399720</t>
        </is>
      </c>
      <c r="F21" s="2" t="inlineStr">
        <is>
          <t>단일판매공급계약체결</t>
        </is>
      </c>
      <c r="G21" s="4" t="inlineStr">
        <is>
          <t>[기재정정]단일판매ㆍ공급계약체결</t>
        </is>
      </c>
      <c r="H21" s="9" t="inlineStr">
        <is>
          <t>주문형 반도체 ASIC 설계 개발</t>
        </is>
      </c>
      <c r="I21" s="2" t="inlineStr">
        <is>
          <t>2022-08-30</t>
        </is>
      </c>
      <c r="J21" s="2" t="inlineStr">
        <is>
          <t>2023-08-31</t>
        </is>
      </c>
      <c r="K21" s="6" t="n">
        <v>7250000000</v>
      </c>
      <c r="L21" s="2" t="inlineStr">
        <is>
          <t>-</t>
        </is>
      </c>
      <c r="M21" s="10" t="n">
        <v>22.5</v>
      </c>
      <c r="N21" s="9" t="inlineStr">
        <is>
          <t>주식회사 텔레칩스</t>
        </is>
      </c>
      <c r="O21" s="9" t="inlineStr">
        <is>
          <t>대한민국</t>
        </is>
      </c>
      <c r="P21" s="2" t="inlineStr">
        <is>
          <t>20230601900458</t>
        </is>
      </c>
    </row>
    <row r="22" ht="36" customHeight="1">
      <c r="A22" s="2" t="inlineStr">
        <is>
          <t>2023-05-04</t>
        </is>
      </c>
      <c r="B22" s="3">
        <f>HYPERLINK("https://dart.fss.or.kr/dsaf001/main.do?rcpNo=20230504900417", "공시열람")</f>
        <v/>
      </c>
      <c r="C22" s="4" t="inlineStr">
        <is>
          <t>가온칩스</t>
        </is>
      </c>
      <c r="D22" s="2" t="inlineStr">
        <is>
          <t>코스닥</t>
        </is>
      </c>
      <c r="E22" s="2" t="inlineStr">
        <is>
          <t>399720</t>
        </is>
      </c>
      <c r="F22" s="2" t="inlineStr">
        <is>
          <t>단일판매공급계약체결</t>
        </is>
      </c>
      <c r="G22" s="4" t="inlineStr">
        <is>
          <t>단일판매ㆍ공급계약체결</t>
        </is>
      </c>
      <c r="H22" s="9" t="inlineStr">
        <is>
          <t>주문형 반도체 ASIC 설계 개발</t>
        </is>
      </c>
      <c r="I22" s="2" t="inlineStr">
        <is>
          <t>2023-05-04</t>
        </is>
      </c>
      <c r="J22" s="2" t="inlineStr">
        <is>
          <t>2024-12-31</t>
        </is>
      </c>
      <c r="K22" s="6" t="n">
        <v>11516260000</v>
      </c>
      <c r="L22" s="2" t="inlineStr">
        <is>
          <t>-</t>
        </is>
      </c>
      <c r="M22" s="10" t="n">
        <v>26.58</v>
      </c>
      <c r="N22" s="9" t="inlineStr">
        <is>
          <t>-</t>
        </is>
      </c>
      <c r="O22" s="9" t="inlineStr">
        <is>
          <t>-</t>
        </is>
      </c>
      <c r="P22" s="2" t="inlineStr">
        <is>
          <t>20230504900417</t>
        </is>
      </c>
    </row>
    <row r="23" ht="36" customHeight="1">
      <c r="A23" s="2" t="inlineStr">
        <is>
          <t>2023-03-17</t>
        </is>
      </c>
      <c r="B23" s="3">
        <f>HYPERLINK("https://dart.fss.or.kr/dsaf001/main.do?rcpNo=20230317900300", "공시열람")</f>
        <v/>
      </c>
      <c r="C23" s="4" t="inlineStr">
        <is>
          <t>가온칩스</t>
        </is>
      </c>
      <c r="D23" s="2" t="inlineStr">
        <is>
          <t>코스닥</t>
        </is>
      </c>
      <c r="E23" s="2" t="inlineStr">
        <is>
          <t>399720</t>
        </is>
      </c>
      <c r="F23" s="2" t="inlineStr">
        <is>
          <t>단일판매공급계약체결</t>
        </is>
      </c>
      <c r="G23" s="4" t="inlineStr">
        <is>
          <t>[기재정정]단일판매ㆍ공급계약체결</t>
        </is>
      </c>
      <c r="H23" s="9" t="inlineStr">
        <is>
          <t>주문형 반도체 ASIC 설계 개발</t>
        </is>
      </c>
      <c r="I23" s="2" t="inlineStr">
        <is>
          <t>2022-08-30</t>
        </is>
      </c>
      <c r="J23" s="2" t="inlineStr">
        <is>
          <t>2023-08-31</t>
        </is>
      </c>
      <c r="K23" s="6" t="n">
        <v>5900000000</v>
      </c>
      <c r="L23" s="2" t="inlineStr">
        <is>
          <t>-</t>
        </is>
      </c>
      <c r="M23" s="10" t="n">
        <v>18.3</v>
      </c>
      <c r="N23" s="9" t="inlineStr">
        <is>
          <t>주식회사 텔레칩스</t>
        </is>
      </c>
      <c r="O23" s="9" t="inlineStr">
        <is>
          <t>대한민국</t>
        </is>
      </c>
      <c r="P23" s="2" t="inlineStr">
        <is>
          <t>20230317900300</t>
        </is>
      </c>
    </row>
    <row r="24" ht="36" customHeight="1">
      <c r="A24" s="2" t="inlineStr">
        <is>
          <t>2022-08-31</t>
        </is>
      </c>
      <c r="B24" s="3">
        <f>HYPERLINK("https://dart.fss.or.kr/dsaf001/main.do?rcpNo=20220831900145", "공시열람")</f>
        <v/>
      </c>
      <c r="C24" s="4" t="inlineStr">
        <is>
          <t>가온칩스</t>
        </is>
      </c>
      <c r="D24" s="2" t="inlineStr">
        <is>
          <t>코스닥</t>
        </is>
      </c>
      <c r="E24" s="2" t="inlineStr">
        <is>
          <t>399720</t>
        </is>
      </c>
      <c r="F24" s="2" t="inlineStr">
        <is>
          <t>단일판매공급계약체결</t>
        </is>
      </c>
      <c r="G24" s="4" t="inlineStr">
        <is>
          <t>단일판매ㆍ공급계약체결</t>
        </is>
      </c>
      <c r="H24" s="9" t="inlineStr">
        <is>
          <t>주문형 반도체 ASIC 설계 개발</t>
        </is>
      </c>
      <c r="I24" s="2" t="inlineStr">
        <is>
          <t>2022-08-30</t>
        </is>
      </c>
      <c r="J24" s="2" t="inlineStr">
        <is>
          <t>2023-03-17</t>
        </is>
      </c>
      <c r="K24" s="6" t="n">
        <v>5900000000</v>
      </c>
      <c r="L24" s="2" t="inlineStr">
        <is>
          <t>-</t>
        </is>
      </c>
      <c r="M24" s="10" t="n">
        <v>18.3</v>
      </c>
      <c r="N24" s="9" t="inlineStr">
        <is>
          <t>주식회사 텔레칩스</t>
        </is>
      </c>
      <c r="O24" s="9" t="inlineStr">
        <is>
          <t>대한민국</t>
        </is>
      </c>
      <c r="P24" s="2" t="inlineStr">
        <is>
          <t>20220831900145</t>
        </is>
      </c>
    </row>
  </sheetData>
  <autoFilter ref="A1:P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16" customWidth="1" min="2" max="2"/>
    <col hidden="1" width="10" customWidth="1" min="3" max="3"/>
    <col hidden="1" width="10" customWidth="1" min="4" max="4"/>
    <col width="12" customWidth="1" min="5" max="5"/>
    <col width="12" customWidth="1" min="6" max="6"/>
    <col width="20" customWidth="1" min="7" max="7"/>
    <col width="14" customWidth="1" min="8" max="8"/>
    <col width="14" customWidth="1" min="9" max="9"/>
    <col width="14" customWidth="1" min="10" max="10"/>
    <col width="12" customWidth="1" min="11" max="11"/>
    <col width="16" customWidth="1" min="12" max="12"/>
    <col width="16" customWidth="1" min="13" max="13"/>
    <col width="10" customWidth="1" min="14" max="14"/>
    <col width="16" customWidth="1" min="15" max="15"/>
    <col width="10" customWidth="1" min="16" max="16"/>
    <col width="18" customWidth="1" min="17" max="17"/>
    <col width="10" customWidth="1" min="18" max="18"/>
  </cols>
  <sheetData>
    <row r="1" ht="25" customHeight="1">
      <c r="A1" s="1" t="inlineStr">
        <is>
          <t>접수일자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보고구분</t>
        </is>
      </c>
      <c r="E1" s="1" t="inlineStr">
        <is>
          <t>거래 시작일</t>
        </is>
      </c>
      <c r="F1" s="1" t="inlineStr">
        <is>
          <t>거래 종료일</t>
        </is>
      </c>
      <c r="G1" s="1" t="inlineStr">
        <is>
          <t>보고자(주체)</t>
        </is>
      </c>
      <c r="H1" s="1" t="inlineStr">
        <is>
          <t>관계</t>
        </is>
      </c>
      <c r="I1" s="1" t="inlineStr">
        <is>
          <t>변동사유</t>
        </is>
      </c>
      <c r="J1" s="1" t="inlineStr">
        <is>
          <t>증감(주)</t>
        </is>
      </c>
      <c r="K1" s="1" t="inlineStr">
        <is>
          <t>단가(원)</t>
        </is>
      </c>
      <c r="L1" s="1" t="inlineStr">
        <is>
          <t>거래액(원)</t>
        </is>
      </c>
      <c r="M1" s="1" t="inlineStr">
        <is>
          <t>변동전 보유(주)</t>
        </is>
      </c>
      <c r="N1" s="1" t="inlineStr">
        <is>
          <t>변동전 비율(%)</t>
        </is>
      </c>
      <c r="O1" s="1" t="inlineStr">
        <is>
          <t>변동후 보유(주)</t>
        </is>
      </c>
      <c r="P1" s="1" t="inlineStr">
        <is>
          <t>보유비율(%)</t>
        </is>
      </c>
      <c r="Q1" s="1" t="inlineStr">
        <is>
          <t>접수번호</t>
        </is>
      </c>
      <c r="R1" s="1" t="inlineStr">
        <is>
          <t>DART링크</t>
        </is>
      </c>
    </row>
    <row r="2">
      <c r="A2" s="2" t="inlineStr">
        <is>
          <t>2026-09-14</t>
        </is>
      </c>
      <c r="B2" s="4" t="inlineStr">
        <is>
          <t>가온칩스</t>
        </is>
      </c>
      <c r="C2" s="2" t="inlineStr">
        <is>
          <t>399720</t>
        </is>
      </c>
      <c r="D2" s="2" t="inlineStr">
        <is>
          <t>대량보유</t>
        </is>
      </c>
      <c r="E2" s="2" t="inlineStr"/>
      <c r="F2" s="2" t="inlineStr"/>
      <c r="G2" s="4" t="inlineStr">
        <is>
          <t>정규동</t>
        </is>
      </c>
      <c r="H2" s="4" t="inlineStr">
        <is>
          <t>최대주주</t>
        </is>
      </c>
      <c r="I2" s="4" t="inlineStr">
        <is>
          <t>특수관계인의 주식담보대출계약 체결</t>
        </is>
      </c>
      <c r="J2" s="7" t="inlineStr"/>
      <c r="K2" s="7" t="inlineStr"/>
      <c r="L2" s="7" t="inlineStr"/>
      <c r="M2" s="7" t="n">
        <v>5302361</v>
      </c>
      <c r="N2" s="12" t="n">
        <v>44.71</v>
      </c>
      <c r="O2" s="7" t="n">
        <v>5302361</v>
      </c>
      <c r="P2" s="12" t="n">
        <v>44.71</v>
      </c>
      <c r="Q2" s="2" t="inlineStr">
        <is>
          <t>20260914000336</t>
        </is>
      </c>
      <c r="R2" s="3">
        <f>HYPERLINK("https://dart.fss.or.kr/dsaf001/main.do?rcpNo=20260914000336", "공시열람")</f>
        <v/>
      </c>
    </row>
    <row r="3">
      <c r="A3" s="2" t="inlineStr">
        <is>
          <t>2026-08-26</t>
        </is>
      </c>
      <c r="B3" s="4" t="inlineStr">
        <is>
          <t>가온칩스</t>
        </is>
      </c>
      <c r="C3" s="2" t="inlineStr">
        <is>
          <t>399720</t>
        </is>
      </c>
      <c r="D3" s="2" t="inlineStr">
        <is>
          <t>대량보유</t>
        </is>
      </c>
      <c r="E3" s="2" t="inlineStr"/>
      <c r="F3" s="2" t="inlineStr"/>
      <c r="G3" s="4" t="inlineStr">
        <is>
          <t>정규동</t>
        </is>
      </c>
      <c r="H3" s="4" t="inlineStr">
        <is>
          <t>최대주주</t>
        </is>
      </c>
      <c r="I3" s="4" t="inlineStr">
        <is>
          <t>특수관계인의 주식담보대출계약 체결</t>
        </is>
      </c>
      <c r="J3" s="7" t="inlineStr"/>
      <c r="K3" s="7" t="inlineStr"/>
      <c r="L3" s="7" t="inlineStr"/>
      <c r="M3" s="7" t="n">
        <v>5302361</v>
      </c>
      <c r="N3" s="12" t="n">
        <v>44.71</v>
      </c>
      <c r="O3" s="7" t="n">
        <v>5302361</v>
      </c>
      <c r="P3" s="12" t="n">
        <v>44.71</v>
      </c>
      <c r="Q3" s="2" t="inlineStr">
        <is>
          <t>20260826000655</t>
        </is>
      </c>
      <c r="R3" s="3">
        <f>HYPERLINK("https://dart.fss.or.kr/dsaf001/main.do?rcpNo=20260826000655", "공시열람")</f>
        <v/>
      </c>
    </row>
    <row r="4">
      <c r="A4" s="2" t="inlineStr">
        <is>
          <t>2026-08-07</t>
        </is>
      </c>
      <c r="B4" s="4" t="inlineStr">
        <is>
          <t>가온칩스</t>
        </is>
      </c>
      <c r="C4" s="2" t="inlineStr">
        <is>
          <t>399720</t>
        </is>
      </c>
      <c r="D4" s="2" t="inlineStr">
        <is>
          <t>대량보유</t>
        </is>
      </c>
      <c r="E4" s="2" t="inlineStr">
        <is>
          <t>2026-07-31</t>
        </is>
      </c>
      <c r="F4" s="2" t="inlineStr">
        <is>
          <t>2026-07-31</t>
        </is>
      </c>
      <c r="G4" s="4" t="inlineStr">
        <is>
          <t>박대남</t>
        </is>
      </c>
      <c r="H4" s="4" t="inlineStr">
        <is>
          <t>특별관계자</t>
        </is>
      </c>
      <c r="I4" s="4" t="inlineStr">
        <is>
          <t>임원퇴임(-)</t>
        </is>
      </c>
      <c r="J4" s="13" t="n">
        <v>-246500</v>
      </c>
      <c r="K4" s="7" t="n">
        <v>48450</v>
      </c>
      <c r="L4" s="13" t="n">
        <v>-11942925000</v>
      </c>
      <c r="M4" s="7" t="n">
        <v>5548861</v>
      </c>
      <c r="N4" s="12" t="n">
        <v>46.87</v>
      </c>
      <c r="O4" s="7" t="inlineStr"/>
      <c r="P4" s="12" t="n">
        <v>44.71</v>
      </c>
      <c r="Q4" s="2" t="inlineStr">
        <is>
          <t>20260807000493</t>
        </is>
      </c>
      <c r="R4" s="3">
        <f>HYPERLINK("https://dart.fss.or.kr/dsaf001/main.do?rcpNo=20260807000493", "공시열람")</f>
        <v/>
      </c>
    </row>
    <row r="5">
      <c r="A5" s="2" t="inlineStr">
        <is>
          <t>2026-08-07</t>
        </is>
      </c>
      <c r="B5" s="4" t="inlineStr">
        <is>
          <t>가온칩스</t>
        </is>
      </c>
      <c r="C5" s="2" t="inlineStr">
        <is>
          <t>399720</t>
        </is>
      </c>
      <c r="D5" s="2" t="inlineStr">
        <is>
          <t>대량보유</t>
        </is>
      </c>
      <c r="E5" s="2" t="inlineStr">
        <is>
          <t>2026-06-30</t>
        </is>
      </c>
      <c r="F5" s="2" t="inlineStr">
        <is>
          <t>2026-06-30</t>
        </is>
      </c>
      <c r="G5" s="4" t="inlineStr">
        <is>
          <t>김순곤</t>
        </is>
      </c>
      <c r="H5" s="4" t="inlineStr">
        <is>
          <t>특별관계자</t>
        </is>
      </c>
      <c r="I5" s="4" t="inlineStr">
        <is>
          <t>주식매수선택권행사(+)</t>
        </is>
      </c>
      <c r="J5" s="14" t="n">
        <v>10000</v>
      </c>
      <c r="K5" s="7" t="n">
        <v>28920</v>
      </c>
      <c r="L5" s="14" t="n">
        <v>289200000</v>
      </c>
      <c r="M5" s="7" t="n">
        <v>5548861</v>
      </c>
      <c r="N5" s="12" t="n">
        <v>46.87</v>
      </c>
      <c r="O5" s="7" t="n">
        <v>10000</v>
      </c>
      <c r="P5" s="12" t="n">
        <v>44.71</v>
      </c>
      <c r="Q5" s="2" t="inlineStr">
        <is>
          <t>20260807000493</t>
        </is>
      </c>
      <c r="R5" s="3">
        <f>HYPERLINK("https://dart.fss.or.kr/dsaf001/main.do?rcpNo=20260807000493", "공시열람")</f>
        <v/>
      </c>
    </row>
    <row r="6">
      <c r="A6" s="2" t="inlineStr">
        <is>
          <t>2026-08-07</t>
        </is>
      </c>
      <c r="B6" s="4" t="inlineStr">
        <is>
          <t>가온칩스</t>
        </is>
      </c>
      <c r="C6" s="2" t="inlineStr">
        <is>
          <t>399720</t>
        </is>
      </c>
      <c r="D6" s="2" t="inlineStr">
        <is>
          <t>대량보유</t>
        </is>
      </c>
      <c r="E6" s="2" t="inlineStr">
        <is>
          <t>2026-06-30</t>
        </is>
      </c>
      <c r="F6" s="2" t="inlineStr">
        <is>
          <t>2026-06-30</t>
        </is>
      </c>
      <c r="G6" s="4" t="inlineStr">
        <is>
          <t>김순곤</t>
        </is>
      </c>
      <c r="H6" s="4" t="inlineStr">
        <is>
          <t>특별관계자</t>
        </is>
      </c>
      <c r="I6" s="4" t="inlineStr">
        <is>
          <t>주식매수선택권행사(-)</t>
        </is>
      </c>
      <c r="J6" s="13" t="n">
        <v>-10000</v>
      </c>
      <c r="K6" s="7" t="n">
        <v>39950</v>
      </c>
      <c r="L6" s="13" t="n">
        <v>-399500000</v>
      </c>
      <c r="M6" s="7" t="n">
        <v>5548861</v>
      </c>
      <c r="N6" s="12" t="n">
        <v>46.87</v>
      </c>
      <c r="O6" s="7" t="n">
        <v>9000</v>
      </c>
      <c r="P6" s="12" t="n">
        <v>44.71</v>
      </c>
      <c r="Q6" s="2" t="inlineStr">
        <is>
          <t>20260807000493</t>
        </is>
      </c>
      <c r="R6" s="3">
        <f>HYPERLINK("https://dart.fss.or.kr/dsaf001/main.do?rcpNo=20260807000493", "공시열람")</f>
        <v/>
      </c>
    </row>
    <row r="7">
      <c r="A7" s="2" t="inlineStr">
        <is>
          <t>2026-07-10</t>
        </is>
      </c>
      <c r="B7" s="4" t="inlineStr">
        <is>
          <t>가온칩스</t>
        </is>
      </c>
      <c r="C7" s="2" t="inlineStr">
        <is>
          <t>399720</t>
        </is>
      </c>
      <c r="D7" s="2" t="inlineStr">
        <is>
          <t>대량보유</t>
        </is>
      </c>
      <c r="E7" s="2" t="inlineStr">
        <is>
          <t>2026-06-11</t>
        </is>
      </c>
      <c r="F7" s="2" t="inlineStr">
        <is>
          <t>2026-06-12</t>
        </is>
      </c>
      <c r="G7" s="4" t="inlineStr">
        <is>
          <t>대신-SAM신기술투자조합제1호</t>
        </is>
      </c>
      <c r="H7" s="4" t="inlineStr">
        <is>
          <t>특별관계자</t>
        </is>
      </c>
      <c r="I7" s="4" t="inlineStr">
        <is>
          <t>장내매도(-)</t>
        </is>
      </c>
      <c r="J7" s="13" t="n">
        <v>-70371</v>
      </c>
      <c r="K7" s="7" t="n">
        <v>43410</v>
      </c>
      <c r="L7" s="13" t="n">
        <v>-3054805110</v>
      </c>
      <c r="M7" s="7" t="n">
        <v>626694</v>
      </c>
      <c r="N7" s="12" t="n">
        <v>5.06</v>
      </c>
      <c r="O7" s="7" t="n">
        <v>50371</v>
      </c>
      <c r="P7" s="12" t="n">
        <v>4.49</v>
      </c>
      <c r="Q7" s="2" t="inlineStr">
        <is>
          <t>20260710000433</t>
        </is>
      </c>
      <c r="R7" s="3">
        <f>HYPERLINK("https://dart.fss.or.kr/dsaf001/main.do?rcpNo=20260710000433", "공시열람")</f>
        <v/>
      </c>
    </row>
    <row r="8">
      <c r="A8" s="2" t="inlineStr">
        <is>
          <t>2026-07-08</t>
        </is>
      </c>
      <c r="B8" s="4" t="inlineStr">
        <is>
          <t>가온칩스</t>
        </is>
      </c>
      <c r="C8" s="2" t="inlineStr">
        <is>
          <t>399720</t>
        </is>
      </c>
      <c r="D8" s="2" t="inlineStr">
        <is>
          <t>임원보고</t>
        </is>
      </c>
      <c r="E8" s="2" t="inlineStr">
        <is>
          <t>2026-06-30</t>
        </is>
      </c>
      <c r="F8" s="2" t="inlineStr">
        <is>
          <t>2026-06-30</t>
        </is>
      </c>
      <c r="G8" s="4" t="inlineStr">
        <is>
          <t>김순곤</t>
        </is>
      </c>
      <c r="H8" s="4" t="inlineStr">
        <is>
          <t>비등기임원 부사장</t>
        </is>
      </c>
      <c r="I8" s="4" t="inlineStr">
        <is>
          <t>주식매수선택권(+)</t>
        </is>
      </c>
      <c r="J8" s="14" t="n">
        <v>10000</v>
      </c>
      <c r="K8" s="7" t="n">
        <v>28920</v>
      </c>
      <c r="L8" s="14" t="n">
        <v>289200000</v>
      </c>
      <c r="M8" s="7" t="inlineStr"/>
      <c r="N8" s="15" t="inlineStr"/>
      <c r="O8" s="7" t="n">
        <v>10000</v>
      </c>
      <c r="P8" s="12" t="n">
        <v>0.08</v>
      </c>
      <c r="Q8" s="2" t="inlineStr">
        <is>
          <t>20260708000386</t>
        </is>
      </c>
      <c r="R8" s="3">
        <f>HYPERLINK("https://dart.fss.or.kr/dsaf001/main.do?rcpNo=20260708000386", "공시열람")</f>
        <v/>
      </c>
    </row>
    <row r="9">
      <c r="A9" s="2" t="inlineStr">
        <is>
          <t>2026-06-10</t>
        </is>
      </c>
      <c r="B9" s="4" t="inlineStr">
        <is>
          <t>가온칩스</t>
        </is>
      </c>
      <c r="C9" s="2" t="inlineStr">
        <is>
          <t>399720</t>
        </is>
      </c>
      <c r="D9" s="2" t="inlineStr">
        <is>
          <t>대량보유</t>
        </is>
      </c>
      <c r="E9" s="2" t="inlineStr">
        <is>
          <t>2026-04-17</t>
        </is>
      </c>
      <c r="F9" s="2" t="inlineStr">
        <is>
          <t>2026-04-17</t>
        </is>
      </c>
      <c r="G9" s="4" t="inlineStr">
        <is>
          <t>2023신한-JB우리-대신상장사Mezzanine신기술투자조합</t>
        </is>
      </c>
      <c r="H9" s="4" t="inlineStr">
        <is>
          <t>특별관계자</t>
        </is>
      </c>
      <c r="I9" s="4" t="inlineStr">
        <is>
          <t>전환등(-)</t>
        </is>
      </c>
      <c r="J9" s="13" t="n">
        <v>-17277</v>
      </c>
      <c r="K9" s="7" t="n">
        <v>43410</v>
      </c>
      <c r="L9" s="13" t="n">
        <v>-749994570</v>
      </c>
      <c r="M9" s="7" t="n">
        <v>794747</v>
      </c>
      <c r="N9" s="12" t="n">
        <v>6.41</v>
      </c>
      <c r="O9" s="7" t="n">
        <v>40313</v>
      </c>
      <c r="P9" s="12" t="n">
        <v>5.06</v>
      </c>
      <c r="Q9" s="2" t="inlineStr">
        <is>
          <t>20260610000236</t>
        </is>
      </c>
      <c r="R9" s="3">
        <f>HYPERLINK("https://dart.fss.or.kr/dsaf001/main.do?rcpNo=20260610000236", "공시열람")</f>
        <v/>
      </c>
    </row>
    <row r="10">
      <c r="A10" s="2" t="inlineStr">
        <is>
          <t>2026-06-10</t>
        </is>
      </c>
      <c r="B10" s="4" t="inlineStr">
        <is>
          <t>가온칩스</t>
        </is>
      </c>
      <c r="C10" s="2" t="inlineStr">
        <is>
          <t>399720</t>
        </is>
      </c>
      <c r="D10" s="2" t="inlineStr">
        <is>
          <t>대량보유</t>
        </is>
      </c>
      <c r="E10" s="2" t="inlineStr">
        <is>
          <t>2026-04-17</t>
        </is>
      </c>
      <c r="F10" s="2" t="inlineStr">
        <is>
          <t>2026-04-17</t>
        </is>
      </c>
      <c r="G10" s="4" t="inlineStr">
        <is>
          <t>대신-SAM신기술투자조합제1호</t>
        </is>
      </c>
      <c r="H10" s="4" t="inlineStr">
        <is>
          <t>특별관계자</t>
        </is>
      </c>
      <c r="I10" s="4" t="inlineStr">
        <is>
          <t>전환사채의권리행사(+)</t>
        </is>
      </c>
      <c r="J10" s="14" t="n">
        <v>221147</v>
      </c>
      <c r="K10" s="7" t="n">
        <v>43410</v>
      </c>
      <c r="L10" s="14" t="n">
        <v>9599991270</v>
      </c>
      <c r="M10" s="7" t="n">
        <v>794747</v>
      </c>
      <c r="N10" s="12" t="n">
        <v>6.41</v>
      </c>
      <c r="O10" s="7" t="n">
        <v>221147</v>
      </c>
      <c r="P10" s="12" t="n">
        <v>5.06</v>
      </c>
      <c r="Q10" s="2" t="inlineStr">
        <is>
          <t>20260610000236</t>
        </is>
      </c>
      <c r="R10" s="3">
        <f>HYPERLINK("https://dart.fss.or.kr/dsaf001/main.do?rcpNo=20260610000236", "공시열람")</f>
        <v/>
      </c>
    </row>
    <row r="11">
      <c r="A11" s="2" t="inlineStr">
        <is>
          <t>2026-06-10</t>
        </is>
      </c>
      <c r="B11" s="4" t="inlineStr">
        <is>
          <t>가온칩스</t>
        </is>
      </c>
      <c r="C11" s="2" t="inlineStr">
        <is>
          <t>399720</t>
        </is>
      </c>
      <c r="D11" s="2" t="inlineStr">
        <is>
          <t>대량보유</t>
        </is>
      </c>
      <c r="E11" s="2" t="inlineStr">
        <is>
          <t>2026-05-06</t>
        </is>
      </c>
      <c r="F11" s="2" t="inlineStr">
        <is>
          <t>2026-06-04</t>
        </is>
      </c>
      <c r="G11" s="4" t="inlineStr">
        <is>
          <t>대신-SAM신기술투자조합제1호</t>
        </is>
      </c>
      <c r="H11" s="4" t="inlineStr">
        <is>
          <t>특별관계자</t>
        </is>
      </c>
      <c r="I11" s="4" t="inlineStr">
        <is>
          <t>장내매도(-)</t>
        </is>
      </c>
      <c r="J11" s="13" t="n">
        <v>-150776</v>
      </c>
      <c r="K11" s="7" t="n">
        <v>43410</v>
      </c>
      <c r="L11" s="13" t="n">
        <v>-6545186160</v>
      </c>
      <c r="M11" s="7" t="n">
        <v>794747</v>
      </c>
      <c r="N11" s="12" t="n">
        <v>6.41</v>
      </c>
      <c r="O11" s="7" t="n">
        <v>70371</v>
      </c>
      <c r="P11" s="12" t="n">
        <v>5.06</v>
      </c>
      <c r="Q11" s="2" t="inlineStr">
        <is>
          <t>20260610000236</t>
        </is>
      </c>
      <c r="R11" s="3">
        <f>HYPERLINK("https://dart.fss.or.kr/dsaf001/main.do?rcpNo=20260610000236", "공시열람")</f>
        <v/>
      </c>
    </row>
    <row r="12">
      <c r="A12" s="2" t="inlineStr">
        <is>
          <t>2026-06-10</t>
        </is>
      </c>
      <c r="B12" s="4" t="inlineStr">
        <is>
          <t>가온칩스</t>
        </is>
      </c>
      <c r="C12" s="2" t="inlineStr">
        <is>
          <t>399720</t>
        </is>
      </c>
      <c r="D12" s="2" t="inlineStr">
        <is>
          <t>대량보유</t>
        </is>
      </c>
      <c r="E12" s="2" t="inlineStr">
        <is>
          <t>2026-04-17</t>
        </is>
      </c>
      <c r="F12" s="2" t="inlineStr">
        <is>
          <t>2026-04-17</t>
        </is>
      </c>
      <c r="G12" s="4" t="inlineStr">
        <is>
          <t>대신-SAM신기술투자조합제1호</t>
        </is>
      </c>
      <c r="H12" s="4" t="inlineStr">
        <is>
          <t>특별관계자</t>
        </is>
      </c>
      <c r="I12" s="4" t="inlineStr">
        <is>
          <t>전환등(-)</t>
        </is>
      </c>
      <c r="J12" s="13" t="n">
        <v>-221147</v>
      </c>
      <c r="K12" s="7" t="n">
        <v>43410</v>
      </c>
      <c r="L12" s="13" t="n">
        <v>-9599991270</v>
      </c>
      <c r="M12" s="7" t="n">
        <v>794747</v>
      </c>
      <c r="N12" s="12" t="n">
        <v>6.41</v>
      </c>
      <c r="O12" s="7" t="n">
        <v>516010</v>
      </c>
      <c r="P12" s="12" t="n">
        <v>5.06</v>
      </c>
      <c r="Q12" s="2" t="inlineStr">
        <is>
          <t>20260610000236</t>
        </is>
      </c>
      <c r="R12" s="3">
        <f>HYPERLINK("https://dart.fss.or.kr/dsaf001/main.do?rcpNo=20260610000236", "공시열람")</f>
        <v/>
      </c>
    </row>
    <row r="13">
      <c r="A13" s="2" t="inlineStr">
        <is>
          <t>2026-06-10</t>
        </is>
      </c>
      <c r="B13" s="4" t="inlineStr">
        <is>
          <t>가온칩스</t>
        </is>
      </c>
      <c r="C13" s="2" t="inlineStr">
        <is>
          <t>399720</t>
        </is>
      </c>
      <c r="D13" s="2" t="inlineStr">
        <is>
          <t>대량보유</t>
        </is>
      </c>
      <c r="E13" s="2" t="inlineStr">
        <is>
          <t>2026-04-17</t>
        </is>
      </c>
      <c r="F13" s="2" t="inlineStr">
        <is>
          <t>2026-04-17</t>
        </is>
      </c>
      <c r="G13" s="4" t="inlineStr">
        <is>
          <t>2023신한-JB우리-대신상장사Mezzanine신기술투자조합</t>
        </is>
      </c>
      <c r="H13" s="4" t="inlineStr">
        <is>
          <t>특별관계자</t>
        </is>
      </c>
      <c r="I13" s="4" t="inlineStr">
        <is>
          <t>전환사채의권리행사(+)</t>
        </is>
      </c>
      <c r="J13" s="14" t="n">
        <v>17277</v>
      </c>
      <c r="K13" s="7" t="n">
        <v>43410</v>
      </c>
      <c r="L13" s="14" t="n">
        <v>749994570</v>
      </c>
      <c r="M13" s="7" t="n">
        <v>794747</v>
      </c>
      <c r="N13" s="12" t="n">
        <v>6.41</v>
      </c>
      <c r="O13" s="7" t="n">
        <v>17277</v>
      </c>
      <c r="P13" s="12" t="n">
        <v>5.06</v>
      </c>
      <c r="Q13" s="2" t="inlineStr">
        <is>
          <t>20260610000236</t>
        </is>
      </c>
      <c r="R13" s="3">
        <f>HYPERLINK("https://dart.fss.or.kr/dsaf001/main.do?rcpNo=20260610000236", "공시열람")</f>
        <v/>
      </c>
    </row>
    <row r="14">
      <c r="A14" s="2" t="inlineStr">
        <is>
          <t>2026-06-10</t>
        </is>
      </c>
      <c r="B14" s="4" t="inlineStr">
        <is>
          <t>가온칩스</t>
        </is>
      </c>
      <c r="C14" s="2" t="inlineStr">
        <is>
          <t>399720</t>
        </is>
      </c>
      <c r="D14" s="2" t="inlineStr">
        <is>
          <t>대량보유</t>
        </is>
      </c>
      <c r="E14" s="2" t="inlineStr">
        <is>
          <t>2026-05-07</t>
        </is>
      </c>
      <c r="F14" s="2" t="inlineStr">
        <is>
          <t>2026-05-08</t>
        </is>
      </c>
      <c r="G14" s="4" t="inlineStr">
        <is>
          <t>2023신한-JB우리-대신상장사Mezzanine신기술투자조합</t>
        </is>
      </c>
      <c r="H14" s="4" t="inlineStr">
        <is>
          <t>특별관계자</t>
        </is>
      </c>
      <c r="I14" s="4" t="inlineStr">
        <is>
          <t>장내매도(-)</t>
        </is>
      </c>
      <c r="J14" s="13" t="n">
        <v>-17277</v>
      </c>
      <c r="K14" s="7" t="n">
        <v>43410</v>
      </c>
      <c r="L14" s="13" t="n">
        <v>-749994570</v>
      </c>
      <c r="M14" s="7" t="n">
        <v>794747</v>
      </c>
      <c r="N14" s="12" t="n">
        <v>6.41</v>
      </c>
      <c r="O14" s="7" t="n">
        <v>3292</v>
      </c>
      <c r="P14" s="12" t="n">
        <v>5.06</v>
      </c>
      <c r="Q14" s="2" t="inlineStr">
        <is>
          <t>20260610000236</t>
        </is>
      </c>
      <c r="R14" s="3">
        <f>HYPERLINK("https://dart.fss.or.kr/dsaf001/main.do?rcpNo=20260610000236", "공시열람")</f>
        <v/>
      </c>
    </row>
    <row r="15">
      <c r="A15" s="2" t="inlineStr">
        <is>
          <t>2026-05-28</t>
        </is>
      </c>
      <c r="B15" s="4" t="inlineStr">
        <is>
          <t>가온칩스</t>
        </is>
      </c>
      <c r="C15" s="2" t="inlineStr">
        <is>
          <t>399720</t>
        </is>
      </c>
      <c r="D15" s="2" t="inlineStr">
        <is>
          <t>대량보유</t>
        </is>
      </c>
      <c r="E15" s="2" t="inlineStr"/>
      <c r="F15" s="2" t="inlineStr"/>
      <c r="G15" s="4" t="inlineStr">
        <is>
          <t>정규동</t>
        </is>
      </c>
      <c r="H15" s="4" t="inlineStr">
        <is>
          <t>최대주주</t>
        </is>
      </c>
      <c r="I15" s="4" t="inlineStr">
        <is>
          <t>특수관계인의 주식담보 대출계약 체결</t>
        </is>
      </c>
      <c r="J15" s="7" t="inlineStr"/>
      <c r="K15" s="7" t="inlineStr"/>
      <c r="L15" s="7" t="inlineStr"/>
      <c r="M15" s="7" t="n">
        <v>5548861</v>
      </c>
      <c r="N15" s="12" t="n">
        <v>47.83</v>
      </c>
      <c r="O15" s="7" t="n">
        <v>5548861</v>
      </c>
      <c r="P15" s="12" t="n">
        <v>46.87</v>
      </c>
      <c r="Q15" s="2" t="inlineStr">
        <is>
          <t>20260528000976</t>
        </is>
      </c>
      <c r="R15" s="3">
        <f>HYPERLINK("https://dart.fss.or.kr/dsaf001/main.do?rcpNo=20260528000976", "공시열람")</f>
        <v/>
      </c>
    </row>
    <row r="16">
      <c r="A16" s="2" t="inlineStr">
        <is>
          <t>2026-05-06</t>
        </is>
      </c>
      <c r="B16" s="4" t="inlineStr">
        <is>
          <t>가온칩스</t>
        </is>
      </c>
      <c r="C16" s="2" t="inlineStr">
        <is>
          <t>399720</t>
        </is>
      </c>
      <c r="D16" s="2" t="inlineStr">
        <is>
          <t>대량보유</t>
        </is>
      </c>
      <c r="E16" s="2" t="inlineStr">
        <is>
          <t>2026-04-29</t>
        </is>
      </c>
      <c r="F16" s="2" t="inlineStr">
        <is>
          <t>2026-04-29</t>
        </is>
      </c>
      <c r="G16" s="4" t="inlineStr">
        <is>
          <t>박영근</t>
        </is>
      </c>
      <c r="H16" s="4" t="inlineStr">
        <is>
          <t>특별관계자</t>
        </is>
      </c>
      <c r="I16" s="4" t="inlineStr">
        <is>
          <t>장내매도(-)</t>
        </is>
      </c>
      <c r="J16" s="13" t="n">
        <v>-3000</v>
      </c>
      <c r="K16" s="7" t="n">
        <v>76000</v>
      </c>
      <c r="L16" s="13" t="n">
        <v>-228000000</v>
      </c>
      <c r="M16" s="7" t="n">
        <v>5561871</v>
      </c>
      <c r="N16" s="12" t="n">
        <v>47.95</v>
      </c>
      <c r="O16" s="7" t="n">
        <v>1000</v>
      </c>
      <c r="P16" s="12" t="n">
        <v>47.83</v>
      </c>
      <c r="Q16" s="2" t="inlineStr">
        <is>
          <t>20260506000551</t>
        </is>
      </c>
      <c r="R16" s="3">
        <f>HYPERLINK("https://dart.fss.or.kr/dsaf001/main.do?rcpNo=20260506000551", "공시열람")</f>
        <v/>
      </c>
    </row>
    <row r="17">
      <c r="A17" s="2" t="inlineStr">
        <is>
          <t>2026-05-06</t>
        </is>
      </c>
      <c r="B17" s="4" t="inlineStr">
        <is>
          <t>가온칩스</t>
        </is>
      </c>
      <c r="C17" s="2" t="inlineStr">
        <is>
          <t>399720</t>
        </is>
      </c>
      <c r="D17" s="2" t="inlineStr">
        <is>
          <t>대량보유</t>
        </is>
      </c>
      <c r="E17" s="2" t="inlineStr">
        <is>
          <t>2026-04-28</t>
        </is>
      </c>
      <c r="F17" s="2" t="inlineStr">
        <is>
          <t>2026-04-29</t>
        </is>
      </c>
      <c r="G17" s="4" t="inlineStr">
        <is>
          <t>윤형석</t>
        </is>
      </c>
      <c r="H17" s="4" t="inlineStr">
        <is>
          <t>특별관계자</t>
        </is>
      </c>
      <c r="I17" s="4" t="inlineStr">
        <is>
          <t>장내매도(-)</t>
        </is>
      </c>
      <c r="J17" s="13" t="n">
        <v>-10000</v>
      </c>
      <c r="K17" s="7" t="n">
        <v>72370</v>
      </c>
      <c r="L17" s="13" t="n">
        <v>-723700000</v>
      </c>
      <c r="M17" s="7" t="n">
        <v>5561871</v>
      </c>
      <c r="N17" s="12" t="n">
        <v>47.95</v>
      </c>
      <c r="O17" s="7" t="n">
        <v>109531</v>
      </c>
      <c r="P17" s="12" t="n">
        <v>47.83</v>
      </c>
      <c r="Q17" s="2" t="inlineStr">
        <is>
          <t>20260506000551</t>
        </is>
      </c>
      <c r="R17" s="3">
        <f>HYPERLINK("https://dart.fss.or.kr/dsaf001/main.do?rcpNo=20260506000551", "공시열람")</f>
        <v/>
      </c>
    </row>
    <row r="18">
      <c r="A18" s="2" t="inlineStr">
        <is>
          <t>2026-03-13</t>
        </is>
      </c>
      <c r="B18" s="4" t="inlineStr">
        <is>
          <t>가온칩스</t>
        </is>
      </c>
      <c r="C18" s="2" t="inlineStr">
        <is>
          <t>399720</t>
        </is>
      </c>
      <c r="D18" s="2" t="inlineStr">
        <is>
          <t>대량보유</t>
        </is>
      </c>
      <c r="E18" s="2" t="inlineStr">
        <is>
          <t>2026-02-24</t>
        </is>
      </c>
      <c r="F18" s="2" t="inlineStr">
        <is>
          <t>2026-02-26</t>
        </is>
      </c>
      <c r="G18" s="4" t="inlineStr">
        <is>
          <t>박대남</t>
        </is>
      </c>
      <c r="H18" s="4" t="inlineStr">
        <is>
          <t>특별관계자</t>
        </is>
      </c>
      <c r="I18" s="4" t="inlineStr">
        <is>
          <t>장내매도(-)</t>
        </is>
      </c>
      <c r="J18" s="13" t="n">
        <v>-7000</v>
      </c>
      <c r="K18" s="7" t="n">
        <v>71209</v>
      </c>
      <c r="L18" s="13" t="n">
        <v>-498463000</v>
      </c>
      <c r="M18" s="7" t="n">
        <v>5568871</v>
      </c>
      <c r="N18" s="12" t="n">
        <v>48.01</v>
      </c>
      <c r="O18" s="7" t="n">
        <v>246500</v>
      </c>
      <c r="P18" s="12" t="n">
        <v>47.95</v>
      </c>
      <c r="Q18" s="2" t="inlineStr">
        <is>
          <t>20260313000885</t>
        </is>
      </c>
      <c r="R18" s="3">
        <f>HYPERLINK("https://dart.fss.or.kr/dsaf001/main.do?rcpNo=20260313000885", "공시열람")</f>
        <v/>
      </c>
    </row>
    <row r="19">
      <c r="A19" s="2" t="inlineStr">
        <is>
          <t>2026-03-10</t>
        </is>
      </c>
      <c r="B19" s="4" t="inlineStr">
        <is>
          <t>가온칩스</t>
        </is>
      </c>
      <c r="C19" s="2" t="inlineStr">
        <is>
          <t>399720</t>
        </is>
      </c>
      <c r="D19" s="2" t="inlineStr">
        <is>
          <t>대량보유</t>
        </is>
      </c>
      <c r="E19" s="2" t="inlineStr">
        <is>
          <t>2026-03-05</t>
        </is>
      </c>
      <c r="F19" s="2" t="inlineStr">
        <is>
          <t>2026-03-05</t>
        </is>
      </c>
      <c r="G19" s="4" t="inlineStr">
        <is>
          <t>삼성자산운용</t>
        </is>
      </c>
      <c r="H19" s="4" t="inlineStr">
        <is>
          <t>주주</t>
        </is>
      </c>
      <c r="I19" s="4" t="inlineStr">
        <is>
          <t>기타(-)</t>
        </is>
      </c>
      <c r="J19" s="13" t="n">
        <v>-1484</v>
      </c>
      <c r="K19" s="7" t="n">
        <v>14850</v>
      </c>
      <c r="L19" s="13" t="n">
        <v>-22037400</v>
      </c>
      <c r="M19" s="7" t="inlineStr"/>
      <c r="N19" s="15" t="inlineStr"/>
      <c r="O19" s="7" t="n">
        <v>597999</v>
      </c>
      <c r="P19" s="12" t="n">
        <v>5.15</v>
      </c>
      <c r="Q19" s="2" t="inlineStr">
        <is>
          <t>20260310002693</t>
        </is>
      </c>
      <c r="R19" s="3">
        <f>HYPERLINK("https://dart.fss.or.kr/dsaf001/main.do?rcpNo=20260310002693", "공시열람")</f>
        <v/>
      </c>
    </row>
    <row r="20">
      <c r="A20" s="2" t="inlineStr">
        <is>
          <t>2026-03-10</t>
        </is>
      </c>
      <c r="B20" s="4" t="inlineStr">
        <is>
          <t>가온칩스</t>
        </is>
      </c>
      <c r="C20" s="2" t="inlineStr">
        <is>
          <t>399720</t>
        </is>
      </c>
      <c r="D20" s="2" t="inlineStr">
        <is>
          <t>대량보유</t>
        </is>
      </c>
      <c r="E20" s="2" t="inlineStr">
        <is>
          <t>2026-03-05</t>
        </is>
      </c>
      <c r="F20" s="2" t="inlineStr">
        <is>
          <t>2026-03-05</t>
        </is>
      </c>
      <c r="G20" s="4" t="inlineStr">
        <is>
          <t>삼성자산운용</t>
        </is>
      </c>
      <c r="H20" s="4" t="inlineStr">
        <is>
          <t>주주</t>
        </is>
      </c>
      <c r="I20" s="4" t="inlineStr">
        <is>
          <t>기타(+)</t>
        </is>
      </c>
      <c r="J20" s="14" t="n">
        <v>35224</v>
      </c>
      <c r="K20" s="7" t="n">
        <v>16976</v>
      </c>
      <c r="L20" s="14" t="n">
        <v>597962624</v>
      </c>
      <c r="M20" s="7" t="inlineStr"/>
      <c r="N20" s="15" t="inlineStr"/>
      <c r="O20" s="7" t="n">
        <v>599483</v>
      </c>
      <c r="P20" s="12" t="n">
        <v>5.15</v>
      </c>
      <c r="Q20" s="2" t="inlineStr">
        <is>
          <t>20260310002693</t>
        </is>
      </c>
      <c r="R20" s="3">
        <f>HYPERLINK("https://dart.fss.or.kr/dsaf001/main.do?rcpNo=20260310002693", "공시열람")</f>
        <v/>
      </c>
    </row>
    <row r="21">
      <c r="A21" s="2" t="inlineStr">
        <is>
          <t>2026-03-10</t>
        </is>
      </c>
      <c r="B21" s="4" t="inlineStr">
        <is>
          <t>가온칩스</t>
        </is>
      </c>
      <c r="C21" s="2" t="inlineStr">
        <is>
          <t>399720</t>
        </is>
      </c>
      <c r="D21" s="2" t="inlineStr">
        <is>
          <t>대량보유</t>
        </is>
      </c>
      <c r="E21" s="2" t="inlineStr">
        <is>
          <t>2026-03-05</t>
        </is>
      </c>
      <c r="F21" s="2" t="inlineStr">
        <is>
          <t>2026-03-05</t>
        </is>
      </c>
      <c r="G21" s="4" t="inlineStr">
        <is>
          <t>삼성자산운용</t>
        </is>
      </c>
      <c r="H21" s="4" t="inlineStr">
        <is>
          <t>주주</t>
        </is>
      </c>
      <c r="I21" s="4" t="inlineStr">
        <is>
          <t>장내매수(+)</t>
        </is>
      </c>
      <c r="J21" s="14" t="n">
        <v>16361</v>
      </c>
      <c r="K21" s="7" t="n">
        <v>14850</v>
      </c>
      <c r="L21" s="14" t="n">
        <v>242960850</v>
      </c>
      <c r="M21" s="7" t="inlineStr"/>
      <c r="N21" s="15" t="inlineStr"/>
      <c r="O21" s="7" t="n">
        <v>564259</v>
      </c>
      <c r="P21" s="12" t="n">
        <v>5.15</v>
      </c>
      <c r="Q21" s="2" t="inlineStr">
        <is>
          <t>20260310002693</t>
        </is>
      </c>
      <c r="R21" s="3">
        <f>HYPERLINK("https://dart.fss.or.kr/dsaf001/main.do?rcpNo=20260310002693", "공시열람")</f>
        <v/>
      </c>
    </row>
    <row r="22">
      <c r="A22" s="2" t="inlineStr">
        <is>
          <t>2026-03-10</t>
        </is>
      </c>
      <c r="B22" s="4" t="inlineStr">
        <is>
          <t>가온칩스</t>
        </is>
      </c>
      <c r="C22" s="2" t="inlineStr">
        <is>
          <t>399720</t>
        </is>
      </c>
      <c r="D22" s="2" t="inlineStr">
        <is>
          <t>대량보유</t>
        </is>
      </c>
      <c r="E22" s="2" t="inlineStr">
        <is>
          <t>2026-03-05</t>
        </is>
      </c>
      <c r="F22" s="2" t="inlineStr">
        <is>
          <t>2026-03-05</t>
        </is>
      </c>
      <c r="G22" s="4" t="inlineStr">
        <is>
          <t>삼성자산운용</t>
        </is>
      </c>
      <c r="H22" s="4" t="inlineStr">
        <is>
          <t>주주</t>
        </is>
      </c>
      <c r="I22" s="4" t="inlineStr">
        <is>
          <t>신규보고(+)</t>
        </is>
      </c>
      <c r="J22" s="14" t="n">
        <v>547898</v>
      </c>
      <c r="K22" s="7" t="n">
        <v>60500</v>
      </c>
      <c r="L22" s="14" t="n">
        <v>33147829000</v>
      </c>
      <c r="M22" s="7" t="inlineStr"/>
      <c r="N22" s="15" t="inlineStr"/>
      <c r="O22" s="7" t="n">
        <v>547898</v>
      </c>
      <c r="P22" s="12" t="n">
        <v>5.15</v>
      </c>
      <c r="Q22" s="2" t="inlineStr">
        <is>
          <t>20260310002693</t>
        </is>
      </c>
      <c r="R22" s="3">
        <f>HYPERLINK("https://dart.fss.or.kr/dsaf001/main.do?rcpNo=20260310002693", "공시열람")</f>
        <v/>
      </c>
    </row>
    <row r="23">
      <c r="A23" s="2" t="inlineStr">
        <is>
          <t>2026-02-27</t>
        </is>
      </c>
      <c r="B23" s="4" t="inlineStr">
        <is>
          <t>가온칩스</t>
        </is>
      </c>
      <c r="C23" s="2" t="inlineStr">
        <is>
          <t>399720</t>
        </is>
      </c>
      <c r="D23" s="2" t="inlineStr">
        <is>
          <t>대량보유</t>
        </is>
      </c>
      <c r="E23" s="2" t="inlineStr">
        <is>
          <t>2026-02-11</t>
        </is>
      </c>
      <c r="F23" s="2" t="inlineStr">
        <is>
          <t>2026-02-11</t>
        </is>
      </c>
      <c r="G23" s="4" t="inlineStr">
        <is>
          <t>정세운</t>
        </is>
      </c>
      <c r="H23" s="4" t="inlineStr">
        <is>
          <t>특별관계자</t>
        </is>
      </c>
      <c r="I23" s="4" t="inlineStr">
        <is>
          <t>장내매도(-)</t>
        </is>
      </c>
      <c r="J23" s="13" t="n">
        <v>-1100</v>
      </c>
      <c r="K23" s="7" t="n">
        <v>66500</v>
      </c>
      <c r="L23" s="13" t="n">
        <v>-73150000</v>
      </c>
      <c r="M23" s="7" t="n">
        <v>5577061</v>
      </c>
      <c r="N23" s="12" t="n">
        <v>48.08</v>
      </c>
      <c r="O23" s="7" t="n">
        <v>8900</v>
      </c>
      <c r="P23" s="12" t="n">
        <v>48.01</v>
      </c>
      <c r="Q23" s="2" t="inlineStr">
        <is>
          <t>20260227007396</t>
        </is>
      </c>
      <c r="R23" s="3">
        <f>HYPERLINK("https://dart.fss.or.kr/dsaf001/main.do?rcpNo=20260227007396", "공시열람")</f>
        <v/>
      </c>
    </row>
    <row r="24">
      <c r="A24" s="2" t="inlineStr">
        <is>
          <t>2026-02-27</t>
        </is>
      </c>
      <c r="B24" s="4" t="inlineStr">
        <is>
          <t>가온칩스</t>
        </is>
      </c>
      <c r="C24" s="2" t="inlineStr">
        <is>
          <t>399720</t>
        </is>
      </c>
      <c r="D24" s="2" t="inlineStr">
        <is>
          <t>대량보유</t>
        </is>
      </c>
      <c r="E24" s="2" t="inlineStr">
        <is>
          <t>2026-02-11</t>
        </is>
      </c>
      <c r="F24" s="2" t="inlineStr">
        <is>
          <t>2026-02-11</t>
        </is>
      </c>
      <c r="G24" s="4" t="inlineStr">
        <is>
          <t>정소윤</t>
        </is>
      </c>
      <c r="H24" s="4" t="inlineStr">
        <is>
          <t>특별관계자</t>
        </is>
      </c>
      <c r="I24" s="4" t="inlineStr">
        <is>
          <t>장내매도(-)</t>
        </is>
      </c>
      <c r="J24" s="13" t="n">
        <v>-1100</v>
      </c>
      <c r="K24" s="7" t="n">
        <v>66500</v>
      </c>
      <c r="L24" s="13" t="n">
        <v>-73150000</v>
      </c>
      <c r="M24" s="7" t="n">
        <v>5577061</v>
      </c>
      <c r="N24" s="12" t="n">
        <v>48.08</v>
      </c>
      <c r="O24" s="7" t="n">
        <v>8900</v>
      </c>
      <c r="P24" s="12" t="n">
        <v>48.01</v>
      </c>
      <c r="Q24" s="2" t="inlineStr">
        <is>
          <t>20260227007396</t>
        </is>
      </c>
      <c r="R24" s="3">
        <f>HYPERLINK("https://dart.fss.or.kr/dsaf001/main.do?rcpNo=20260227007396", "공시열람")</f>
        <v/>
      </c>
    </row>
    <row r="25">
      <c r="A25" s="2" t="inlineStr">
        <is>
          <t>2026-02-27</t>
        </is>
      </c>
      <c r="B25" s="4" t="inlineStr">
        <is>
          <t>가온칩스</t>
        </is>
      </c>
      <c r="C25" s="2" t="inlineStr">
        <is>
          <t>399720</t>
        </is>
      </c>
      <c r="D25" s="2" t="inlineStr">
        <is>
          <t>대량보유</t>
        </is>
      </c>
      <c r="E25" s="2" t="inlineStr">
        <is>
          <t>2026-02-11</t>
        </is>
      </c>
      <c r="F25" s="2" t="inlineStr">
        <is>
          <t>2026-02-19</t>
        </is>
      </c>
      <c r="G25" s="4" t="inlineStr">
        <is>
          <t>김언진</t>
        </is>
      </c>
      <c r="H25" s="4" t="inlineStr">
        <is>
          <t>특별관계자</t>
        </is>
      </c>
      <c r="I25" s="4" t="inlineStr">
        <is>
          <t>장내매도(-)</t>
        </is>
      </c>
      <c r="J25" s="13" t="n">
        <v>-5990</v>
      </c>
      <c r="K25" s="7" t="n">
        <v>67164</v>
      </c>
      <c r="L25" s="13" t="n">
        <v>-402312360</v>
      </c>
      <c r="M25" s="7" t="n">
        <v>5577061</v>
      </c>
      <c r="N25" s="12" t="n">
        <v>48.08</v>
      </c>
      <c r="O25" s="7" t="n">
        <v>4010</v>
      </c>
      <c r="P25" s="12" t="n">
        <v>48.01</v>
      </c>
      <c r="Q25" s="2" t="inlineStr">
        <is>
          <t>20260227007396</t>
        </is>
      </c>
      <c r="R25" s="3">
        <f>HYPERLINK("https://dart.fss.or.kr/dsaf001/main.do?rcpNo=20260227007396", "공시열람")</f>
        <v/>
      </c>
    </row>
    <row r="26">
      <c r="A26" s="2" t="inlineStr">
        <is>
          <t>2026-01-29</t>
        </is>
      </c>
      <c r="B26" s="4" t="inlineStr">
        <is>
          <t>가온칩스</t>
        </is>
      </c>
      <c r="C26" s="2" t="inlineStr">
        <is>
          <t>399720</t>
        </is>
      </c>
      <c r="D26" s="2" t="inlineStr">
        <is>
          <t>대량보유</t>
        </is>
      </c>
      <c r="E26" s="2" t="inlineStr"/>
      <c r="F26" s="2" t="inlineStr"/>
      <c r="G26" s="4" t="inlineStr">
        <is>
          <t>정규동</t>
        </is>
      </c>
      <c r="H26" s="4" t="inlineStr">
        <is>
          <t>최대주주</t>
        </is>
      </c>
      <c r="I26" s="4" t="inlineStr">
        <is>
          <t>특수관계인의 주식담보 대출계약 체결</t>
        </is>
      </c>
      <c r="J26" s="7" t="inlineStr"/>
      <c r="K26" s="7" t="inlineStr"/>
      <c r="L26" s="7" t="inlineStr"/>
      <c r="M26" s="7" t="n">
        <v>5577061</v>
      </c>
      <c r="N26" s="12" t="n">
        <v>48.08</v>
      </c>
      <c r="O26" s="7" t="n">
        <v>5577061</v>
      </c>
      <c r="P26" s="12" t="n">
        <v>48.08</v>
      </c>
      <c r="Q26" s="2" t="inlineStr">
        <is>
          <t>20260129000633</t>
        </is>
      </c>
      <c r="R26" s="3">
        <f>HYPERLINK("https://dart.fss.or.kr/dsaf001/main.do?rcpNo=20260129000633", "공시열람")</f>
        <v/>
      </c>
    </row>
    <row r="27">
      <c r="A27" s="2" t="inlineStr">
        <is>
          <t>2025-11-24</t>
        </is>
      </c>
      <c r="B27" s="4" t="inlineStr">
        <is>
          <t>가온칩스</t>
        </is>
      </c>
      <c r="C27" s="2" t="inlineStr">
        <is>
          <t>399720</t>
        </is>
      </c>
      <c r="D27" s="2" t="inlineStr">
        <is>
          <t>대량보유</t>
        </is>
      </c>
      <c r="E27" s="2" t="inlineStr">
        <is>
          <t>2025-10-16</t>
        </is>
      </c>
      <c r="F27" s="2" t="inlineStr">
        <is>
          <t>2025-10-16</t>
        </is>
      </c>
      <c r="G27" s="4" t="inlineStr">
        <is>
          <t>김진오</t>
        </is>
      </c>
      <c r="H27" s="4" t="inlineStr">
        <is>
          <t>특별관계자</t>
        </is>
      </c>
      <c r="I27" s="4" t="inlineStr">
        <is>
          <t>증여(-)</t>
        </is>
      </c>
      <c r="J27" s="13" t="n">
        <v>-900</v>
      </c>
      <c r="K27" s="7" t="n">
        <v>500</v>
      </c>
      <c r="L27" s="13" t="n">
        <v>-450000</v>
      </c>
      <c r="M27" s="7" t="n">
        <v>5628941</v>
      </c>
      <c r="N27" s="12" t="n">
        <v>48.52</v>
      </c>
      <c r="O27" s="7" t="n">
        <v>42500</v>
      </c>
      <c r="P27" s="12" t="n">
        <v>48.08</v>
      </c>
      <c r="Q27" s="2" t="inlineStr">
        <is>
          <t>20251124000346</t>
        </is>
      </c>
      <c r="R27" s="3">
        <f>HYPERLINK("https://dart.fss.or.kr/dsaf001/main.do?rcpNo=20251124000346", "공시열람")</f>
        <v/>
      </c>
    </row>
    <row r="28">
      <c r="A28" s="2" t="inlineStr">
        <is>
          <t>2025-11-24</t>
        </is>
      </c>
      <c r="B28" s="4" t="inlineStr">
        <is>
          <t>가온칩스</t>
        </is>
      </c>
      <c r="C28" s="2" t="inlineStr">
        <is>
          <t>399720</t>
        </is>
      </c>
      <c r="D28" s="2" t="inlineStr">
        <is>
          <t>대량보유</t>
        </is>
      </c>
      <c r="E28" s="2" t="inlineStr">
        <is>
          <t>2025-09-25</t>
        </is>
      </c>
      <c r="F28" s="2" t="inlineStr">
        <is>
          <t>2025-09-25</t>
        </is>
      </c>
      <c r="G28" s="4" t="inlineStr">
        <is>
          <t>윤형석</t>
        </is>
      </c>
      <c r="H28" s="4" t="inlineStr">
        <is>
          <t>특별관계자</t>
        </is>
      </c>
      <c r="I28" s="4" t="inlineStr">
        <is>
          <t>증여(-)</t>
        </is>
      </c>
      <c r="J28" s="13" t="n">
        <v>-8480</v>
      </c>
      <c r="K28" s="7" t="n">
        <v>51000</v>
      </c>
      <c r="L28" s="13" t="n">
        <v>-432480000</v>
      </c>
      <c r="M28" s="7" t="n">
        <v>5628941</v>
      </c>
      <c r="N28" s="12" t="n">
        <v>48.52</v>
      </c>
      <c r="O28" s="7" t="n">
        <v>119531</v>
      </c>
      <c r="P28" s="12" t="n">
        <v>48.08</v>
      </c>
      <c r="Q28" s="2" t="inlineStr">
        <is>
          <t>20251124000346</t>
        </is>
      </c>
      <c r="R28" s="3">
        <f>HYPERLINK("https://dart.fss.or.kr/dsaf001/main.do?rcpNo=20251124000346", "공시열람")</f>
        <v/>
      </c>
    </row>
    <row r="29">
      <c r="A29" s="2" t="inlineStr">
        <is>
          <t>2025-11-24</t>
        </is>
      </c>
      <c r="B29" s="4" t="inlineStr">
        <is>
          <t>가온칩스</t>
        </is>
      </c>
      <c r="C29" s="2" t="inlineStr">
        <is>
          <t>399720</t>
        </is>
      </c>
      <c r="D29" s="2" t="inlineStr">
        <is>
          <t>대량보유</t>
        </is>
      </c>
      <c r="E29" s="2" t="inlineStr">
        <is>
          <t>2025-10-16</t>
        </is>
      </c>
      <c r="F29" s="2" t="inlineStr">
        <is>
          <t>2025-10-29</t>
        </is>
      </c>
      <c r="G29" s="4" t="inlineStr">
        <is>
          <t>김진오</t>
        </is>
      </c>
      <c r="H29" s="4" t="inlineStr">
        <is>
          <t>특별관계자</t>
        </is>
      </c>
      <c r="I29" s="4" t="inlineStr">
        <is>
          <t>장내매도(-)</t>
        </is>
      </c>
      <c r="J29" s="13" t="n">
        <v>-42500</v>
      </c>
      <c r="K29" s="7" t="n">
        <v>54439</v>
      </c>
      <c r="L29" s="13" t="n">
        <v>-2313657500</v>
      </c>
      <c r="M29" s="7" t="n">
        <v>5628941</v>
      </c>
      <c r="N29" s="12" t="n">
        <v>48.52</v>
      </c>
      <c r="O29" s="7" t="n">
        <v>20000</v>
      </c>
      <c r="P29" s="12" t="n">
        <v>48.08</v>
      </c>
      <c r="Q29" s="2" t="inlineStr">
        <is>
          <t>20251124000346</t>
        </is>
      </c>
      <c r="R29" s="3">
        <f>HYPERLINK("https://dart.fss.or.kr/dsaf001/main.do?rcpNo=20251124000346", "공시열람")</f>
        <v/>
      </c>
    </row>
    <row r="30">
      <c r="A30" s="2" t="inlineStr">
        <is>
          <t>2025-11-07</t>
        </is>
      </c>
      <c r="B30" s="4" t="inlineStr">
        <is>
          <t>가온칩스</t>
        </is>
      </c>
      <c r="C30" s="2" t="inlineStr">
        <is>
          <t>399720</t>
        </is>
      </c>
      <c r="D30" s="2" t="inlineStr">
        <is>
          <t>대량보유</t>
        </is>
      </c>
      <c r="E30" s="2" t="inlineStr">
        <is>
          <t>2025-07-30</t>
        </is>
      </c>
      <c r="F30" s="2" t="inlineStr">
        <is>
          <t>2025-11-06</t>
        </is>
      </c>
      <c r="G30" s="4" t="inlineStr">
        <is>
          <t>심진섭</t>
        </is>
      </c>
      <c r="H30" s="4" t="inlineStr">
        <is>
          <t>주주</t>
        </is>
      </c>
      <c r="I30" s="4" t="inlineStr">
        <is>
          <t>장내매도(-)</t>
        </is>
      </c>
      <c r="J30" s="13" t="n">
        <v>-219682</v>
      </c>
      <c r="K30" s="7" t="n">
        <v>56009</v>
      </c>
      <c r="L30" s="13" t="n">
        <v>-12304169138</v>
      </c>
      <c r="M30" s="7" t="n">
        <v>725108</v>
      </c>
      <c r="N30" s="12" t="n">
        <v>6.25</v>
      </c>
      <c r="O30" s="7" t="n">
        <v>465426</v>
      </c>
      <c r="P30" s="12" t="n">
        <v>4.36</v>
      </c>
      <c r="Q30" s="2" t="inlineStr">
        <is>
          <t>20251107000403</t>
        </is>
      </c>
      <c r="R30" s="3">
        <f>HYPERLINK("https://dart.fss.or.kr/dsaf001/main.do?rcpNo=20251107000403", "공시열람")</f>
        <v/>
      </c>
    </row>
    <row r="31">
      <c r="A31" s="2" t="inlineStr">
        <is>
          <t>2025-09-16</t>
        </is>
      </c>
      <c r="B31" s="4" t="inlineStr">
        <is>
          <t>가온칩스</t>
        </is>
      </c>
      <c r="C31" s="2" t="inlineStr">
        <is>
          <t>399720</t>
        </is>
      </c>
      <c r="D31" s="2" t="inlineStr">
        <is>
          <t>대량보유</t>
        </is>
      </c>
      <c r="E31" s="2" t="inlineStr">
        <is>
          <t>2025-07-30</t>
        </is>
      </c>
      <c r="F31" s="2" t="inlineStr">
        <is>
          <t>2025-07-30</t>
        </is>
      </c>
      <c r="G31" s="4" t="inlineStr">
        <is>
          <t>김진오</t>
        </is>
      </c>
      <c r="H31" s="4" t="inlineStr">
        <is>
          <t>특별관계자</t>
        </is>
      </c>
      <c r="I31" s="4" t="inlineStr">
        <is>
          <t>장내매도(-)</t>
        </is>
      </c>
      <c r="J31" s="13" t="n">
        <v>-6600</v>
      </c>
      <c r="K31" s="7" t="n">
        <v>44716</v>
      </c>
      <c r="L31" s="13" t="n">
        <v>-295125600</v>
      </c>
      <c r="M31" s="7" t="n">
        <v>5635541</v>
      </c>
      <c r="N31" s="12" t="n">
        <v>48.58</v>
      </c>
      <c r="O31" s="7" t="n">
        <v>43400</v>
      </c>
      <c r="P31" s="12" t="n">
        <v>48.52</v>
      </c>
      <c r="Q31" s="2" t="inlineStr">
        <is>
          <t>20250916000174</t>
        </is>
      </c>
      <c r="R31" s="3">
        <f>HYPERLINK("https://dart.fss.or.kr/dsaf001/main.do?rcpNo=20250916000174", "공시열람")</f>
        <v/>
      </c>
    </row>
    <row r="32">
      <c r="A32" s="2" t="inlineStr">
        <is>
          <t>2025-07-22 (원공시: 2025-07-03)</t>
        </is>
      </c>
      <c r="B32" s="4" t="inlineStr">
        <is>
          <t>가온칩스</t>
        </is>
      </c>
      <c r="C32" s="2" t="inlineStr">
        <is>
          <t>399720</t>
        </is>
      </c>
      <c r="D32" s="2" t="inlineStr">
        <is>
          <t>대량보유</t>
        </is>
      </c>
      <c r="E32" s="2" t="inlineStr">
        <is>
          <t>2025-06-18</t>
        </is>
      </c>
      <c r="F32" s="2" t="inlineStr">
        <is>
          <t>2025-06-18</t>
        </is>
      </c>
      <c r="G32" s="4" t="inlineStr">
        <is>
          <t>김효철</t>
        </is>
      </c>
      <c r="H32" s="4" t="inlineStr">
        <is>
          <t>특별관계자</t>
        </is>
      </c>
      <c r="I32" s="4" t="inlineStr">
        <is>
          <t>주식매수청구권 행사(-)</t>
        </is>
      </c>
      <c r="J32" s="13" t="n">
        <v>-2000</v>
      </c>
      <c r="K32" s="7" t="n">
        <v>45000</v>
      </c>
      <c r="L32" s="13" t="n">
        <v>-90000000</v>
      </c>
      <c r="M32" s="7" t="n">
        <v>5635541</v>
      </c>
      <c r="N32" s="12" t="n">
        <v>48.59</v>
      </c>
      <c r="O32" s="7" t="inlineStr"/>
      <c r="P32" s="12" t="n">
        <v>48.58</v>
      </c>
      <c r="Q32" s="2" t="inlineStr">
        <is>
          <t>20250722000211</t>
        </is>
      </c>
      <c r="R32" s="3">
        <f>HYPERLINK("https://dart.fss.or.kr/dsaf001/main.do?rcpNo=20250722000211", "공시열람")</f>
        <v/>
      </c>
    </row>
    <row r="33">
      <c r="A33" s="2" t="inlineStr">
        <is>
          <t>2025-07-22 (원공시: 2025-07-03)</t>
        </is>
      </c>
      <c r="B33" s="4" t="inlineStr">
        <is>
          <t>가온칩스</t>
        </is>
      </c>
      <c r="C33" s="2" t="inlineStr">
        <is>
          <t>399720</t>
        </is>
      </c>
      <c r="D33" s="2" t="inlineStr">
        <is>
          <t>대량보유</t>
        </is>
      </c>
      <c r="E33" s="2" t="inlineStr">
        <is>
          <t>2025-06-18</t>
        </is>
      </c>
      <c r="F33" s="2" t="inlineStr">
        <is>
          <t>2025-06-18</t>
        </is>
      </c>
      <c r="G33" s="4" t="inlineStr">
        <is>
          <t>김효철</t>
        </is>
      </c>
      <c r="H33" s="4" t="inlineStr">
        <is>
          <t>특별관계자</t>
        </is>
      </c>
      <c r="I33" s="4" t="inlineStr">
        <is>
          <t>주식매수선택권행사(+)</t>
        </is>
      </c>
      <c r="J33" s="14" t="n">
        <v>2000</v>
      </c>
      <c r="K33" s="7" t="n">
        <v>1000</v>
      </c>
      <c r="L33" s="14" t="n">
        <v>2000000</v>
      </c>
      <c r="M33" s="7" t="n">
        <v>5635541</v>
      </c>
      <c r="N33" s="12" t="n">
        <v>48.59</v>
      </c>
      <c r="O33" s="7" t="n">
        <v>32000</v>
      </c>
      <c r="P33" s="12" t="n">
        <v>48.58</v>
      </c>
      <c r="Q33" s="2" t="inlineStr">
        <is>
          <t>20250722000211</t>
        </is>
      </c>
      <c r="R33" s="3">
        <f>HYPERLINK("https://dart.fss.or.kr/dsaf001/main.do?rcpNo=20250722000211", "공시열람")</f>
        <v/>
      </c>
    </row>
    <row r="34">
      <c r="A34" s="2" t="inlineStr">
        <is>
          <t>2025-06-25</t>
        </is>
      </c>
      <c r="B34" s="4" t="inlineStr">
        <is>
          <t>가온칩스</t>
        </is>
      </c>
      <c r="C34" s="2" t="inlineStr">
        <is>
          <t>399720</t>
        </is>
      </c>
      <c r="D34" s="2" t="inlineStr">
        <is>
          <t>임원보고</t>
        </is>
      </c>
      <c r="E34" s="2" t="inlineStr">
        <is>
          <t>2025-06-18</t>
        </is>
      </c>
      <c r="F34" s="2" t="inlineStr">
        <is>
          <t>2025-06-18</t>
        </is>
      </c>
      <c r="G34" s="4" t="inlineStr">
        <is>
          <t>김효철</t>
        </is>
      </c>
      <c r="H34" s="4" t="inlineStr">
        <is>
          <t>비등기임원 상무</t>
        </is>
      </c>
      <c r="I34" s="4" t="inlineStr">
        <is>
          <t>주식매수청구권 행사(+)</t>
        </is>
      </c>
      <c r="J34" s="14" t="n">
        <v>2000</v>
      </c>
      <c r="K34" s="7" t="n">
        <v>1000</v>
      </c>
      <c r="L34" s="14" t="n">
        <v>2000000</v>
      </c>
      <c r="M34" s="7" t="inlineStr"/>
      <c r="N34" s="15" t="inlineStr"/>
      <c r="O34" s="7" t="n">
        <v>32000</v>
      </c>
      <c r="P34" s="12" t="n">
        <v>0.28</v>
      </c>
      <c r="Q34" s="2" t="inlineStr">
        <is>
          <t>20250625000396</t>
        </is>
      </c>
      <c r="R34" s="3">
        <f>HYPERLINK("https://dart.fss.or.kr/dsaf001/main.do?rcpNo=20250625000396", "공시열람")</f>
        <v/>
      </c>
    </row>
    <row r="35">
      <c r="A35" s="2" t="inlineStr">
        <is>
          <t>2025-06-16</t>
        </is>
      </c>
      <c r="B35" s="4" t="inlineStr">
        <is>
          <t>가온칩스</t>
        </is>
      </c>
      <c r="C35" s="2" t="inlineStr">
        <is>
          <t>399720</t>
        </is>
      </c>
      <c r="D35" s="2" t="inlineStr">
        <is>
          <t>대량보유</t>
        </is>
      </c>
      <c r="E35" s="2" t="inlineStr">
        <is>
          <t>2025-03-26</t>
        </is>
      </c>
      <c r="F35" s="2" t="inlineStr">
        <is>
          <t>2025-03-26</t>
        </is>
      </c>
      <c r="G35" s="4" t="inlineStr">
        <is>
          <t>이양원</t>
        </is>
      </c>
      <c r="H35" s="4" t="inlineStr">
        <is>
          <t>특별관계자</t>
        </is>
      </c>
      <c r="I35" s="4" t="inlineStr">
        <is>
          <t>신규선임(유상취득)(+)</t>
        </is>
      </c>
      <c r="J35" s="14" t="n">
        <v>718</v>
      </c>
      <c r="K35" s="7" t="n">
        <v>42950</v>
      </c>
      <c r="L35" s="14" t="n">
        <v>30838100</v>
      </c>
      <c r="M35" s="7" t="n">
        <v>5634823</v>
      </c>
      <c r="N35" s="12" t="n">
        <v>48.59</v>
      </c>
      <c r="O35" s="7" t="n">
        <v>718</v>
      </c>
      <c r="P35" s="12" t="n">
        <v>48.59</v>
      </c>
      <c r="Q35" s="2" t="inlineStr">
        <is>
          <t>20250616000242</t>
        </is>
      </c>
      <c r="R35" s="3">
        <f>HYPERLINK("https://dart.fss.or.kr/dsaf001/main.do?rcpNo=20250616000242", "공시열람")</f>
        <v/>
      </c>
    </row>
    <row r="36">
      <c r="A36" s="2" t="inlineStr">
        <is>
          <t>2025-05-15</t>
        </is>
      </c>
      <c r="B36" s="4" t="inlineStr">
        <is>
          <t>가온칩스</t>
        </is>
      </c>
      <c r="C36" s="2" t="inlineStr">
        <is>
          <t>399720</t>
        </is>
      </c>
      <c r="D36" s="2" t="inlineStr">
        <is>
          <t>임원보고</t>
        </is>
      </c>
      <c r="E36" s="2" t="inlineStr">
        <is>
          <t>2025-03-26</t>
        </is>
      </c>
      <c r="F36" s="2" t="inlineStr">
        <is>
          <t>2025-03-26</t>
        </is>
      </c>
      <c r="G36" s="4" t="inlineStr">
        <is>
          <t>이양원</t>
        </is>
      </c>
      <c r="H36" s="4" t="inlineStr">
        <is>
          <t>등기임원 감사</t>
        </is>
      </c>
      <c r="I36" s="4" t="inlineStr">
        <is>
          <t>신규선임(+)</t>
        </is>
      </c>
      <c r="J36" s="14" t="n">
        <v>718</v>
      </c>
      <c r="K36" s="7" t="n">
        <v>42950</v>
      </c>
      <c r="L36" s="14" t="n">
        <v>30838100</v>
      </c>
      <c r="M36" s="7" t="inlineStr"/>
      <c r="N36" s="15" t="inlineStr"/>
      <c r="O36" s="7" t="n">
        <v>718</v>
      </c>
      <c r="P36" s="15" t="inlineStr"/>
      <c r="Q36" s="2" t="inlineStr">
        <is>
          <t>20250515002602</t>
        </is>
      </c>
      <c r="R36" s="3">
        <f>HYPERLINK("https://dart.fss.or.kr/dsaf001/main.do?rcpNo=20250515002602", "공시열람")</f>
        <v/>
      </c>
    </row>
    <row r="37">
      <c r="A37" s="2" t="inlineStr">
        <is>
          <t>2025-04-08</t>
        </is>
      </c>
      <c r="B37" s="4" t="inlineStr">
        <is>
          <t>가온칩스</t>
        </is>
      </c>
      <c r="C37" s="2" t="inlineStr">
        <is>
          <t>399720</t>
        </is>
      </c>
      <c r="D37" s="2" t="inlineStr">
        <is>
          <t>대량보유</t>
        </is>
      </c>
      <c r="E37" s="2" t="inlineStr">
        <is>
          <t>2025-04-02</t>
        </is>
      </c>
      <c r="F37" s="2" t="inlineStr">
        <is>
          <t>2025-04-02</t>
        </is>
      </c>
      <c r="G37" s="4" t="inlineStr">
        <is>
          <t>2023신한-JB우리-대신상장사Mezzanine신기술투자조합</t>
        </is>
      </c>
      <c r="H37" s="4" t="inlineStr">
        <is>
          <t>특별관계자</t>
        </is>
      </c>
      <c r="I37" s="4" t="inlineStr">
        <is>
          <t>CB인수(+)</t>
        </is>
      </c>
      <c r="J37" s="14" t="n">
        <v>57590</v>
      </c>
      <c r="K37" s="7" t="n">
        <v>43410</v>
      </c>
      <c r="L37" s="14" t="n">
        <v>2499981900</v>
      </c>
      <c r="M37" s="7" t="inlineStr"/>
      <c r="N37" s="15" t="inlineStr"/>
      <c r="O37" s="7" t="n">
        <v>57590</v>
      </c>
      <c r="P37" s="12" t="n">
        <v>6.41</v>
      </c>
      <c r="Q37" s="2" t="inlineStr">
        <is>
          <t>20250408001676</t>
        </is>
      </c>
      <c r="R37" s="3">
        <f>HYPERLINK("https://dart.fss.or.kr/dsaf001/main.do?rcpNo=20250408001676", "공시열람")</f>
        <v/>
      </c>
    </row>
    <row r="38">
      <c r="A38" s="2" t="inlineStr">
        <is>
          <t>2025-04-08</t>
        </is>
      </c>
      <c r="B38" s="4" t="inlineStr">
        <is>
          <t>가온칩스</t>
        </is>
      </c>
      <c r="C38" s="2" t="inlineStr">
        <is>
          <t>399720</t>
        </is>
      </c>
      <c r="D38" s="2" t="inlineStr">
        <is>
          <t>대량보유</t>
        </is>
      </c>
      <c r="E38" s="2" t="inlineStr">
        <is>
          <t>2025-04-02</t>
        </is>
      </c>
      <c r="F38" s="2" t="inlineStr">
        <is>
          <t>2025-04-02</t>
        </is>
      </c>
      <c r="G38" s="4" t="inlineStr">
        <is>
          <t>대신-SAM신기술투자조합제1호</t>
        </is>
      </c>
      <c r="H38" s="4" t="inlineStr">
        <is>
          <t>특별관계자</t>
        </is>
      </c>
      <c r="I38" s="4" t="inlineStr">
        <is>
          <t>CB인수(+)</t>
        </is>
      </c>
      <c r="J38" s="14" t="n">
        <v>737157</v>
      </c>
      <c r="K38" s="7" t="n">
        <v>43410</v>
      </c>
      <c r="L38" s="14" t="n">
        <v>31999985370</v>
      </c>
      <c r="M38" s="7" t="inlineStr"/>
      <c r="N38" s="15" t="inlineStr"/>
      <c r="O38" s="7" t="n">
        <v>737157</v>
      </c>
      <c r="P38" s="12" t="n">
        <v>6.41</v>
      </c>
      <c r="Q38" s="2" t="inlineStr">
        <is>
          <t>20250408001676</t>
        </is>
      </c>
      <c r="R38" s="3">
        <f>HYPERLINK("https://dart.fss.or.kr/dsaf001/main.do?rcpNo=20250408001676", "공시열람")</f>
        <v/>
      </c>
    </row>
    <row r="39">
      <c r="A39" s="2" t="inlineStr">
        <is>
          <t>2025-04-04 (원공시: 2025-03-14)</t>
        </is>
      </c>
      <c r="B39" s="4" t="inlineStr">
        <is>
          <t>가온칩스</t>
        </is>
      </c>
      <c r="C39" s="2" t="inlineStr">
        <is>
          <t>399720</t>
        </is>
      </c>
      <c r="D39" s="2" t="inlineStr">
        <is>
          <t>대량보유</t>
        </is>
      </c>
      <c r="E39" s="2" t="inlineStr"/>
      <c r="F39" s="2" t="inlineStr"/>
      <c r="G39" s="4" t="inlineStr">
        <is>
          <t>정규동</t>
        </is>
      </c>
      <c r="H39" s="4" t="inlineStr">
        <is>
          <t>최대주주</t>
        </is>
      </c>
      <c r="I39" s="4" t="inlineStr">
        <is>
          <t>최대주주 및 특수관계인의 주식담보 대출계약 변경</t>
        </is>
      </c>
      <c r="J39" s="7" t="inlineStr"/>
      <c r="K39" s="7" t="inlineStr"/>
      <c r="L39" s="7" t="inlineStr"/>
      <c r="M39" s="7" t="n">
        <v>5634823</v>
      </c>
      <c r="N39" s="12" t="n">
        <v>48.59</v>
      </c>
      <c r="O39" s="7" t="n">
        <v>5634823</v>
      </c>
      <c r="P39" s="12" t="n">
        <v>48.59</v>
      </c>
      <c r="Q39" s="2" t="inlineStr">
        <is>
          <t>20250404003421</t>
        </is>
      </c>
      <c r="R39" s="3">
        <f>HYPERLINK("https://dart.fss.or.kr/dsaf001/main.do?rcpNo=20250404003421", "공시열람")</f>
        <v/>
      </c>
    </row>
    <row r="40">
      <c r="A40" s="2" t="inlineStr">
        <is>
          <t>2025-03-10</t>
        </is>
      </c>
      <c r="B40" s="4" t="inlineStr">
        <is>
          <t>가온칩스</t>
        </is>
      </c>
      <c r="C40" s="2" t="inlineStr">
        <is>
          <t>399720</t>
        </is>
      </c>
      <c r="D40" s="2" t="inlineStr">
        <is>
          <t>대량보유</t>
        </is>
      </c>
      <c r="E40" s="2" t="inlineStr">
        <is>
          <t>2024-10-08</t>
        </is>
      </c>
      <c r="F40" s="2" t="inlineStr">
        <is>
          <t>2024-10-08</t>
        </is>
      </c>
      <c r="G40" s="4" t="inlineStr">
        <is>
          <t>심진섭</t>
        </is>
      </c>
      <c r="H40" s="4" t="inlineStr">
        <is>
          <t>주주</t>
        </is>
      </c>
      <c r="I40" s="4" t="inlineStr">
        <is>
          <t>증여(-)</t>
        </is>
      </c>
      <c r="J40" s="13" t="n">
        <v>-40000</v>
      </c>
      <c r="K40" s="7" t="n">
        <v>43400</v>
      </c>
      <c r="L40" s="13" t="n">
        <v>-1736000000</v>
      </c>
      <c r="M40" s="7" t="n">
        <v>877690</v>
      </c>
      <c r="N40" s="12" t="n">
        <v>7.64</v>
      </c>
      <c r="O40" s="7" t="n">
        <v>777963</v>
      </c>
      <c r="P40" s="12" t="n">
        <v>6.25</v>
      </c>
      <c r="Q40" s="2" t="inlineStr">
        <is>
          <t>20250310000854</t>
        </is>
      </c>
      <c r="R40" s="3">
        <f>HYPERLINK("https://dart.fss.or.kr/dsaf001/main.do?rcpNo=20250310000854", "공시열람")</f>
        <v/>
      </c>
    </row>
    <row r="41">
      <c r="A41" s="2" t="inlineStr">
        <is>
          <t>2025-03-10</t>
        </is>
      </c>
      <c r="B41" s="4" t="inlineStr">
        <is>
          <t>가온칩스</t>
        </is>
      </c>
      <c r="C41" s="2" t="inlineStr">
        <is>
          <t>399720</t>
        </is>
      </c>
      <c r="D41" s="2" t="inlineStr">
        <is>
          <t>대량보유</t>
        </is>
      </c>
      <c r="E41" s="2" t="inlineStr">
        <is>
          <t>2024-05-09</t>
        </is>
      </c>
      <c r="F41" s="2" t="inlineStr">
        <is>
          <t>2025-02-19</t>
        </is>
      </c>
      <c r="G41" s="4" t="inlineStr">
        <is>
          <t>심진섭</t>
        </is>
      </c>
      <c r="H41" s="4" t="inlineStr">
        <is>
          <t>주주</t>
        </is>
      </c>
      <c r="I41" s="4" t="inlineStr">
        <is>
          <t>장내매도(-)</t>
        </is>
      </c>
      <c r="J41" s="13" t="n">
        <v>-152582</v>
      </c>
      <c r="K41" s="7" t="n">
        <v>63697</v>
      </c>
      <c r="L41" s="13" t="n">
        <v>-9719015654</v>
      </c>
      <c r="M41" s="7" t="n">
        <v>877690</v>
      </c>
      <c r="N41" s="12" t="n">
        <v>7.64</v>
      </c>
      <c r="O41" s="7" t="n">
        <v>685108</v>
      </c>
      <c r="P41" s="12" t="n">
        <v>6.25</v>
      </c>
      <c r="Q41" s="2" t="inlineStr">
        <is>
          <t>20250310000854</t>
        </is>
      </c>
      <c r="R41" s="3">
        <f>HYPERLINK("https://dart.fss.or.kr/dsaf001/main.do?rcpNo=20250310000854", "공시열람")</f>
        <v/>
      </c>
    </row>
    <row r="42">
      <c r="A42" s="2" t="inlineStr">
        <is>
          <t>2025-03-10</t>
        </is>
      </c>
      <c r="B42" s="4" t="inlineStr">
        <is>
          <t>가온칩스</t>
        </is>
      </c>
      <c r="C42" s="2" t="inlineStr">
        <is>
          <t>399720</t>
        </is>
      </c>
      <c r="D42" s="2" t="inlineStr">
        <is>
          <t>대량보유</t>
        </is>
      </c>
      <c r="E42" s="2" t="inlineStr">
        <is>
          <t>2024-10-08</t>
        </is>
      </c>
      <c r="F42" s="2" t="inlineStr">
        <is>
          <t>2024-10-08</t>
        </is>
      </c>
      <c r="G42" s="4" t="inlineStr">
        <is>
          <t>송은숙</t>
        </is>
      </c>
      <c r="H42" s="4" t="inlineStr">
        <is>
          <t>특별관계자</t>
        </is>
      </c>
      <c r="I42" s="4" t="inlineStr">
        <is>
          <t>수증(+)</t>
        </is>
      </c>
      <c r="J42" s="14" t="n">
        <v>20000</v>
      </c>
      <c r="K42" s="7" t="n">
        <v>43400</v>
      </c>
      <c r="L42" s="14" t="n">
        <v>868000000</v>
      </c>
      <c r="M42" s="7" t="n">
        <v>877690</v>
      </c>
      <c r="N42" s="12" t="n">
        <v>7.64</v>
      </c>
      <c r="O42" s="7" t="n">
        <v>20000</v>
      </c>
      <c r="P42" s="12" t="n">
        <v>6.25</v>
      </c>
      <c r="Q42" s="2" t="inlineStr">
        <is>
          <t>20250310000854</t>
        </is>
      </c>
      <c r="R42" s="3">
        <f>HYPERLINK("https://dart.fss.or.kr/dsaf001/main.do?rcpNo=20250310000854", "공시열람")</f>
        <v/>
      </c>
    </row>
    <row r="43">
      <c r="A43" s="2" t="inlineStr">
        <is>
          <t>2025-03-10</t>
        </is>
      </c>
      <c r="B43" s="4" t="inlineStr">
        <is>
          <t>가온칩스</t>
        </is>
      </c>
      <c r="C43" s="2" t="inlineStr">
        <is>
          <t>399720</t>
        </is>
      </c>
      <c r="D43" s="2" t="inlineStr">
        <is>
          <t>대량보유</t>
        </is>
      </c>
      <c r="E43" s="2" t="inlineStr">
        <is>
          <t>2024-10-08</t>
        </is>
      </c>
      <c r="F43" s="2" t="inlineStr">
        <is>
          <t>2024-10-08</t>
        </is>
      </c>
      <c r="G43" s="4" t="inlineStr">
        <is>
          <t>심재원</t>
        </is>
      </c>
      <c r="H43" s="4" t="inlineStr">
        <is>
          <t>특별관계자</t>
        </is>
      </c>
      <c r="I43" s="4" t="inlineStr">
        <is>
          <t>수증(+)</t>
        </is>
      </c>
      <c r="J43" s="14" t="n">
        <v>10000</v>
      </c>
      <c r="K43" s="7" t="n">
        <v>43400</v>
      </c>
      <c r="L43" s="14" t="n">
        <v>434000000</v>
      </c>
      <c r="M43" s="7" t="n">
        <v>877690</v>
      </c>
      <c r="N43" s="12" t="n">
        <v>7.64</v>
      </c>
      <c r="O43" s="7" t="n">
        <v>10000</v>
      </c>
      <c r="P43" s="12" t="n">
        <v>6.25</v>
      </c>
      <c r="Q43" s="2" t="inlineStr">
        <is>
          <t>20250310000854</t>
        </is>
      </c>
      <c r="R43" s="3">
        <f>HYPERLINK("https://dart.fss.or.kr/dsaf001/main.do?rcpNo=20250310000854", "공시열람")</f>
        <v/>
      </c>
    </row>
    <row r="44">
      <c r="A44" s="2" t="inlineStr">
        <is>
          <t>2025-03-10</t>
        </is>
      </c>
      <c r="B44" s="4" t="inlineStr">
        <is>
          <t>가온칩스</t>
        </is>
      </c>
      <c r="C44" s="2" t="inlineStr">
        <is>
          <t>399720</t>
        </is>
      </c>
      <c r="D44" s="2" t="inlineStr">
        <is>
          <t>대량보유</t>
        </is>
      </c>
      <c r="E44" s="2" t="inlineStr">
        <is>
          <t>2024-10-08</t>
        </is>
      </c>
      <c r="F44" s="2" t="inlineStr">
        <is>
          <t>2024-10-08</t>
        </is>
      </c>
      <c r="G44" s="4" t="inlineStr">
        <is>
          <t>심재희</t>
        </is>
      </c>
      <c r="H44" s="4" t="inlineStr">
        <is>
          <t>특별관계자</t>
        </is>
      </c>
      <c r="I44" s="4" t="inlineStr">
        <is>
          <t>수증(+)</t>
        </is>
      </c>
      <c r="J44" s="14" t="n">
        <v>10000</v>
      </c>
      <c r="K44" s="7" t="n">
        <v>43400</v>
      </c>
      <c r="L44" s="14" t="n">
        <v>434000000</v>
      </c>
      <c r="M44" s="7" t="n">
        <v>877690</v>
      </c>
      <c r="N44" s="12" t="n">
        <v>7.64</v>
      </c>
      <c r="O44" s="7" t="n">
        <v>10000</v>
      </c>
      <c r="P44" s="12" t="n">
        <v>6.25</v>
      </c>
      <c r="Q44" s="2" t="inlineStr">
        <is>
          <t>20250310000854</t>
        </is>
      </c>
      <c r="R44" s="3">
        <f>HYPERLINK("https://dart.fss.or.kr/dsaf001/main.do?rcpNo=20250310000854", "공시열람")</f>
        <v/>
      </c>
    </row>
    <row r="45">
      <c r="A45" s="2" t="inlineStr">
        <is>
          <t>2025-02-17</t>
        </is>
      </c>
      <c r="B45" s="4" t="inlineStr">
        <is>
          <t>가온칩스</t>
        </is>
      </c>
      <c r="C45" s="2" t="inlineStr">
        <is>
          <t>399720</t>
        </is>
      </c>
      <c r="D45" s="2" t="inlineStr">
        <is>
          <t>대량보유</t>
        </is>
      </c>
      <c r="E45" s="2" t="inlineStr">
        <is>
          <t>2025-02-10</t>
        </is>
      </c>
      <c r="F45" s="2" t="inlineStr">
        <is>
          <t>2025-02-10</t>
        </is>
      </c>
      <c r="G45" s="4" t="inlineStr">
        <is>
          <t>정세운</t>
        </is>
      </c>
      <c r="H45" s="4" t="inlineStr">
        <is>
          <t>특별관계자</t>
        </is>
      </c>
      <c r="I45" s="4" t="inlineStr">
        <is>
          <t>수증(+)</t>
        </is>
      </c>
      <c r="J45" s="14" t="n">
        <v>10000</v>
      </c>
      <c r="K45" s="7" t="n">
        <v>54000</v>
      </c>
      <c r="L45" s="14" t="n">
        <v>540000000</v>
      </c>
      <c r="M45" s="7" t="n">
        <v>5659241</v>
      </c>
      <c r="N45" s="12" t="n">
        <v>48.8</v>
      </c>
      <c r="O45" s="7" t="n">
        <v>10000</v>
      </c>
      <c r="P45" s="12" t="n">
        <v>48.59</v>
      </c>
      <c r="Q45" s="2" t="inlineStr">
        <is>
          <t>20250217001760</t>
        </is>
      </c>
      <c r="R45" s="3">
        <f>HYPERLINK("https://dart.fss.or.kr/dsaf001/main.do?rcpNo=20250217001760", "공시열람")</f>
        <v/>
      </c>
    </row>
    <row r="46">
      <c r="A46" s="2" t="inlineStr">
        <is>
          <t>2025-02-17</t>
        </is>
      </c>
      <c r="B46" s="4" t="inlineStr">
        <is>
          <t>가온칩스</t>
        </is>
      </c>
      <c r="C46" s="2" t="inlineStr">
        <is>
          <t>399720</t>
        </is>
      </c>
      <c r="D46" s="2" t="inlineStr">
        <is>
          <t>대량보유</t>
        </is>
      </c>
      <c r="E46" s="2" t="inlineStr">
        <is>
          <t>2025-02-10</t>
        </is>
      </c>
      <c r="F46" s="2" t="inlineStr">
        <is>
          <t>2025-02-10</t>
        </is>
      </c>
      <c r="G46" s="4" t="inlineStr">
        <is>
          <t>정소윤</t>
        </is>
      </c>
      <c r="H46" s="4" t="inlineStr">
        <is>
          <t>특별관계자</t>
        </is>
      </c>
      <c r="I46" s="4" t="inlineStr">
        <is>
          <t>수증(+)</t>
        </is>
      </c>
      <c r="J46" s="14" t="n">
        <v>10000</v>
      </c>
      <c r="K46" s="7" t="n">
        <v>54000</v>
      </c>
      <c r="L46" s="14" t="n">
        <v>540000000</v>
      </c>
      <c r="M46" s="7" t="n">
        <v>5659241</v>
      </c>
      <c r="N46" s="12" t="n">
        <v>48.8</v>
      </c>
      <c r="O46" s="7" t="n">
        <v>10000</v>
      </c>
      <c r="P46" s="12" t="n">
        <v>48.59</v>
      </c>
      <c r="Q46" s="2" t="inlineStr">
        <is>
          <t>20250217001760</t>
        </is>
      </c>
      <c r="R46" s="3">
        <f>HYPERLINK("https://dart.fss.or.kr/dsaf001/main.do?rcpNo=20250217001760", "공시열람")</f>
        <v/>
      </c>
    </row>
    <row r="47">
      <c r="A47" s="2" t="inlineStr">
        <is>
          <t>2025-02-17</t>
        </is>
      </c>
      <c r="B47" s="4" t="inlineStr">
        <is>
          <t>가온칩스</t>
        </is>
      </c>
      <c r="C47" s="2" t="inlineStr">
        <is>
          <t>399720</t>
        </is>
      </c>
      <c r="D47" s="2" t="inlineStr">
        <is>
          <t>대량보유</t>
        </is>
      </c>
      <c r="E47" s="2" t="inlineStr">
        <is>
          <t>2025-02-10</t>
        </is>
      </c>
      <c r="F47" s="2" t="inlineStr">
        <is>
          <t>2025-02-10</t>
        </is>
      </c>
      <c r="G47" s="4" t="inlineStr">
        <is>
          <t>김언진</t>
        </is>
      </c>
      <c r="H47" s="4" t="inlineStr">
        <is>
          <t>특별관계자</t>
        </is>
      </c>
      <c r="I47" s="4" t="inlineStr">
        <is>
          <t>수증(+)</t>
        </is>
      </c>
      <c r="J47" s="14" t="n">
        <v>10000</v>
      </c>
      <c r="K47" s="7" t="n">
        <v>54000</v>
      </c>
      <c r="L47" s="14" t="n">
        <v>540000000</v>
      </c>
      <c r="M47" s="7" t="n">
        <v>5659241</v>
      </c>
      <c r="N47" s="12" t="n">
        <v>48.8</v>
      </c>
      <c r="O47" s="7" t="n">
        <v>10000</v>
      </c>
      <c r="P47" s="12" t="n">
        <v>48.59</v>
      </c>
      <c r="Q47" s="2" t="inlineStr">
        <is>
          <t>20250217001760</t>
        </is>
      </c>
      <c r="R47" s="3">
        <f>HYPERLINK("https://dart.fss.or.kr/dsaf001/main.do?rcpNo=20250217001760", "공시열람")</f>
        <v/>
      </c>
    </row>
    <row r="48">
      <c r="A48" s="2" t="inlineStr">
        <is>
          <t>2025-02-17</t>
        </is>
      </c>
      <c r="B48" s="4" t="inlineStr">
        <is>
          <t>가온칩스</t>
        </is>
      </c>
      <c r="C48" s="2" t="inlineStr">
        <is>
          <t>399720</t>
        </is>
      </c>
      <c r="D48" s="2" t="inlineStr">
        <is>
          <t>대량보유</t>
        </is>
      </c>
      <c r="E48" s="2" t="inlineStr">
        <is>
          <t>2025-02-10</t>
        </is>
      </c>
      <c r="F48" s="2" t="inlineStr">
        <is>
          <t>2025-02-10</t>
        </is>
      </c>
      <c r="G48" s="4" t="inlineStr">
        <is>
          <t>정규동</t>
        </is>
      </c>
      <c r="H48" s="4" t="inlineStr">
        <is>
          <t>최대주주</t>
        </is>
      </c>
      <c r="I48" s="4" t="inlineStr">
        <is>
          <t>증여(-)</t>
        </is>
      </c>
      <c r="J48" s="13" t="n">
        <v>-30000</v>
      </c>
      <c r="K48" s="7" t="n">
        <v>54000</v>
      </c>
      <c r="L48" s="13" t="n">
        <v>-1620000000</v>
      </c>
      <c r="M48" s="7" t="n">
        <v>5659241</v>
      </c>
      <c r="N48" s="12" t="n">
        <v>48.8</v>
      </c>
      <c r="O48" s="7" t="n">
        <v>3342160</v>
      </c>
      <c r="P48" s="12" t="n">
        <v>48.59</v>
      </c>
      <c r="Q48" s="2" t="inlineStr">
        <is>
          <t>20250217001760</t>
        </is>
      </c>
      <c r="R48" s="3">
        <f>HYPERLINK("https://dart.fss.or.kr/dsaf001/main.do?rcpNo=20250217001760", "공시열람")</f>
        <v/>
      </c>
    </row>
    <row r="49">
      <c r="A49" s="2" t="inlineStr">
        <is>
          <t>2025-02-17</t>
        </is>
      </c>
      <c r="B49" s="4" t="inlineStr">
        <is>
          <t>가온칩스</t>
        </is>
      </c>
      <c r="C49" s="2" t="inlineStr">
        <is>
          <t>399720</t>
        </is>
      </c>
      <c r="D49" s="2" t="inlineStr">
        <is>
          <t>대량보유</t>
        </is>
      </c>
      <c r="E49" s="2" t="inlineStr">
        <is>
          <t>2025-01-17</t>
        </is>
      </c>
      <c r="F49" s="2" t="inlineStr">
        <is>
          <t>2025-01-17</t>
        </is>
      </c>
      <c r="G49" s="4" t="inlineStr">
        <is>
          <t>이상배</t>
        </is>
      </c>
      <c r="H49" s="4" t="inlineStr">
        <is>
          <t>특별관계자</t>
        </is>
      </c>
      <c r="I49" s="4" t="inlineStr">
        <is>
          <t>증여(-)</t>
        </is>
      </c>
      <c r="J49" s="13" t="n">
        <v>-24418</v>
      </c>
      <c r="K49" s="7" t="n">
        <v>47100</v>
      </c>
      <c r="L49" s="13" t="n">
        <v>-1150087800</v>
      </c>
      <c r="M49" s="7" t="n">
        <v>5659241</v>
      </c>
      <c r="N49" s="12" t="n">
        <v>48.8</v>
      </c>
      <c r="O49" s="7" t="n">
        <v>845462</v>
      </c>
      <c r="P49" s="12" t="n">
        <v>48.59</v>
      </c>
      <c r="Q49" s="2" t="inlineStr">
        <is>
          <t>20250217001760</t>
        </is>
      </c>
      <c r="R49" s="3">
        <f>HYPERLINK("https://dart.fss.or.kr/dsaf001/main.do?rcpNo=20250217001760", "공시열람")</f>
        <v/>
      </c>
    </row>
    <row r="50">
      <c r="A50" s="2" t="inlineStr">
        <is>
          <t>2025-01-07</t>
        </is>
      </c>
      <c r="B50" s="4" t="inlineStr">
        <is>
          <t>가온칩스</t>
        </is>
      </c>
      <c r="C50" s="2" t="inlineStr">
        <is>
          <t>399720</t>
        </is>
      </c>
      <c r="D50" s="2" t="inlineStr">
        <is>
          <t>대량보유</t>
        </is>
      </c>
      <c r="E50" s="2" t="inlineStr">
        <is>
          <t>2024-12-13</t>
        </is>
      </c>
      <c r="F50" s="2" t="inlineStr">
        <is>
          <t>2024-12-13</t>
        </is>
      </c>
      <c r="G50" s="4" t="inlineStr">
        <is>
          <t>서정욱</t>
        </is>
      </c>
      <c r="H50" s="4" t="inlineStr">
        <is>
          <t>특별관계자</t>
        </is>
      </c>
      <c r="I50" s="4" t="inlineStr">
        <is>
          <t>임원퇴임(-)</t>
        </is>
      </c>
      <c r="J50" s="13" t="n">
        <v>-3000</v>
      </c>
      <c r="K50" s="7" t="n">
        <v>33600</v>
      </c>
      <c r="L50" s="13" t="n">
        <v>-100800000</v>
      </c>
      <c r="M50" s="7" t="n">
        <v>5662241</v>
      </c>
      <c r="N50" s="12" t="n">
        <v>48.82</v>
      </c>
      <c r="O50" s="7" t="inlineStr"/>
      <c r="P50" s="12" t="n">
        <v>48.8</v>
      </c>
      <c r="Q50" s="2" t="inlineStr">
        <is>
          <t>20250107000383</t>
        </is>
      </c>
      <c r="R50" s="3">
        <f>HYPERLINK("https://dart.fss.or.kr/dsaf001/main.do?rcpNo=20250107000383", "공시열람")</f>
        <v/>
      </c>
    </row>
    <row r="51">
      <c r="A51" s="2" t="inlineStr">
        <is>
          <t>2024-11-29</t>
        </is>
      </c>
      <c r="B51" s="4" t="inlineStr">
        <is>
          <t>가온칩스</t>
        </is>
      </c>
      <c r="C51" s="2" t="inlineStr">
        <is>
          <t>399720</t>
        </is>
      </c>
      <c r="D51" s="2" t="inlineStr">
        <is>
          <t>대량보유</t>
        </is>
      </c>
      <c r="E51" s="2" t="inlineStr">
        <is>
          <t>2024-11-22</t>
        </is>
      </c>
      <c r="F51" s="2" t="inlineStr">
        <is>
          <t>2024-11-22</t>
        </is>
      </c>
      <c r="G51" s="4" t="inlineStr">
        <is>
          <t>박대남</t>
        </is>
      </c>
      <c r="H51" s="4" t="inlineStr">
        <is>
          <t>특별관계자</t>
        </is>
      </c>
      <c r="I51" s="4" t="inlineStr">
        <is>
          <t>증여(-)</t>
        </is>
      </c>
      <c r="J51" s="13" t="n">
        <v>-2100</v>
      </c>
      <c r="K51" s="7" t="n">
        <v>31950</v>
      </c>
      <c r="L51" s="13" t="n">
        <v>-67095000</v>
      </c>
      <c r="M51" s="7" t="n">
        <v>5664341</v>
      </c>
      <c r="N51" s="12" t="n">
        <v>48.84</v>
      </c>
      <c r="O51" s="7" t="n">
        <v>253500</v>
      </c>
      <c r="P51" s="12" t="n">
        <v>48.82</v>
      </c>
      <c r="Q51" s="2" t="inlineStr">
        <is>
          <t>20241129001817</t>
        </is>
      </c>
      <c r="R51" s="3">
        <f>HYPERLINK("https://dart.fss.or.kr/dsaf001/main.do?rcpNo=20241129001817", "공시열람")</f>
        <v/>
      </c>
    </row>
    <row r="52">
      <c r="A52" s="2" t="inlineStr">
        <is>
          <t>2024-11-26</t>
        </is>
      </c>
      <c r="B52" s="4" t="inlineStr">
        <is>
          <t>가온칩스</t>
        </is>
      </c>
      <c r="C52" s="2" t="inlineStr">
        <is>
          <t>399720</t>
        </is>
      </c>
      <c r="D52" s="2" t="inlineStr">
        <is>
          <t>대량보유</t>
        </is>
      </c>
      <c r="E52" s="2" t="inlineStr">
        <is>
          <t>2024-11-20</t>
        </is>
      </c>
      <c r="F52" s="2" t="inlineStr">
        <is>
          <t>2024-11-20</t>
        </is>
      </c>
      <c r="G52" s="4" t="inlineStr">
        <is>
          <t>위지호</t>
        </is>
      </c>
      <c r="H52" s="4" t="inlineStr">
        <is>
          <t>특별관계자</t>
        </is>
      </c>
      <c r="I52" s="4" t="inlineStr">
        <is>
          <t>주식매수선택권행사(-)</t>
        </is>
      </c>
      <c r="J52" s="13" t="n">
        <v>-4000</v>
      </c>
      <c r="K52" s="7" t="n">
        <v>33550</v>
      </c>
      <c r="L52" s="13" t="n">
        <v>-134200000</v>
      </c>
      <c r="M52" s="7" t="n">
        <v>5664341</v>
      </c>
      <c r="N52" s="12" t="n">
        <v>49.31</v>
      </c>
      <c r="O52" s="7" t="inlineStr"/>
      <c r="P52" s="12" t="n">
        <v>48.84</v>
      </c>
      <c r="Q52" s="2" t="inlineStr">
        <is>
          <t>20241126000620</t>
        </is>
      </c>
      <c r="R52" s="3">
        <f>HYPERLINK("https://dart.fss.or.kr/dsaf001/main.do?rcpNo=20241126000620", "공시열람")</f>
        <v/>
      </c>
    </row>
    <row r="53">
      <c r="A53" s="2" t="inlineStr">
        <is>
          <t>2024-11-26</t>
        </is>
      </c>
      <c r="B53" s="4" t="inlineStr">
        <is>
          <t>가온칩스</t>
        </is>
      </c>
      <c r="C53" s="2" t="inlineStr">
        <is>
          <t>399720</t>
        </is>
      </c>
      <c r="D53" s="2" t="inlineStr">
        <is>
          <t>대량보유</t>
        </is>
      </c>
      <c r="E53" s="2" t="inlineStr">
        <is>
          <t>2024-11-20</t>
        </is>
      </c>
      <c r="F53" s="2" t="inlineStr">
        <is>
          <t>2024-11-20</t>
        </is>
      </c>
      <c r="G53" s="4" t="inlineStr">
        <is>
          <t>박영근</t>
        </is>
      </c>
      <c r="H53" s="4" t="inlineStr">
        <is>
          <t>특별관계자</t>
        </is>
      </c>
      <c r="I53" s="4" t="inlineStr">
        <is>
          <t>주식매수청구권 행사(+)</t>
        </is>
      </c>
      <c r="J53" s="14" t="n">
        <v>4000</v>
      </c>
      <c r="K53" s="7" t="n">
        <v>1000</v>
      </c>
      <c r="L53" s="14" t="n">
        <v>4000000</v>
      </c>
      <c r="M53" s="7" t="n">
        <v>5664341</v>
      </c>
      <c r="N53" s="12" t="n">
        <v>49.31</v>
      </c>
      <c r="O53" s="7" t="n">
        <v>4000</v>
      </c>
      <c r="P53" s="12" t="n">
        <v>48.84</v>
      </c>
      <c r="Q53" s="2" t="inlineStr">
        <is>
          <t>20241126000620</t>
        </is>
      </c>
      <c r="R53" s="3">
        <f>HYPERLINK("https://dart.fss.or.kr/dsaf001/main.do?rcpNo=20241126000620", "공시열람")</f>
        <v/>
      </c>
    </row>
    <row r="54">
      <c r="A54" s="2" t="inlineStr">
        <is>
          <t>2024-11-26</t>
        </is>
      </c>
      <c r="B54" s="4" t="inlineStr">
        <is>
          <t>가온칩스</t>
        </is>
      </c>
      <c r="C54" s="2" t="inlineStr">
        <is>
          <t>399720</t>
        </is>
      </c>
      <c r="D54" s="2" t="inlineStr">
        <is>
          <t>대량보유</t>
        </is>
      </c>
      <c r="E54" s="2" t="inlineStr">
        <is>
          <t>2024-11-20</t>
        </is>
      </c>
      <c r="F54" s="2" t="inlineStr">
        <is>
          <t>2024-11-20</t>
        </is>
      </c>
      <c r="G54" s="4" t="inlineStr">
        <is>
          <t>서정욱</t>
        </is>
      </c>
      <c r="H54" s="4" t="inlineStr">
        <is>
          <t>특별관계자</t>
        </is>
      </c>
      <c r="I54" s="4" t="inlineStr">
        <is>
          <t>주식매수선택권행사(+)</t>
        </is>
      </c>
      <c r="J54" s="14" t="n">
        <v>3000</v>
      </c>
      <c r="K54" s="7" t="n">
        <v>1000</v>
      </c>
      <c r="L54" s="14" t="n">
        <v>3000000</v>
      </c>
      <c r="M54" s="7" t="n">
        <v>5664341</v>
      </c>
      <c r="N54" s="12" t="n">
        <v>49.31</v>
      </c>
      <c r="O54" s="7" t="n">
        <v>3000</v>
      </c>
      <c r="P54" s="12" t="n">
        <v>48.84</v>
      </c>
      <c r="Q54" s="2" t="inlineStr">
        <is>
          <t>20241126000620</t>
        </is>
      </c>
      <c r="R54" s="3">
        <f>HYPERLINK("https://dart.fss.or.kr/dsaf001/main.do?rcpNo=20241126000620", "공시열람")</f>
        <v/>
      </c>
    </row>
    <row r="55">
      <c r="A55" s="2" t="inlineStr">
        <is>
          <t>2024-11-26</t>
        </is>
      </c>
      <c r="B55" s="4" t="inlineStr">
        <is>
          <t>가온칩스</t>
        </is>
      </c>
      <c r="C55" s="2" t="inlineStr">
        <is>
          <t>399720</t>
        </is>
      </c>
      <c r="D55" s="2" t="inlineStr">
        <is>
          <t>대량보유</t>
        </is>
      </c>
      <c r="E55" s="2" t="inlineStr">
        <is>
          <t>2024-11-20</t>
        </is>
      </c>
      <c r="F55" s="2" t="inlineStr">
        <is>
          <t>2024-11-20</t>
        </is>
      </c>
      <c r="G55" s="4" t="inlineStr">
        <is>
          <t>위지호</t>
        </is>
      </c>
      <c r="H55" s="4" t="inlineStr">
        <is>
          <t>특별관계자</t>
        </is>
      </c>
      <c r="I55" s="4" t="inlineStr">
        <is>
          <t>주식매수청구권 행사(+)</t>
        </is>
      </c>
      <c r="J55" s="14" t="n">
        <v>4000</v>
      </c>
      <c r="K55" s="7" t="n">
        <v>1000</v>
      </c>
      <c r="L55" s="14" t="n">
        <v>4000000</v>
      </c>
      <c r="M55" s="7" t="n">
        <v>5664341</v>
      </c>
      <c r="N55" s="12" t="n">
        <v>49.31</v>
      </c>
      <c r="O55" s="7" t="n">
        <v>4000</v>
      </c>
      <c r="P55" s="12" t="n">
        <v>48.84</v>
      </c>
      <c r="Q55" s="2" t="inlineStr">
        <is>
          <t>20241126000620</t>
        </is>
      </c>
      <c r="R55" s="3">
        <f>HYPERLINK("https://dart.fss.or.kr/dsaf001/main.do?rcpNo=20241126000620", "공시열람")</f>
        <v/>
      </c>
    </row>
    <row r="56">
      <c r="A56" s="2" t="inlineStr">
        <is>
          <t>2024-11-26</t>
        </is>
      </c>
      <c r="B56" s="4" t="inlineStr">
        <is>
          <t>가온칩스</t>
        </is>
      </c>
      <c r="C56" s="2" t="inlineStr">
        <is>
          <t>399720</t>
        </is>
      </c>
      <c r="D56" s="2" t="inlineStr">
        <is>
          <t>대량보유</t>
        </is>
      </c>
      <c r="E56" s="2" t="inlineStr">
        <is>
          <t>2024-11-20</t>
        </is>
      </c>
      <c r="F56" s="2" t="inlineStr">
        <is>
          <t>2024-11-20</t>
        </is>
      </c>
      <c r="G56" s="4" t="inlineStr">
        <is>
          <t>박영근</t>
        </is>
      </c>
      <c r="H56" s="4" t="inlineStr">
        <is>
          <t>특별관계자</t>
        </is>
      </c>
      <c r="I56" s="4" t="inlineStr">
        <is>
          <t>주식매수선택권행사(-)</t>
        </is>
      </c>
      <c r="J56" s="13" t="n">
        <v>-4000</v>
      </c>
      <c r="K56" s="7" t="n">
        <v>33550</v>
      </c>
      <c r="L56" s="13" t="n">
        <v>-134200000</v>
      </c>
      <c r="M56" s="7" t="n">
        <v>5664341</v>
      </c>
      <c r="N56" s="12" t="n">
        <v>49.31</v>
      </c>
      <c r="O56" s="7" t="inlineStr"/>
      <c r="P56" s="12" t="n">
        <v>48.84</v>
      </c>
      <c r="Q56" s="2" t="inlineStr">
        <is>
          <t>20241126000620</t>
        </is>
      </c>
      <c r="R56" s="3">
        <f>HYPERLINK("https://dart.fss.or.kr/dsaf001/main.do?rcpNo=20241126000620", "공시열람")</f>
        <v/>
      </c>
    </row>
    <row r="57">
      <c r="A57" s="2" t="inlineStr">
        <is>
          <t>2024-11-26</t>
        </is>
      </c>
      <c r="B57" s="4" t="inlineStr">
        <is>
          <t>가온칩스</t>
        </is>
      </c>
      <c r="C57" s="2" t="inlineStr">
        <is>
          <t>399720</t>
        </is>
      </c>
      <c r="D57" s="2" t="inlineStr">
        <is>
          <t>대량보유</t>
        </is>
      </c>
      <c r="E57" s="2" t="inlineStr">
        <is>
          <t>2024-11-20</t>
        </is>
      </c>
      <c r="F57" s="2" t="inlineStr">
        <is>
          <t>2024-11-20</t>
        </is>
      </c>
      <c r="G57" s="4" t="inlineStr">
        <is>
          <t>서정욱</t>
        </is>
      </c>
      <c r="H57" s="4" t="inlineStr">
        <is>
          <t>특별관계자</t>
        </is>
      </c>
      <c r="I57" s="4" t="inlineStr">
        <is>
          <t>주식매수선택권행사(-)</t>
        </is>
      </c>
      <c r="J57" s="13" t="n">
        <v>-3000</v>
      </c>
      <c r="K57" s="7" t="n">
        <v>33550</v>
      </c>
      <c r="L57" s="13" t="n">
        <v>-100650000</v>
      </c>
      <c r="M57" s="7" t="n">
        <v>5664341</v>
      </c>
      <c r="N57" s="12" t="n">
        <v>49.31</v>
      </c>
      <c r="O57" s="7" t="inlineStr"/>
      <c r="P57" s="12" t="n">
        <v>48.84</v>
      </c>
      <c r="Q57" s="2" t="inlineStr">
        <is>
          <t>20241126000620</t>
        </is>
      </c>
      <c r="R57" s="3">
        <f>HYPERLINK("https://dart.fss.or.kr/dsaf001/main.do?rcpNo=20241126000620", "공시열람")</f>
        <v/>
      </c>
    </row>
    <row r="58">
      <c r="A58" s="2" t="inlineStr">
        <is>
          <t>2024-11-26</t>
        </is>
      </c>
      <c r="B58" s="4" t="inlineStr">
        <is>
          <t>가온칩스</t>
        </is>
      </c>
      <c r="C58" s="2" t="inlineStr">
        <is>
          <t>399720</t>
        </is>
      </c>
      <c r="D58" s="2" t="inlineStr">
        <is>
          <t>임원보고</t>
        </is>
      </c>
      <c r="E58" s="2" t="inlineStr">
        <is>
          <t>2024-11-20</t>
        </is>
      </c>
      <c r="F58" s="2" t="inlineStr">
        <is>
          <t>2024-11-20</t>
        </is>
      </c>
      <c r="G58" s="4" t="inlineStr">
        <is>
          <t>서정욱</t>
        </is>
      </c>
      <c r="H58" s="4" t="inlineStr">
        <is>
          <t>비등기임원 이사</t>
        </is>
      </c>
      <c r="I58" s="4" t="inlineStr">
        <is>
          <t>주식매수청구권 행사(+)</t>
        </is>
      </c>
      <c r="J58" s="14" t="n">
        <v>3000</v>
      </c>
      <c r="K58" s="7" t="n">
        <v>1000</v>
      </c>
      <c r="L58" s="14" t="n">
        <v>3000000</v>
      </c>
      <c r="M58" s="7" t="inlineStr"/>
      <c r="N58" s="15" t="inlineStr"/>
      <c r="O58" s="7" t="n">
        <v>3000</v>
      </c>
      <c r="P58" s="12" t="n">
        <v>0.03</v>
      </c>
      <c r="Q58" s="2" t="inlineStr">
        <is>
          <t>20241126000629</t>
        </is>
      </c>
      <c r="R58" s="3">
        <f>HYPERLINK("https://dart.fss.or.kr/dsaf001/main.do?rcpNo=20241126000629", "공시열람")</f>
        <v/>
      </c>
    </row>
    <row r="59">
      <c r="A59" s="2" t="inlineStr">
        <is>
          <t>2024-10-10</t>
        </is>
      </c>
      <c r="B59" s="4" t="inlineStr">
        <is>
          <t>가온칩스</t>
        </is>
      </c>
      <c r="C59" s="2" t="inlineStr">
        <is>
          <t>399720</t>
        </is>
      </c>
      <c r="D59" s="2" t="inlineStr">
        <is>
          <t>대량보유</t>
        </is>
      </c>
      <c r="E59" s="2" t="inlineStr"/>
      <c r="F59" s="2" t="inlineStr"/>
      <c r="G59" s="4" t="inlineStr">
        <is>
          <t>정규동</t>
        </is>
      </c>
      <c r="H59" s="4" t="inlineStr">
        <is>
          <t>최대주주</t>
        </is>
      </c>
      <c r="I59" s="4" t="inlineStr">
        <is>
          <t>특수관계인의 주식담보 대출계약 체결</t>
        </is>
      </c>
      <c r="J59" s="7" t="inlineStr"/>
      <c r="K59" s="7" t="inlineStr"/>
      <c r="L59" s="7" t="inlineStr"/>
      <c r="M59" s="7" t="n">
        <v>5664341</v>
      </c>
      <c r="N59" s="12" t="n">
        <v>49.31</v>
      </c>
      <c r="O59" s="7" t="n">
        <v>5664341</v>
      </c>
      <c r="P59" s="12" t="n">
        <v>49.31</v>
      </c>
      <c r="Q59" s="2" t="inlineStr">
        <is>
          <t>20241010000530</t>
        </is>
      </c>
      <c r="R59" s="3">
        <f>HYPERLINK("https://dart.fss.or.kr/dsaf001/main.do?rcpNo=20241010000530", "공시열람")</f>
        <v/>
      </c>
    </row>
    <row r="60">
      <c r="A60" s="2" t="inlineStr">
        <is>
          <t>2024-08-27</t>
        </is>
      </c>
      <c r="B60" s="4" t="inlineStr">
        <is>
          <t>가온칩스</t>
        </is>
      </c>
      <c r="C60" s="2" t="inlineStr">
        <is>
          <t>399720</t>
        </is>
      </c>
      <c r="D60" s="2" t="inlineStr">
        <is>
          <t>대량보유</t>
        </is>
      </c>
      <c r="E60" s="2" t="inlineStr"/>
      <c r="F60" s="2" t="inlineStr"/>
      <c r="G60" s="4" t="inlineStr">
        <is>
          <t>정규동</t>
        </is>
      </c>
      <c r="H60" s="4" t="inlineStr">
        <is>
          <t>최대주주</t>
        </is>
      </c>
      <c r="I60" s="4" t="inlineStr">
        <is>
          <t>특수관계인의 주식담보대출 계약 연장</t>
        </is>
      </c>
      <c r="J60" s="7" t="inlineStr"/>
      <c r="K60" s="7" t="inlineStr"/>
      <c r="L60" s="7" t="inlineStr"/>
      <c r="M60" s="7" t="n">
        <v>5664341</v>
      </c>
      <c r="N60" s="12" t="n">
        <v>49.31</v>
      </c>
      <c r="O60" s="7" t="n">
        <v>5664341</v>
      </c>
      <c r="P60" s="12" t="n">
        <v>49.31</v>
      </c>
      <c r="Q60" s="2" t="inlineStr">
        <is>
          <t>20240827000729</t>
        </is>
      </c>
      <c r="R60" s="3">
        <f>HYPERLINK("https://dart.fss.or.kr/dsaf001/main.do?rcpNo=20240827000729", "공시열람")</f>
        <v/>
      </c>
    </row>
    <row r="61">
      <c r="A61" s="2" t="inlineStr">
        <is>
          <t>2024-08-02</t>
        </is>
      </c>
      <c r="B61" s="4" t="inlineStr">
        <is>
          <t>가온칩스</t>
        </is>
      </c>
      <c r="C61" s="2" t="inlineStr">
        <is>
          <t>399720</t>
        </is>
      </c>
      <c r="D61" s="2" t="inlineStr">
        <is>
          <t>대량보유</t>
        </is>
      </c>
      <c r="E61" s="2" t="inlineStr">
        <is>
          <t>2024-05-31</t>
        </is>
      </c>
      <c r="F61" s="2" t="inlineStr">
        <is>
          <t>2024-06-17</t>
        </is>
      </c>
      <c r="G61" s="4" t="inlineStr">
        <is>
          <t>김진오</t>
        </is>
      </c>
      <c r="H61" s="4" t="inlineStr">
        <is>
          <t>특별관계자</t>
        </is>
      </c>
      <c r="I61" s="4" t="inlineStr">
        <is>
          <t>장내매도(-)</t>
        </is>
      </c>
      <c r="J61" s="13" t="n">
        <v>-27000</v>
      </c>
      <c r="K61" s="7" t="n">
        <v>84467</v>
      </c>
      <c r="L61" s="13" t="n">
        <v>-2280609000</v>
      </c>
      <c r="M61" s="7" t="n">
        <v>5691341</v>
      </c>
      <c r="N61" s="12" t="n">
        <v>49.54</v>
      </c>
      <c r="O61" s="7" t="n">
        <v>50000</v>
      </c>
      <c r="P61" s="12" t="n">
        <v>49.31</v>
      </c>
      <c r="Q61" s="2" t="inlineStr">
        <is>
          <t>20240802000345</t>
        </is>
      </c>
      <c r="R61" s="3">
        <f>HYPERLINK("https://dart.fss.or.kr/dsaf001/main.do?rcpNo=20240802000345", "공시열람")</f>
        <v/>
      </c>
    </row>
    <row r="62">
      <c r="A62" s="2" t="inlineStr">
        <is>
          <t>2024-05-29</t>
        </is>
      </c>
      <c r="B62" s="4" t="inlineStr">
        <is>
          <t>가온칩스</t>
        </is>
      </c>
      <c r="C62" s="2" t="inlineStr">
        <is>
          <t>399720</t>
        </is>
      </c>
      <c r="D62" s="2" t="inlineStr">
        <is>
          <t>대량보유</t>
        </is>
      </c>
      <c r="E62" s="2" t="inlineStr"/>
      <c r="F62" s="2" t="inlineStr"/>
      <c r="G62" s="4" t="inlineStr">
        <is>
          <t>정규동</t>
        </is>
      </c>
      <c r="H62" s="4" t="inlineStr">
        <is>
          <t>최대주주</t>
        </is>
      </c>
      <c r="I62" s="4" t="inlineStr">
        <is>
          <t>최대주주의 주식담보대출 계약 체결 및 특수관계인의 주식담보대출 계약 연장</t>
        </is>
      </c>
      <c r="J62" s="7" t="inlineStr"/>
      <c r="K62" s="7" t="inlineStr"/>
      <c r="L62" s="7" t="inlineStr"/>
      <c r="M62" s="7" t="n">
        <v>5691341</v>
      </c>
      <c r="N62" s="12" t="n">
        <v>49.54</v>
      </c>
      <c r="O62" s="7" t="n">
        <v>5691341</v>
      </c>
      <c r="P62" s="12" t="n">
        <v>49.54</v>
      </c>
      <c r="Q62" s="2" t="inlineStr">
        <is>
          <t>20240529000524</t>
        </is>
      </c>
      <c r="R62" s="3">
        <f>HYPERLINK("https://dart.fss.or.kr/dsaf001/main.do?rcpNo=20240529000524", "공시열람")</f>
        <v/>
      </c>
    </row>
    <row r="63">
      <c r="A63" s="2" t="inlineStr">
        <is>
          <t>2024-05-03</t>
        </is>
      </c>
      <c r="B63" s="4" t="inlineStr">
        <is>
          <t>가온칩스</t>
        </is>
      </c>
      <c r="C63" s="2" t="inlineStr">
        <is>
          <t>399720</t>
        </is>
      </c>
      <c r="D63" s="2" t="inlineStr">
        <is>
          <t>대량보유</t>
        </is>
      </c>
      <c r="E63" s="2" t="inlineStr">
        <is>
          <t>2024-04-30</t>
        </is>
      </c>
      <c r="F63" s="2" t="inlineStr">
        <is>
          <t>2024-04-30</t>
        </is>
      </c>
      <c r="G63" s="4" t="inlineStr">
        <is>
          <t>심진섭</t>
        </is>
      </c>
      <c r="H63" s="4" t="inlineStr">
        <is>
          <t>특별관계자</t>
        </is>
      </c>
      <c r="I63" s="4" t="inlineStr">
        <is>
          <t>임원퇴임(-)</t>
        </is>
      </c>
      <c r="J63" s="13" t="n">
        <v>-877690</v>
      </c>
      <c r="K63" s="7" t="n">
        <v>91100</v>
      </c>
      <c r="L63" s="13" t="n">
        <v>-79957559000</v>
      </c>
      <c r="M63" s="7" t="n">
        <v>6569031</v>
      </c>
      <c r="N63" s="12" t="n">
        <v>57.18</v>
      </c>
      <c r="O63" s="7" t="inlineStr"/>
      <c r="P63" s="12" t="n">
        <v>49.54</v>
      </c>
      <c r="Q63" s="2" t="inlineStr">
        <is>
          <t>20240503000719</t>
        </is>
      </c>
      <c r="R63" s="3">
        <f>HYPERLINK("https://dart.fss.or.kr/dsaf001/main.do?rcpNo=20240503000719", "공시열람")</f>
        <v/>
      </c>
    </row>
    <row r="64">
      <c r="A64" s="2" t="inlineStr">
        <is>
          <t>2024-05-03</t>
        </is>
      </c>
      <c r="B64" s="4" t="inlineStr">
        <is>
          <t>가온칩스</t>
        </is>
      </c>
      <c r="C64" s="2" t="inlineStr">
        <is>
          <t>399720</t>
        </is>
      </c>
      <c r="D64" s="2" t="inlineStr">
        <is>
          <t>대량보유</t>
        </is>
      </c>
      <c r="E64" s="2" t="inlineStr">
        <is>
          <t>2024-04-30</t>
        </is>
      </c>
      <c r="F64" s="2" t="inlineStr">
        <is>
          <t>2024-04-30</t>
        </is>
      </c>
      <c r="G64" s="4" t="inlineStr">
        <is>
          <t>심진섭</t>
        </is>
      </c>
      <c r="H64" s="4" t="inlineStr">
        <is>
          <t>주주</t>
        </is>
      </c>
      <c r="I64" s="4" t="inlineStr">
        <is>
          <t>신규보고(+)</t>
        </is>
      </c>
      <c r="J64" s="14" t="n">
        <v>877690</v>
      </c>
      <c r="K64" s="7" t="n">
        <v>91100</v>
      </c>
      <c r="L64" s="14" t="n">
        <v>79957559000</v>
      </c>
      <c r="M64" s="7" t="inlineStr"/>
      <c r="N64" s="15" t="inlineStr"/>
      <c r="O64" s="7" t="n">
        <v>877690</v>
      </c>
      <c r="P64" s="12" t="n">
        <v>7.64</v>
      </c>
      <c r="Q64" s="2" t="inlineStr">
        <is>
          <t>20240503000746</t>
        </is>
      </c>
      <c r="R64" s="3">
        <f>HYPERLINK("https://dart.fss.or.kr/dsaf001/main.do?rcpNo=20240503000746", "공시열람")</f>
        <v/>
      </c>
    </row>
    <row r="65">
      <c r="A65" s="2" t="inlineStr">
        <is>
          <t>2024-03-04</t>
        </is>
      </c>
      <c r="B65" s="4" t="inlineStr">
        <is>
          <t>가온칩스</t>
        </is>
      </c>
      <c r="C65" s="2" t="inlineStr">
        <is>
          <t>399720</t>
        </is>
      </c>
      <c r="D65" s="2" t="inlineStr">
        <is>
          <t>대량보유</t>
        </is>
      </c>
      <c r="E65" s="2" t="inlineStr"/>
      <c r="F65" s="2" t="inlineStr"/>
      <c r="G65" s="4" t="inlineStr">
        <is>
          <t>정규동</t>
        </is>
      </c>
      <c r="H65" s="4" t="inlineStr">
        <is>
          <t>최대주주</t>
        </is>
      </c>
      <c r="I65" s="4" t="inlineStr">
        <is>
          <t>신규 주식담보계약 체결</t>
        </is>
      </c>
      <c r="J65" s="7" t="inlineStr"/>
      <c r="K65" s="7" t="inlineStr"/>
      <c r="L65" s="7" t="inlineStr"/>
      <c r="M65" s="7" t="n">
        <v>6569031</v>
      </c>
      <c r="N65" s="12" t="n">
        <v>57.18</v>
      </c>
      <c r="O65" s="7" t="n">
        <v>6569031</v>
      </c>
      <c r="P65" s="12" t="n">
        <v>57.18</v>
      </c>
      <c r="Q65" s="2" t="inlineStr">
        <is>
          <t>20240304000479</t>
        </is>
      </c>
      <c r="R65" s="3">
        <f>HYPERLINK("https://dart.fss.or.kr/dsaf001/main.do?rcpNo=20240304000479", "공시열람")</f>
        <v/>
      </c>
    </row>
    <row r="66">
      <c r="A66" s="2" t="inlineStr">
        <is>
          <t>2024-02-21</t>
        </is>
      </c>
      <c r="B66" s="4" t="inlineStr">
        <is>
          <t>가온칩스</t>
        </is>
      </c>
      <c r="C66" s="2" t="inlineStr">
        <is>
          <t>399720</t>
        </is>
      </c>
      <c r="D66" s="2" t="inlineStr">
        <is>
          <t>대량보유</t>
        </is>
      </c>
      <c r="E66" s="2" t="inlineStr"/>
      <c r="F66" s="2" t="inlineStr"/>
      <c r="G66" s="4" t="inlineStr">
        <is>
          <t>정규동</t>
        </is>
      </c>
      <c r="H66" s="4" t="inlineStr">
        <is>
          <t>최대주주</t>
        </is>
      </c>
      <c r="I66" s="4" t="inlineStr">
        <is>
          <t>주식담보계약 연장</t>
        </is>
      </c>
      <c r="J66" s="7" t="inlineStr"/>
      <c r="K66" s="7" t="inlineStr"/>
      <c r="L66" s="7" t="inlineStr"/>
      <c r="M66" s="7" t="n">
        <v>6569031</v>
      </c>
      <c r="N66" s="12" t="n">
        <v>57.18</v>
      </c>
      <c r="O66" s="7" t="n">
        <v>6569031</v>
      </c>
      <c r="P66" s="12" t="n">
        <v>57.18</v>
      </c>
      <c r="Q66" s="2" t="inlineStr">
        <is>
          <t>20240221001618</t>
        </is>
      </c>
      <c r="R66" s="3">
        <f>HYPERLINK("https://dart.fss.or.kr/dsaf001/main.do?rcpNo=20240221001618", "공시열람")</f>
        <v/>
      </c>
    </row>
    <row r="67">
      <c r="A67" s="2" t="inlineStr">
        <is>
          <t>2024-02-05</t>
        </is>
      </c>
      <c r="B67" s="4" t="inlineStr">
        <is>
          <t>가온칩스</t>
        </is>
      </c>
      <c r="C67" s="2" t="inlineStr">
        <is>
          <t>399720</t>
        </is>
      </c>
      <c r="D67" s="2" t="inlineStr">
        <is>
          <t>대량보유</t>
        </is>
      </c>
      <c r="E67" s="2" t="inlineStr">
        <is>
          <t>2023-12-31</t>
        </is>
      </c>
      <c r="F67" s="2" t="inlineStr">
        <is>
          <t>2023-12-31</t>
        </is>
      </c>
      <c r="G67" s="4" t="inlineStr">
        <is>
          <t>이은희</t>
        </is>
      </c>
      <c r="H67" s="4" t="inlineStr">
        <is>
          <t>특별관계자</t>
        </is>
      </c>
      <c r="I67" s="4" t="inlineStr">
        <is>
          <t>주식매수선택권부여취소(-)</t>
        </is>
      </c>
      <c r="J67" s="13" t="n">
        <v>-1000</v>
      </c>
      <c r="K67" s="7" t="inlineStr"/>
      <c r="L67" s="7" t="inlineStr"/>
      <c r="M67" s="7" t="n">
        <v>6580531</v>
      </c>
      <c r="N67" s="12" t="n">
        <v>57.28</v>
      </c>
      <c r="O67" s="7" t="inlineStr"/>
      <c r="P67" s="12" t="n">
        <v>57.18</v>
      </c>
      <c r="Q67" s="2" t="inlineStr">
        <is>
          <t>20240205000376</t>
        </is>
      </c>
      <c r="R67" s="3">
        <f>HYPERLINK("https://dart.fss.or.kr/dsaf001/main.do?rcpNo=20240205000376", "공시열람")</f>
        <v/>
      </c>
    </row>
    <row r="68">
      <c r="A68" s="2" t="inlineStr">
        <is>
          <t>2024-02-05</t>
        </is>
      </c>
      <c r="B68" s="4" t="inlineStr">
        <is>
          <t>가온칩스</t>
        </is>
      </c>
      <c r="C68" s="2" t="inlineStr">
        <is>
          <t>399720</t>
        </is>
      </c>
      <c r="D68" s="2" t="inlineStr">
        <is>
          <t>대량보유</t>
        </is>
      </c>
      <c r="E68" s="2" t="inlineStr">
        <is>
          <t>2023-12-31</t>
        </is>
      </c>
      <c r="F68" s="2" t="inlineStr">
        <is>
          <t>2023-12-31</t>
        </is>
      </c>
      <c r="G68" s="4" t="inlineStr">
        <is>
          <t>이은희</t>
        </is>
      </c>
      <c r="H68" s="4" t="inlineStr">
        <is>
          <t>특별관계자</t>
        </is>
      </c>
      <c r="I68" s="4" t="inlineStr">
        <is>
          <t>임원퇴임(-)</t>
        </is>
      </c>
      <c r="J68" s="13" t="n">
        <v>-10500</v>
      </c>
      <c r="K68" s="7" t="inlineStr"/>
      <c r="L68" s="7" t="inlineStr"/>
      <c r="M68" s="7" t="n">
        <v>6580531</v>
      </c>
      <c r="N68" s="12" t="n">
        <v>57.28</v>
      </c>
      <c r="O68" s="7" t="inlineStr"/>
      <c r="P68" s="12" t="n">
        <v>57.18</v>
      </c>
      <c r="Q68" s="2" t="inlineStr">
        <is>
          <t>20240205000376</t>
        </is>
      </c>
      <c r="R68" s="3">
        <f>HYPERLINK("https://dart.fss.or.kr/dsaf001/main.do?rcpNo=20240205000376", "공시열람")</f>
        <v/>
      </c>
    </row>
    <row r="69">
      <c r="A69" s="2" t="inlineStr">
        <is>
          <t>2023-11-07</t>
        </is>
      </c>
      <c r="B69" s="4" t="inlineStr">
        <is>
          <t>가온칩스</t>
        </is>
      </c>
      <c r="C69" s="2" t="inlineStr">
        <is>
          <t>399720</t>
        </is>
      </c>
      <c r="D69" s="2" t="inlineStr">
        <is>
          <t>대량보유</t>
        </is>
      </c>
      <c r="E69" s="2" t="inlineStr"/>
      <c r="F69" s="2" t="inlineStr"/>
      <c r="G69" s="4" t="inlineStr">
        <is>
          <t>정규동</t>
        </is>
      </c>
      <c r="H69" s="4" t="inlineStr">
        <is>
          <t>최대주주</t>
        </is>
      </c>
      <c r="I69" s="4" t="inlineStr">
        <is>
          <t>신규 담보계약 체결</t>
        </is>
      </c>
      <c r="J69" s="7" t="inlineStr"/>
      <c r="K69" s="7" t="inlineStr"/>
      <c r="L69" s="7" t="inlineStr"/>
      <c r="M69" s="7" t="n">
        <v>6580531</v>
      </c>
      <c r="N69" s="12" t="n">
        <v>57.28</v>
      </c>
      <c r="O69" s="7" t="n">
        <v>6580531</v>
      </c>
      <c r="P69" s="12" t="n">
        <v>57.28</v>
      </c>
      <c r="Q69" s="2" t="inlineStr">
        <is>
          <t>20231106000353</t>
        </is>
      </c>
      <c r="R69" s="3">
        <f>HYPERLINK("https://dart.fss.or.kr/dsaf001/main.do?rcpNo=20231106000353", "공시열람")</f>
        <v/>
      </c>
    </row>
    <row r="70">
      <c r="A70" s="2" t="inlineStr">
        <is>
          <t>2023-09-07</t>
        </is>
      </c>
      <c r="B70" s="4" t="inlineStr">
        <is>
          <t>가온칩스</t>
        </is>
      </c>
      <c r="C70" s="2" t="inlineStr">
        <is>
          <t>399720</t>
        </is>
      </c>
      <c r="D70" s="2" t="inlineStr">
        <is>
          <t>대량보유</t>
        </is>
      </c>
      <c r="E70" s="2" t="inlineStr">
        <is>
          <t>2023-03-22</t>
        </is>
      </c>
      <c r="F70" s="2" t="inlineStr">
        <is>
          <t>2023-03-22</t>
        </is>
      </c>
      <c r="G70" s="4" t="inlineStr">
        <is>
          <t>김효철</t>
        </is>
      </c>
      <c r="H70" s="4" t="inlineStr">
        <is>
          <t>특별관계자</t>
        </is>
      </c>
      <c r="I70" s="4" t="inlineStr">
        <is>
          <t>장내매도(-)</t>
        </is>
      </c>
      <c r="J70" s="13" t="n">
        <v>-20000</v>
      </c>
      <c r="K70" s="7" t="n">
        <v>32850</v>
      </c>
      <c r="L70" s="13" t="n">
        <v>-657000000</v>
      </c>
      <c r="M70" s="7" t="n">
        <v>6671320</v>
      </c>
      <c r="N70" s="12" t="n">
        <v>58.07</v>
      </c>
      <c r="O70" s="7" t="n">
        <v>32000</v>
      </c>
      <c r="P70" s="12" t="n">
        <v>57.28</v>
      </c>
      <c r="Q70" s="2" t="inlineStr">
        <is>
          <t>20230907000343</t>
        </is>
      </c>
      <c r="R70" s="3">
        <f>HYPERLINK("https://dart.fss.or.kr/dsaf001/main.do?rcpNo=20230907000343", "공시열람")</f>
        <v/>
      </c>
    </row>
    <row r="71">
      <c r="A71" s="2" t="inlineStr">
        <is>
          <t>2023-09-07</t>
        </is>
      </c>
      <c r="B71" s="4" t="inlineStr">
        <is>
          <t>가온칩스</t>
        </is>
      </c>
      <c r="C71" s="2" t="inlineStr">
        <is>
          <t>399720</t>
        </is>
      </c>
      <c r="D71" s="2" t="inlineStr">
        <is>
          <t>대량보유</t>
        </is>
      </c>
      <c r="E71" s="2" t="inlineStr">
        <is>
          <t>2023-03-22</t>
        </is>
      </c>
      <c r="F71" s="2" t="inlineStr">
        <is>
          <t>2023-03-22</t>
        </is>
      </c>
      <c r="G71" s="4" t="inlineStr">
        <is>
          <t>이은희</t>
        </is>
      </c>
      <c r="H71" s="4" t="inlineStr">
        <is>
          <t>특별관계자</t>
        </is>
      </c>
      <c r="I71" s="4" t="inlineStr">
        <is>
          <t>장내매도(-)</t>
        </is>
      </c>
      <c r="J71" s="13" t="n">
        <v>-9500</v>
      </c>
      <c r="K71" s="7" t="n">
        <v>32942</v>
      </c>
      <c r="L71" s="13" t="n">
        <v>-312949000</v>
      </c>
      <c r="M71" s="7" t="n">
        <v>6671320</v>
      </c>
      <c r="N71" s="12" t="n">
        <v>58.07</v>
      </c>
      <c r="O71" s="7" t="n">
        <v>11500</v>
      </c>
      <c r="P71" s="12" t="n">
        <v>57.28</v>
      </c>
      <c r="Q71" s="2" t="inlineStr">
        <is>
          <t>20230907000343</t>
        </is>
      </c>
      <c r="R71" s="3">
        <f>HYPERLINK("https://dart.fss.or.kr/dsaf001/main.do?rcpNo=20230907000343", "공시열람")</f>
        <v/>
      </c>
    </row>
    <row r="72">
      <c r="A72" s="2" t="inlineStr">
        <is>
          <t>2023-09-07</t>
        </is>
      </c>
      <c r="B72" s="4" t="inlineStr">
        <is>
          <t>가온칩스</t>
        </is>
      </c>
      <c r="C72" s="2" t="inlineStr">
        <is>
          <t>399720</t>
        </is>
      </c>
      <c r="D72" s="2" t="inlineStr">
        <is>
          <t>대량보유</t>
        </is>
      </c>
      <c r="E72" s="2" t="inlineStr">
        <is>
          <t>2022-08-16</t>
        </is>
      </c>
      <c r="F72" s="2" t="inlineStr">
        <is>
          <t>2022-08-16</t>
        </is>
      </c>
      <c r="G72" s="4" t="inlineStr">
        <is>
          <t>윤형석</t>
        </is>
      </c>
      <c r="H72" s="4" t="inlineStr">
        <is>
          <t>특별관계자</t>
        </is>
      </c>
      <c r="I72" s="4" t="inlineStr">
        <is>
          <t>장내매수(+)</t>
        </is>
      </c>
      <c r="J72" s="14" t="n">
        <v>11</v>
      </c>
      <c r="K72" s="7" t="n">
        <v>26600</v>
      </c>
      <c r="L72" s="14" t="n">
        <v>292600</v>
      </c>
      <c r="M72" s="7" t="n">
        <v>6671320</v>
      </c>
      <c r="N72" s="12" t="n">
        <v>58.07</v>
      </c>
      <c r="O72" s="7" t="n">
        <v>167611</v>
      </c>
      <c r="P72" s="12" t="n">
        <v>57.28</v>
      </c>
      <c r="Q72" s="2" t="inlineStr">
        <is>
          <t>20230907000343</t>
        </is>
      </c>
      <c r="R72" s="3">
        <f>HYPERLINK("https://dart.fss.or.kr/dsaf001/main.do?rcpNo=20230907000343", "공시열람")</f>
        <v/>
      </c>
    </row>
    <row r="73">
      <c r="A73" s="2" t="inlineStr">
        <is>
          <t>2023-09-07</t>
        </is>
      </c>
      <c r="B73" s="4" t="inlineStr">
        <is>
          <t>가온칩스</t>
        </is>
      </c>
      <c r="C73" s="2" t="inlineStr">
        <is>
          <t>399720</t>
        </is>
      </c>
      <c r="D73" s="2" t="inlineStr">
        <is>
          <t>대량보유</t>
        </is>
      </c>
      <c r="E73" s="2" t="inlineStr">
        <is>
          <t>2023-03-21</t>
        </is>
      </c>
      <c r="F73" s="2" t="inlineStr">
        <is>
          <t>2023-03-22</t>
        </is>
      </c>
      <c r="G73" s="4" t="inlineStr">
        <is>
          <t>위지호</t>
        </is>
      </c>
      <c r="H73" s="4" t="inlineStr">
        <is>
          <t>특별관계자</t>
        </is>
      </c>
      <c r="I73" s="4" t="inlineStr">
        <is>
          <t>장내매도(-)</t>
        </is>
      </c>
      <c r="J73" s="13" t="n">
        <v>-7700</v>
      </c>
      <c r="K73" s="7" t="n">
        <v>30410</v>
      </c>
      <c r="L73" s="13" t="n">
        <v>-234157000</v>
      </c>
      <c r="M73" s="7" t="n">
        <v>6671320</v>
      </c>
      <c r="N73" s="12" t="n">
        <v>58.07</v>
      </c>
      <c r="O73" s="7" t="n">
        <v>4000</v>
      </c>
      <c r="P73" s="12" t="n">
        <v>57.28</v>
      </c>
      <c r="Q73" s="2" t="inlineStr">
        <is>
          <t>20230907000343</t>
        </is>
      </c>
      <c r="R73" s="3">
        <f>HYPERLINK("https://dart.fss.or.kr/dsaf001/main.do?rcpNo=20230907000343", "공시열람")</f>
        <v/>
      </c>
    </row>
    <row r="74">
      <c r="A74" s="2" t="inlineStr">
        <is>
          <t>2023-09-07</t>
        </is>
      </c>
      <c r="B74" s="4" t="inlineStr">
        <is>
          <t>가온칩스</t>
        </is>
      </c>
      <c r="C74" s="2" t="inlineStr">
        <is>
          <t>399720</t>
        </is>
      </c>
      <c r="D74" s="2" t="inlineStr">
        <is>
          <t>대량보유</t>
        </is>
      </c>
      <c r="E74" s="2" t="inlineStr">
        <is>
          <t>2023-03-31</t>
        </is>
      </c>
      <c r="F74" s="2" t="inlineStr">
        <is>
          <t>2023-03-31</t>
        </is>
      </c>
      <c r="G74" s="4" t="inlineStr">
        <is>
          <t>감태오</t>
        </is>
      </c>
      <c r="H74" s="4" t="inlineStr">
        <is>
          <t>특별관계자</t>
        </is>
      </c>
      <c r="I74" s="4" t="inlineStr">
        <is>
          <t>주식매수선택권부여취소(-)</t>
        </is>
      </c>
      <c r="J74" s="13" t="n">
        <v>-5000</v>
      </c>
      <c r="K74" s="7" t="n">
        <v>33050</v>
      </c>
      <c r="L74" s="13" t="n">
        <v>-165250000</v>
      </c>
      <c r="M74" s="7" t="n">
        <v>6671320</v>
      </c>
      <c r="N74" s="12" t="n">
        <v>58.07</v>
      </c>
      <c r="O74" s="7" t="inlineStr"/>
      <c r="P74" s="12" t="n">
        <v>57.28</v>
      </c>
      <c r="Q74" s="2" t="inlineStr">
        <is>
          <t>20230907000343</t>
        </is>
      </c>
      <c r="R74" s="3">
        <f>HYPERLINK("https://dart.fss.or.kr/dsaf001/main.do?rcpNo=20230907000343", "공시열람")</f>
        <v/>
      </c>
    </row>
    <row r="75">
      <c r="A75" s="2" t="inlineStr">
        <is>
          <t>2023-09-07</t>
        </is>
      </c>
      <c r="B75" s="4" t="inlineStr">
        <is>
          <t>가온칩스</t>
        </is>
      </c>
      <c r="C75" s="2" t="inlineStr">
        <is>
          <t>399720</t>
        </is>
      </c>
      <c r="D75" s="2" t="inlineStr">
        <is>
          <t>대량보유</t>
        </is>
      </c>
      <c r="E75" s="2" t="inlineStr">
        <is>
          <t>2023-03-31</t>
        </is>
      </c>
      <c r="F75" s="2" t="inlineStr">
        <is>
          <t>2023-03-31</t>
        </is>
      </c>
      <c r="G75" s="4" t="inlineStr">
        <is>
          <t>감태오</t>
        </is>
      </c>
      <c r="H75" s="4" t="inlineStr">
        <is>
          <t>특별관계자</t>
        </is>
      </c>
      <c r="I75" s="4" t="inlineStr">
        <is>
          <t>임원퇴임(-)</t>
        </is>
      </c>
      <c r="J75" s="13" t="n">
        <v>-22000</v>
      </c>
      <c r="K75" s="7" t="n">
        <v>33050</v>
      </c>
      <c r="L75" s="13" t="n">
        <v>-727100000</v>
      </c>
      <c r="M75" s="7" t="n">
        <v>6671320</v>
      </c>
      <c r="N75" s="12" t="n">
        <v>58.07</v>
      </c>
      <c r="O75" s="7" t="inlineStr"/>
      <c r="P75" s="12" t="n">
        <v>57.28</v>
      </c>
      <c r="Q75" s="2" t="inlineStr">
        <is>
          <t>20230907000343</t>
        </is>
      </c>
      <c r="R75" s="3">
        <f>HYPERLINK("https://dart.fss.or.kr/dsaf001/main.do?rcpNo=20230907000343", "공시열람")</f>
        <v/>
      </c>
    </row>
    <row r="76">
      <c r="A76" s="2" t="inlineStr">
        <is>
          <t>2023-09-07</t>
        </is>
      </c>
      <c r="B76" s="4" t="inlineStr">
        <is>
          <t>가온칩스</t>
        </is>
      </c>
      <c r="C76" s="2" t="inlineStr">
        <is>
          <t>399720</t>
        </is>
      </c>
      <c r="D76" s="2" t="inlineStr">
        <is>
          <t>대량보유</t>
        </is>
      </c>
      <c r="E76" s="2" t="inlineStr">
        <is>
          <t>2023-07-17</t>
        </is>
      </c>
      <c r="F76" s="2" t="inlineStr">
        <is>
          <t>2023-07-17</t>
        </is>
      </c>
      <c r="G76" s="4" t="inlineStr">
        <is>
          <t>박영근</t>
        </is>
      </c>
      <c r="H76" s="4" t="inlineStr">
        <is>
          <t>특별관계자</t>
        </is>
      </c>
      <c r="I76" s="4" t="inlineStr">
        <is>
          <t>장내매도(-)</t>
        </is>
      </c>
      <c r="J76" s="13" t="n">
        <v>-15000</v>
      </c>
      <c r="K76" s="7" t="n">
        <v>46000</v>
      </c>
      <c r="L76" s="13" t="n">
        <v>-690000000</v>
      </c>
      <c r="M76" s="7" t="n">
        <v>6671320</v>
      </c>
      <c r="N76" s="12" t="n">
        <v>58.07</v>
      </c>
      <c r="O76" s="7" t="n">
        <v>4000</v>
      </c>
      <c r="P76" s="12" t="n">
        <v>57.28</v>
      </c>
      <c r="Q76" s="2" t="inlineStr">
        <is>
          <t>20230907000343</t>
        </is>
      </c>
      <c r="R76" s="3">
        <f>HYPERLINK("https://dart.fss.or.kr/dsaf001/main.do?rcpNo=20230907000343", "공시열람")</f>
        <v/>
      </c>
    </row>
    <row r="77">
      <c r="A77" s="2" t="inlineStr">
        <is>
          <t>2023-09-07</t>
        </is>
      </c>
      <c r="B77" s="4" t="inlineStr">
        <is>
          <t>가온칩스</t>
        </is>
      </c>
      <c r="C77" s="2" t="inlineStr">
        <is>
          <t>399720</t>
        </is>
      </c>
      <c r="D77" s="2" t="inlineStr">
        <is>
          <t>대량보유</t>
        </is>
      </c>
      <c r="E77" s="2" t="inlineStr">
        <is>
          <t>2023-06-13</t>
        </is>
      </c>
      <c r="F77" s="2" t="inlineStr">
        <is>
          <t>2023-06-13</t>
        </is>
      </c>
      <c r="G77" s="4" t="inlineStr">
        <is>
          <t>김순곤</t>
        </is>
      </c>
      <c r="H77" s="4" t="inlineStr">
        <is>
          <t>특별관계자</t>
        </is>
      </c>
      <c r="I77" s="4" t="inlineStr">
        <is>
          <t>주식매수선택권부여(+)</t>
        </is>
      </c>
      <c r="J77" s="14" t="n">
        <v>19000</v>
      </c>
      <c r="K77" s="7" t="n">
        <v>30950</v>
      </c>
      <c r="L77" s="14" t="n">
        <v>588050000</v>
      </c>
      <c r="M77" s="7" t="n">
        <v>6671320</v>
      </c>
      <c r="N77" s="12" t="n">
        <v>58.07</v>
      </c>
      <c r="O77" s="7" t="n">
        <v>19000</v>
      </c>
      <c r="P77" s="12" t="n">
        <v>57.28</v>
      </c>
      <c r="Q77" s="2" t="inlineStr">
        <is>
          <t>20230907000343</t>
        </is>
      </c>
      <c r="R77" s="3">
        <f>HYPERLINK("https://dart.fss.or.kr/dsaf001/main.do?rcpNo=20230907000343", "공시열람")</f>
        <v/>
      </c>
    </row>
    <row r="78">
      <c r="A78" s="2" t="inlineStr">
        <is>
          <t>2023-09-07</t>
        </is>
      </c>
      <c r="B78" s="4" t="inlineStr">
        <is>
          <t>가온칩스</t>
        </is>
      </c>
      <c r="C78" s="2" t="inlineStr">
        <is>
          <t>399720</t>
        </is>
      </c>
      <c r="D78" s="2" t="inlineStr">
        <is>
          <t>대량보유</t>
        </is>
      </c>
      <c r="E78" s="2" t="inlineStr">
        <is>
          <t>2023-06-13</t>
        </is>
      </c>
      <c r="F78" s="2" t="inlineStr">
        <is>
          <t>2023-06-13</t>
        </is>
      </c>
      <c r="G78" s="4" t="inlineStr">
        <is>
          <t>전순현</t>
        </is>
      </c>
      <c r="H78" s="4" t="inlineStr">
        <is>
          <t>특별관계자</t>
        </is>
      </c>
      <c r="I78" s="4" t="inlineStr">
        <is>
          <t>주식매수선택권부여(+)</t>
        </is>
      </c>
      <c r="J78" s="14" t="n">
        <v>19000</v>
      </c>
      <c r="K78" s="7" t="n">
        <v>30950</v>
      </c>
      <c r="L78" s="14" t="n">
        <v>588050000</v>
      </c>
      <c r="M78" s="7" t="n">
        <v>6671320</v>
      </c>
      <c r="N78" s="12" t="n">
        <v>58.07</v>
      </c>
      <c r="O78" s="7" t="n">
        <v>19000</v>
      </c>
      <c r="P78" s="12" t="n">
        <v>57.28</v>
      </c>
      <c r="Q78" s="2" t="inlineStr">
        <is>
          <t>20230907000343</t>
        </is>
      </c>
      <c r="R78" s="3">
        <f>HYPERLINK("https://dart.fss.or.kr/dsaf001/main.do?rcpNo=20230907000343", "공시열람")</f>
        <v/>
      </c>
    </row>
    <row r="79">
      <c r="A79" s="2" t="inlineStr">
        <is>
          <t>2023-09-07</t>
        </is>
      </c>
      <c r="B79" s="4" t="inlineStr">
        <is>
          <t>가온칩스</t>
        </is>
      </c>
      <c r="C79" s="2" t="inlineStr">
        <is>
          <t>399720</t>
        </is>
      </c>
      <c r="D79" s="2" t="inlineStr">
        <is>
          <t>대량보유</t>
        </is>
      </c>
      <c r="E79" s="2" t="inlineStr">
        <is>
          <t>2023-07-07</t>
        </is>
      </c>
      <c r="F79" s="2" t="inlineStr">
        <is>
          <t>2023-07-14</t>
        </is>
      </c>
      <c r="G79" s="4" t="inlineStr">
        <is>
          <t>윤형석</t>
        </is>
      </c>
      <c r="H79" s="4" t="inlineStr">
        <is>
          <t>특별관계자</t>
        </is>
      </c>
      <c r="I79" s="4" t="inlineStr">
        <is>
          <t>장내매도(-)</t>
        </is>
      </c>
      <c r="J79" s="13" t="n">
        <v>-39600</v>
      </c>
      <c r="K79" s="7" t="n">
        <v>40643</v>
      </c>
      <c r="L79" s="13" t="n">
        <v>-1609462800</v>
      </c>
      <c r="M79" s="7" t="n">
        <v>6671320</v>
      </c>
      <c r="N79" s="12" t="n">
        <v>58.07</v>
      </c>
      <c r="O79" s="7" t="n">
        <v>128011</v>
      </c>
      <c r="P79" s="12" t="n">
        <v>57.28</v>
      </c>
      <c r="Q79" s="2" t="inlineStr">
        <is>
          <t>20230907000343</t>
        </is>
      </c>
      <c r="R79" s="3">
        <f>HYPERLINK("https://dart.fss.or.kr/dsaf001/main.do?rcpNo=20230907000343", "공시열람")</f>
        <v/>
      </c>
    </row>
    <row r="80">
      <c r="A80" s="2" t="inlineStr">
        <is>
          <t>2023-09-07</t>
        </is>
      </c>
      <c r="B80" s="4" t="inlineStr">
        <is>
          <t>가온칩스</t>
        </is>
      </c>
      <c r="C80" s="2" t="inlineStr">
        <is>
          <t>399720</t>
        </is>
      </c>
      <c r="D80" s="2" t="inlineStr">
        <is>
          <t>대량보유</t>
        </is>
      </c>
      <c r="E80" s="2" t="inlineStr">
        <is>
          <t>2023-07-14</t>
        </is>
      </c>
      <c r="F80" s="2" t="inlineStr">
        <is>
          <t>2023-07-14</t>
        </is>
      </c>
      <c r="G80" s="4" t="inlineStr">
        <is>
          <t>최진열</t>
        </is>
      </c>
      <c r="H80" s="4" t="inlineStr">
        <is>
          <t>특별관계자</t>
        </is>
      </c>
      <c r="I80" s="4" t="inlineStr">
        <is>
          <t>장내매도(-)</t>
        </is>
      </c>
      <c r="J80" s="13" t="n">
        <v>-10000</v>
      </c>
      <c r="K80" s="7" t="n">
        <v>36946</v>
      </c>
      <c r="L80" s="13" t="n">
        <v>-369460000</v>
      </c>
      <c r="M80" s="7" t="n">
        <v>6671320</v>
      </c>
      <c r="N80" s="12" t="n">
        <v>58.07</v>
      </c>
      <c r="O80" s="7" t="n">
        <v>30000</v>
      </c>
      <c r="P80" s="12" t="n">
        <v>57.28</v>
      </c>
      <c r="Q80" s="2" t="inlineStr">
        <is>
          <t>20230907000343</t>
        </is>
      </c>
      <c r="R80" s="3">
        <f>HYPERLINK("https://dart.fss.or.kr/dsaf001/main.do?rcpNo=20230907000343", "공시열람")</f>
        <v/>
      </c>
    </row>
    <row r="81">
      <c r="A81" s="2" t="inlineStr">
        <is>
          <t>2023-07-21</t>
        </is>
      </c>
      <c r="B81" s="4" t="inlineStr">
        <is>
          <t>가온칩스</t>
        </is>
      </c>
      <c r="C81" s="2" t="inlineStr">
        <is>
          <t>399720</t>
        </is>
      </c>
      <c r="D81" s="2" t="inlineStr">
        <is>
          <t>임원보고</t>
        </is>
      </c>
      <c r="E81" s="2" t="inlineStr">
        <is>
          <t>2023-07-19</t>
        </is>
      </c>
      <c r="F81" s="2" t="inlineStr">
        <is>
          <t>2023-07-19</t>
        </is>
      </c>
      <c r="G81" s="4" t="inlineStr">
        <is>
          <t>박영근</t>
        </is>
      </c>
      <c r="H81" s="4" t="inlineStr">
        <is>
          <t>비등기임원 이사</t>
        </is>
      </c>
      <c r="I81" s="4" t="inlineStr">
        <is>
          <t>장내매도(-)</t>
        </is>
      </c>
      <c r="J81" s="13" t="n">
        <v>-15000</v>
      </c>
      <c r="K81" s="7" t="n">
        <v>46000</v>
      </c>
      <c r="L81" s="13" t="n">
        <v>-690000000</v>
      </c>
      <c r="M81" s="7" t="inlineStr"/>
      <c r="N81" s="15" t="inlineStr"/>
      <c r="O81" s="7" t="inlineStr"/>
      <c r="P81" s="15" t="inlineStr"/>
      <c r="Q81" s="2" t="inlineStr">
        <is>
          <t>20230721000428</t>
        </is>
      </c>
      <c r="R81" s="3">
        <f>HYPERLINK("https://dart.fss.or.kr/dsaf001/main.do?rcpNo=20230721000428", "공시열람")</f>
        <v/>
      </c>
    </row>
    <row r="82">
      <c r="A82" s="2" t="inlineStr">
        <is>
          <t>2023-03-28</t>
        </is>
      </c>
      <c r="B82" s="4" t="inlineStr">
        <is>
          <t>가온칩스</t>
        </is>
      </c>
      <c r="C82" s="2" t="inlineStr">
        <is>
          <t>399720</t>
        </is>
      </c>
      <c r="D82" s="2" t="inlineStr">
        <is>
          <t>임원보고</t>
        </is>
      </c>
      <c r="E82" s="2" t="inlineStr">
        <is>
          <t>2022-12-08</t>
        </is>
      </c>
      <c r="F82" s="2" t="inlineStr">
        <is>
          <t>2022-12-08</t>
        </is>
      </c>
      <c r="G82" s="4" t="inlineStr">
        <is>
          <t>이은희</t>
        </is>
      </c>
      <c r="H82" s="4" t="inlineStr">
        <is>
          <t>비등기임원 이사</t>
        </is>
      </c>
      <c r="I82" s="4" t="inlineStr">
        <is>
          <t>장내매도(-)</t>
        </is>
      </c>
      <c r="J82" s="13" t="n">
        <v>-9500</v>
      </c>
      <c r="K82" s="7" t="n">
        <v>32942</v>
      </c>
      <c r="L82" s="13" t="n">
        <v>-312949000</v>
      </c>
      <c r="M82" s="7" t="inlineStr"/>
      <c r="N82" s="15" t="inlineStr"/>
      <c r="O82" s="7" t="n">
        <v>10500</v>
      </c>
      <c r="P82" s="12" t="n">
        <v>0.09</v>
      </c>
      <c r="Q82" s="2" t="inlineStr">
        <is>
          <t>20230328001085</t>
        </is>
      </c>
      <c r="R82" s="3">
        <f>HYPERLINK("https://dart.fss.or.kr/dsaf001/main.do?rcpNo=20230328001085", "공시열람")</f>
        <v/>
      </c>
    </row>
    <row r="83">
      <c r="A83" s="2" t="inlineStr">
        <is>
          <t>2023-03-28</t>
        </is>
      </c>
      <c r="B83" s="4" t="inlineStr">
        <is>
          <t>가온칩스</t>
        </is>
      </c>
      <c r="C83" s="2" t="inlineStr">
        <is>
          <t>399720</t>
        </is>
      </c>
      <c r="D83" s="2" t="inlineStr">
        <is>
          <t>임원보고</t>
        </is>
      </c>
      <c r="E83" s="2" t="inlineStr">
        <is>
          <t>2023-03-22</t>
        </is>
      </c>
      <c r="F83" s="2" t="inlineStr">
        <is>
          <t>2023-03-22</t>
        </is>
      </c>
      <c r="G83" s="4" t="inlineStr">
        <is>
          <t>김효철</t>
        </is>
      </c>
      <c r="H83" s="4" t="inlineStr">
        <is>
          <t>비등기임원 상무</t>
        </is>
      </c>
      <c r="I83" s="4" t="inlineStr">
        <is>
          <t>장내매도(-)</t>
        </is>
      </c>
      <c r="J83" s="13" t="n">
        <v>-20000</v>
      </c>
      <c r="K83" s="7" t="n">
        <v>32850</v>
      </c>
      <c r="L83" s="13" t="n">
        <v>-657000000</v>
      </c>
      <c r="M83" s="7" t="inlineStr"/>
      <c r="N83" s="15" t="inlineStr"/>
      <c r="O83" s="7" t="n">
        <v>30000</v>
      </c>
      <c r="P83" s="12" t="n">
        <v>0.26</v>
      </c>
      <c r="Q83" s="2" t="inlineStr">
        <is>
          <t>20230328001086</t>
        </is>
      </c>
      <c r="R83" s="3">
        <f>HYPERLINK("https://dart.fss.or.kr/dsaf001/main.do?rcpNo=20230328001086", "공시열람")</f>
        <v/>
      </c>
    </row>
    <row r="84">
      <c r="A84" s="2" t="inlineStr">
        <is>
          <t>2023-03-28</t>
        </is>
      </c>
      <c r="B84" s="4" t="inlineStr">
        <is>
          <t>가온칩스</t>
        </is>
      </c>
      <c r="C84" s="2" t="inlineStr">
        <is>
          <t>399720</t>
        </is>
      </c>
      <c r="D84" s="2" t="inlineStr">
        <is>
          <t>임원보고</t>
        </is>
      </c>
      <c r="E84" s="2" t="inlineStr">
        <is>
          <t>2023-03-21</t>
        </is>
      </c>
      <c r="F84" s="2" t="inlineStr">
        <is>
          <t>2023-03-22</t>
        </is>
      </c>
      <c r="G84" s="4" t="inlineStr">
        <is>
          <t>위지호</t>
        </is>
      </c>
      <c r="H84" s="4" t="inlineStr">
        <is>
          <t>비등기임원 이사</t>
        </is>
      </c>
      <c r="I84" s="4" t="inlineStr">
        <is>
          <t>장내매도(-)</t>
        </is>
      </c>
      <c r="J84" s="13" t="n">
        <v>-7700</v>
      </c>
      <c r="K84" s="7" t="n">
        <v>30410</v>
      </c>
      <c r="L84" s="13" t="n">
        <v>-234157000</v>
      </c>
      <c r="M84" s="7" t="inlineStr"/>
      <c r="N84" s="15" t="inlineStr"/>
      <c r="O84" s="7" t="n">
        <v>5700</v>
      </c>
      <c r="P84" s="15" t="inlineStr"/>
      <c r="Q84" s="2" t="inlineStr">
        <is>
          <t>20230328001081</t>
        </is>
      </c>
      <c r="R84" s="3">
        <f>HYPERLINK("https://dart.fss.or.kr/dsaf001/main.do?rcpNo=20230328001081", "공시열람")</f>
        <v/>
      </c>
    </row>
    <row r="85">
      <c r="A85" s="2" t="inlineStr">
        <is>
          <t>2023-02-21</t>
        </is>
      </c>
      <c r="B85" s="4" t="inlineStr">
        <is>
          <t>가온칩스</t>
        </is>
      </c>
      <c r="C85" s="2" t="inlineStr">
        <is>
          <t>399720</t>
        </is>
      </c>
      <c r="D85" s="2" t="inlineStr">
        <is>
          <t>대량보유</t>
        </is>
      </c>
      <c r="E85" s="2" t="inlineStr">
        <is>
          <t>2023-01-02</t>
        </is>
      </c>
      <c r="F85" s="2" t="inlineStr">
        <is>
          <t>2023-01-02</t>
        </is>
      </c>
      <c r="G85" s="4" t="inlineStr">
        <is>
          <t>박영근</t>
        </is>
      </c>
      <c r="H85" s="4" t="inlineStr">
        <is>
          <t>특별관계자</t>
        </is>
      </c>
      <c r="I85" s="4" t="inlineStr">
        <is>
          <t>신규상장(무상취득)(+)</t>
        </is>
      </c>
      <c r="J85" s="14" t="n">
        <v>15000</v>
      </c>
      <c r="K85" s="7" t="n">
        <v>13500</v>
      </c>
      <c r="L85" s="14" t="n">
        <v>202500000</v>
      </c>
      <c r="M85" s="7" t="n">
        <v>6801120</v>
      </c>
      <c r="N85" s="12" t="n">
        <v>59.2</v>
      </c>
      <c r="O85" s="7" t="n">
        <v>15000</v>
      </c>
      <c r="P85" s="12" t="n">
        <v>58.07</v>
      </c>
      <c r="Q85" s="2" t="inlineStr">
        <is>
          <t>20230221002331</t>
        </is>
      </c>
      <c r="R85" s="3">
        <f>HYPERLINK("https://dart.fss.or.kr/dsaf001/main.do?rcpNo=20230221002331", "공시열람")</f>
        <v/>
      </c>
    </row>
    <row r="86">
      <c r="A86" s="2" t="inlineStr">
        <is>
          <t>2023-02-21</t>
        </is>
      </c>
      <c r="B86" s="4" t="inlineStr">
        <is>
          <t>가온칩스</t>
        </is>
      </c>
      <c r="C86" s="2" t="inlineStr">
        <is>
          <t>399720</t>
        </is>
      </c>
      <c r="D86" s="2" t="inlineStr">
        <is>
          <t>대량보유</t>
        </is>
      </c>
      <c r="E86" s="2" t="inlineStr">
        <is>
          <t>2023-01-02</t>
        </is>
      </c>
      <c r="F86" s="2" t="inlineStr">
        <is>
          <t>2023-01-02</t>
        </is>
      </c>
      <c r="G86" s="4" t="inlineStr">
        <is>
          <t>박영근</t>
        </is>
      </c>
      <c r="H86" s="4" t="inlineStr">
        <is>
          <t>특별관계자</t>
        </is>
      </c>
      <c r="I86" s="4" t="inlineStr">
        <is>
          <t>주식매수선택권부여(+)</t>
        </is>
      </c>
      <c r="J86" s="14" t="n">
        <v>4000</v>
      </c>
      <c r="K86" s="7" t="n">
        <v>13500</v>
      </c>
      <c r="L86" s="14" t="n">
        <v>54000000</v>
      </c>
      <c r="M86" s="7" t="n">
        <v>6801120</v>
      </c>
      <c r="N86" s="12" t="n">
        <v>59.2</v>
      </c>
      <c r="O86" s="7" t="n">
        <v>4000</v>
      </c>
      <c r="P86" s="12" t="n">
        <v>58.07</v>
      </c>
      <c r="Q86" s="2" t="inlineStr">
        <is>
          <t>20230221002331</t>
        </is>
      </c>
      <c r="R86" s="3">
        <f>HYPERLINK("https://dart.fss.or.kr/dsaf001/main.do?rcpNo=20230221002331", "공시열람")</f>
        <v/>
      </c>
    </row>
    <row r="87">
      <c r="A87" s="2" t="inlineStr">
        <is>
          <t>2023-02-21</t>
        </is>
      </c>
      <c r="B87" s="4" t="inlineStr">
        <is>
          <t>가온칩스</t>
        </is>
      </c>
      <c r="C87" s="2" t="inlineStr">
        <is>
          <t>399720</t>
        </is>
      </c>
      <c r="D87" s="2" t="inlineStr">
        <is>
          <t>대량보유</t>
        </is>
      </c>
      <c r="E87" s="2" t="inlineStr">
        <is>
          <t>2023-02-02</t>
        </is>
      </c>
      <c r="F87" s="2" t="inlineStr">
        <is>
          <t>2023-02-09</t>
        </is>
      </c>
      <c r="G87" s="4" t="inlineStr">
        <is>
          <t>박대남</t>
        </is>
      </c>
      <c r="H87" s="4" t="inlineStr">
        <is>
          <t>특별관계자</t>
        </is>
      </c>
      <c r="I87" s="4" t="inlineStr">
        <is>
          <t>장내매도(-)</t>
        </is>
      </c>
      <c r="J87" s="13" t="n">
        <v>-70000</v>
      </c>
      <c r="K87" s="7" t="n">
        <v>21860</v>
      </c>
      <c r="L87" s="13" t="n">
        <v>-1530200000</v>
      </c>
      <c r="M87" s="7" t="n">
        <v>6801120</v>
      </c>
      <c r="N87" s="12" t="n">
        <v>59.2</v>
      </c>
      <c r="O87" s="7" t="n">
        <v>255600</v>
      </c>
      <c r="P87" s="12" t="n">
        <v>58.07</v>
      </c>
      <c r="Q87" s="2" t="inlineStr">
        <is>
          <t>20230221002331</t>
        </is>
      </c>
      <c r="R87" s="3">
        <f>HYPERLINK("https://dart.fss.or.kr/dsaf001/main.do?rcpNo=20230221002331", "공시열람")</f>
        <v/>
      </c>
    </row>
    <row r="88">
      <c r="A88" s="2" t="inlineStr">
        <is>
          <t>2023-02-21</t>
        </is>
      </c>
      <c r="B88" s="4" t="inlineStr">
        <is>
          <t>가온칩스</t>
        </is>
      </c>
      <c r="C88" s="2" t="inlineStr">
        <is>
          <t>399720</t>
        </is>
      </c>
      <c r="D88" s="2" t="inlineStr">
        <is>
          <t>대량보유</t>
        </is>
      </c>
      <c r="E88" s="2" t="inlineStr">
        <is>
          <t>2023-02-01</t>
        </is>
      </c>
      <c r="F88" s="2" t="inlineStr">
        <is>
          <t>2023-02-01</t>
        </is>
      </c>
      <c r="G88" s="4" t="inlineStr">
        <is>
          <t>박대남</t>
        </is>
      </c>
      <c r="H88" s="4" t="inlineStr">
        <is>
          <t>특별관계자</t>
        </is>
      </c>
      <c r="I88" s="4" t="inlineStr">
        <is>
          <t>증여(-)</t>
        </is>
      </c>
      <c r="J88" s="13" t="n">
        <v>-26400</v>
      </c>
      <c r="K88" s="7" t="n">
        <v>19410</v>
      </c>
      <c r="L88" s="13" t="n">
        <v>-512424000</v>
      </c>
      <c r="M88" s="7" t="n">
        <v>6801120</v>
      </c>
      <c r="N88" s="12" t="n">
        <v>59.2</v>
      </c>
      <c r="O88" s="7" t="n">
        <v>325600</v>
      </c>
      <c r="P88" s="12" t="n">
        <v>58.07</v>
      </c>
      <c r="Q88" s="2" t="inlineStr">
        <is>
          <t>20230221002331</t>
        </is>
      </c>
      <c r="R88" s="3">
        <f>HYPERLINK("https://dart.fss.or.kr/dsaf001/main.do?rcpNo=20230221002331", "공시열람")</f>
        <v/>
      </c>
    </row>
    <row r="89">
      <c r="A89" s="2" t="inlineStr">
        <is>
          <t>2023-02-21</t>
        </is>
      </c>
      <c r="B89" s="4" t="inlineStr">
        <is>
          <t>가온칩스</t>
        </is>
      </c>
      <c r="C89" s="2" t="inlineStr">
        <is>
          <t>399720</t>
        </is>
      </c>
      <c r="D89" s="2" t="inlineStr">
        <is>
          <t>대량보유</t>
        </is>
      </c>
      <c r="E89" s="2" t="inlineStr">
        <is>
          <t>2023-02-10</t>
        </is>
      </c>
      <c r="F89" s="2" t="inlineStr">
        <is>
          <t>2023-02-10</t>
        </is>
      </c>
      <c r="G89" s="4" t="inlineStr">
        <is>
          <t>윤형석</t>
        </is>
      </c>
      <c r="H89" s="4" t="inlineStr">
        <is>
          <t>특별관계자</t>
        </is>
      </c>
      <c r="I89" s="4" t="inlineStr">
        <is>
          <t>증여(-)</t>
        </is>
      </c>
      <c r="J89" s="13" t="n">
        <v>-22000</v>
      </c>
      <c r="K89" s="7" t="n">
        <v>23100</v>
      </c>
      <c r="L89" s="13" t="n">
        <v>-508200000</v>
      </c>
      <c r="M89" s="7" t="n">
        <v>6801120</v>
      </c>
      <c r="N89" s="12" t="n">
        <v>59.2</v>
      </c>
      <c r="O89" s="7" t="n">
        <v>167600</v>
      </c>
      <c r="P89" s="12" t="n">
        <v>58.07</v>
      </c>
      <c r="Q89" s="2" t="inlineStr">
        <is>
          <t>20230221002331</t>
        </is>
      </c>
      <c r="R89" s="3">
        <f>HYPERLINK("https://dart.fss.or.kr/dsaf001/main.do?rcpNo=20230221002331", "공시열람")</f>
        <v/>
      </c>
    </row>
    <row r="90">
      <c r="A90" s="2" t="inlineStr">
        <is>
          <t>2023-02-21</t>
        </is>
      </c>
      <c r="B90" s="4" t="inlineStr">
        <is>
          <t>가온칩스</t>
        </is>
      </c>
      <c r="C90" s="2" t="inlineStr">
        <is>
          <t>399720</t>
        </is>
      </c>
      <c r="D90" s="2" t="inlineStr">
        <is>
          <t>대량보유</t>
        </is>
      </c>
      <c r="E90" s="2" t="inlineStr">
        <is>
          <t>2023-02-08</t>
        </is>
      </c>
      <c r="F90" s="2" t="inlineStr">
        <is>
          <t>2023-02-09</t>
        </is>
      </c>
      <c r="G90" s="4" t="inlineStr">
        <is>
          <t>윤형석</t>
        </is>
      </c>
      <c r="H90" s="4" t="inlineStr">
        <is>
          <t>특별관계자</t>
        </is>
      </c>
      <c r="I90" s="4" t="inlineStr">
        <is>
          <t>장내매도(-)</t>
        </is>
      </c>
      <c r="J90" s="13" t="n">
        <v>-8400</v>
      </c>
      <c r="K90" s="7" t="n">
        <v>24654</v>
      </c>
      <c r="L90" s="13" t="n">
        <v>-207093600</v>
      </c>
      <c r="M90" s="7" t="n">
        <v>6801120</v>
      </c>
      <c r="N90" s="12" t="n">
        <v>59.2</v>
      </c>
      <c r="O90" s="7" t="n">
        <v>189600</v>
      </c>
      <c r="P90" s="12" t="n">
        <v>58.07</v>
      </c>
      <c r="Q90" s="2" t="inlineStr">
        <is>
          <t>20230221002331</t>
        </is>
      </c>
      <c r="R90" s="3">
        <f>HYPERLINK("https://dart.fss.or.kr/dsaf001/main.do?rcpNo=20230221002331", "공시열람")</f>
        <v/>
      </c>
    </row>
    <row r="91">
      <c r="A91" s="2" t="inlineStr">
        <is>
          <t>2023-02-21</t>
        </is>
      </c>
      <c r="B91" s="4" t="inlineStr">
        <is>
          <t>가온칩스</t>
        </is>
      </c>
      <c r="C91" s="2" t="inlineStr">
        <is>
          <t>399720</t>
        </is>
      </c>
      <c r="D91" s="2" t="inlineStr">
        <is>
          <t>대량보유</t>
        </is>
      </c>
      <c r="E91" s="2" t="inlineStr">
        <is>
          <t>2023-02-14</t>
        </is>
      </c>
      <c r="F91" s="2" t="inlineStr">
        <is>
          <t>2023-02-17</t>
        </is>
      </c>
      <c r="G91" s="4" t="inlineStr">
        <is>
          <t>서정욱</t>
        </is>
      </c>
      <c r="H91" s="4" t="inlineStr">
        <is>
          <t>특별관계자</t>
        </is>
      </c>
      <c r="I91" s="4" t="inlineStr">
        <is>
          <t>장내매도(-)</t>
        </is>
      </c>
      <c r="J91" s="13" t="n">
        <v>-22000</v>
      </c>
      <c r="K91" s="7" t="n">
        <v>24268</v>
      </c>
      <c r="L91" s="13" t="n">
        <v>-533896000</v>
      </c>
      <c r="M91" s="7" t="n">
        <v>6801120</v>
      </c>
      <c r="N91" s="12" t="n">
        <v>59.2</v>
      </c>
      <c r="O91" s="7" t="n">
        <v>2000</v>
      </c>
      <c r="P91" s="12" t="n">
        <v>58.07</v>
      </c>
      <c r="Q91" s="2" t="inlineStr">
        <is>
          <t>20230221002331</t>
        </is>
      </c>
      <c r="R91" s="3">
        <f>HYPERLINK("https://dart.fss.or.kr/dsaf001/main.do?rcpNo=20230221002331", "공시열람")</f>
        <v/>
      </c>
    </row>
    <row r="92">
      <c r="A92" s="2" t="inlineStr">
        <is>
          <t>2023-02-15</t>
        </is>
      </c>
      <c r="B92" s="4" t="inlineStr">
        <is>
          <t>가온칩스</t>
        </is>
      </c>
      <c r="C92" s="2" t="inlineStr">
        <is>
          <t>399720</t>
        </is>
      </c>
      <c r="D92" s="2" t="inlineStr">
        <is>
          <t>임원보고</t>
        </is>
      </c>
      <c r="E92" s="2" t="inlineStr">
        <is>
          <t>2023-02-09</t>
        </is>
      </c>
      <c r="F92" s="2" t="inlineStr">
        <is>
          <t>2023-02-09</t>
        </is>
      </c>
      <c r="G92" s="4" t="inlineStr">
        <is>
          <t>박대남</t>
        </is>
      </c>
      <c r="H92" s="4" t="inlineStr">
        <is>
          <t>비등기임원 상무</t>
        </is>
      </c>
      <c r="I92" s="4" t="inlineStr">
        <is>
          <t>장내매도(-)</t>
        </is>
      </c>
      <c r="J92" s="13" t="n">
        <v>-20000</v>
      </c>
      <c r="K92" s="7" t="n">
        <v>25075</v>
      </c>
      <c r="L92" s="13" t="n">
        <v>-501500000</v>
      </c>
      <c r="M92" s="7" t="inlineStr"/>
      <c r="N92" s="15" t="inlineStr"/>
      <c r="O92" s="7" t="n">
        <v>255600</v>
      </c>
      <c r="P92" s="12" t="n">
        <v>2.22</v>
      </c>
      <c r="Q92" s="2" t="inlineStr">
        <is>
          <t>20230215001268</t>
        </is>
      </c>
      <c r="R92" s="3">
        <f>HYPERLINK("https://dart.fss.or.kr/dsaf001/main.do?rcpNo=20230215001268", "공시열람")</f>
        <v/>
      </c>
    </row>
    <row r="93">
      <c r="A93" s="2" t="inlineStr">
        <is>
          <t>2023-02-08</t>
        </is>
      </c>
      <c r="B93" s="4" t="inlineStr">
        <is>
          <t>가온칩스</t>
        </is>
      </c>
      <c r="C93" s="2" t="inlineStr">
        <is>
          <t>399720</t>
        </is>
      </c>
      <c r="D93" s="2" t="inlineStr">
        <is>
          <t>임원보고</t>
        </is>
      </c>
      <c r="E93" s="2" t="inlineStr">
        <is>
          <t>2023-02-02</t>
        </is>
      </c>
      <c r="F93" s="2" t="inlineStr">
        <is>
          <t>2023-02-03</t>
        </is>
      </c>
      <c r="G93" s="4" t="inlineStr">
        <is>
          <t>박대남</t>
        </is>
      </c>
      <c r="H93" s="4" t="inlineStr">
        <is>
          <t>비등기임원 상무</t>
        </is>
      </c>
      <c r="I93" s="4" t="inlineStr">
        <is>
          <t>장내매도(-)</t>
        </is>
      </c>
      <c r="J93" s="13" t="n">
        <v>-50000</v>
      </c>
      <c r="K93" s="7" t="n">
        <v>20574</v>
      </c>
      <c r="L93" s="13" t="n">
        <v>-1028700000</v>
      </c>
      <c r="M93" s="7" t="inlineStr"/>
      <c r="N93" s="15" t="inlineStr"/>
      <c r="O93" s="7" t="n">
        <v>275600</v>
      </c>
      <c r="P93" s="12" t="n">
        <v>2.4</v>
      </c>
      <c r="Q93" s="2" t="inlineStr">
        <is>
          <t>20230208000558</t>
        </is>
      </c>
      <c r="R93" s="3">
        <f>HYPERLINK("https://dart.fss.or.kr/dsaf001/main.do?rcpNo=20230208000558", "공시열람")</f>
        <v/>
      </c>
    </row>
    <row r="94">
      <c r="A94" s="2" t="inlineStr">
        <is>
          <t>2023-01-09</t>
        </is>
      </c>
      <c r="B94" s="4" t="inlineStr">
        <is>
          <t>가온칩스</t>
        </is>
      </c>
      <c r="C94" s="2" t="inlineStr">
        <is>
          <t>399720</t>
        </is>
      </c>
      <c r="D94" s="2" t="inlineStr">
        <is>
          <t>임원보고</t>
        </is>
      </c>
      <c r="E94" s="2" t="inlineStr">
        <is>
          <t>2023-01-02</t>
        </is>
      </c>
      <c r="F94" s="2" t="inlineStr">
        <is>
          <t>2023-01-02</t>
        </is>
      </c>
      <c r="G94" s="4" t="inlineStr">
        <is>
          <t>박영근</t>
        </is>
      </c>
      <c r="H94" s="4" t="inlineStr">
        <is>
          <t>비등기임원 이사</t>
        </is>
      </c>
      <c r="I94" s="4" t="inlineStr">
        <is>
          <t>신규선임(+)</t>
        </is>
      </c>
      <c r="J94" s="14" t="n">
        <v>15000</v>
      </c>
      <c r="K94" s="7" t="n">
        <v>13500</v>
      </c>
      <c r="L94" s="14" t="n">
        <v>202500000</v>
      </c>
      <c r="M94" s="7" t="inlineStr"/>
      <c r="N94" s="15" t="inlineStr"/>
      <c r="O94" s="7" t="n">
        <v>15000</v>
      </c>
      <c r="P94" s="12" t="n">
        <v>0.13</v>
      </c>
      <c r="Q94" s="2" t="inlineStr">
        <is>
          <t>20230109000258</t>
        </is>
      </c>
      <c r="R94" s="3">
        <f>HYPERLINK("https://dart.fss.or.kr/dsaf001/main.do?rcpNo=20230109000258", "공시열람")</f>
        <v/>
      </c>
    </row>
    <row r="95">
      <c r="A95" s="2" t="inlineStr">
        <is>
          <t>2022-12-14</t>
        </is>
      </c>
      <c r="B95" s="4" t="inlineStr">
        <is>
          <t>가온칩스</t>
        </is>
      </c>
      <c r="C95" s="2" t="inlineStr">
        <is>
          <t>399720</t>
        </is>
      </c>
      <c r="D95" s="2" t="inlineStr">
        <is>
          <t>대량보유</t>
        </is>
      </c>
      <c r="E95" s="2" t="inlineStr">
        <is>
          <t>2022-12-13</t>
        </is>
      </c>
      <c r="F95" s="2" t="inlineStr">
        <is>
          <t>2022-12-13</t>
        </is>
      </c>
      <c r="G95" s="4" t="inlineStr">
        <is>
          <t>김효철</t>
        </is>
      </c>
      <c r="H95" s="4" t="inlineStr">
        <is>
          <t>특별관계자</t>
        </is>
      </c>
      <c r="I95" s="4" t="inlineStr">
        <is>
          <t>장내매도(-)</t>
        </is>
      </c>
      <c r="J95" s="13" t="n">
        <v>-44600</v>
      </c>
      <c r="K95" s="7" t="n">
        <v>17739</v>
      </c>
      <c r="L95" s="13" t="n">
        <v>-791159400</v>
      </c>
      <c r="M95" s="7" t="n">
        <v>6927620</v>
      </c>
      <c r="N95" s="12" t="n">
        <v>60.3</v>
      </c>
      <c r="O95" s="7" t="n">
        <v>52000</v>
      </c>
      <c r="P95" s="12" t="n">
        <v>59.2</v>
      </c>
      <c r="Q95" s="2" t="inlineStr">
        <is>
          <t>20221214000386</t>
        </is>
      </c>
      <c r="R95" s="3">
        <f>HYPERLINK("https://dart.fss.or.kr/dsaf001/main.do?rcpNo=20221214000386", "공시열람")</f>
        <v/>
      </c>
    </row>
    <row r="96">
      <c r="A96" s="2" t="inlineStr">
        <is>
          <t>2022-12-14</t>
        </is>
      </c>
      <c r="B96" s="4" t="inlineStr">
        <is>
          <t>가온칩스</t>
        </is>
      </c>
      <c r="C96" s="2" t="inlineStr">
        <is>
          <t>399720</t>
        </is>
      </c>
      <c r="D96" s="2" t="inlineStr">
        <is>
          <t>대량보유</t>
        </is>
      </c>
      <c r="E96" s="2" t="inlineStr">
        <is>
          <t>2022-12-05</t>
        </is>
      </c>
      <c r="F96" s="2" t="inlineStr">
        <is>
          <t>2022-12-06</t>
        </is>
      </c>
      <c r="G96" s="4" t="inlineStr">
        <is>
          <t>최진열</t>
        </is>
      </c>
      <c r="H96" s="4" t="inlineStr">
        <is>
          <t>특별관계자</t>
        </is>
      </c>
      <c r="I96" s="4" t="inlineStr">
        <is>
          <t>장내매도(-)</t>
        </is>
      </c>
      <c r="J96" s="13" t="n">
        <v>-68900</v>
      </c>
      <c r="K96" s="7" t="n">
        <v>18935</v>
      </c>
      <c r="L96" s="13" t="n">
        <v>-1304621500</v>
      </c>
      <c r="M96" s="7" t="n">
        <v>6927620</v>
      </c>
      <c r="N96" s="12" t="n">
        <v>60.3</v>
      </c>
      <c r="O96" s="7" t="n">
        <v>40000</v>
      </c>
      <c r="P96" s="12" t="n">
        <v>59.2</v>
      </c>
      <c r="Q96" s="2" t="inlineStr">
        <is>
          <t>20221214000386</t>
        </is>
      </c>
      <c r="R96" s="3">
        <f>HYPERLINK("https://dart.fss.or.kr/dsaf001/main.do?rcpNo=20221214000386", "공시열람")</f>
        <v/>
      </c>
    </row>
    <row r="97">
      <c r="A97" s="2" t="inlineStr">
        <is>
          <t>2022-12-14</t>
        </is>
      </c>
      <c r="B97" s="4" t="inlineStr">
        <is>
          <t>가온칩스</t>
        </is>
      </c>
      <c r="C97" s="2" t="inlineStr">
        <is>
          <t>399720</t>
        </is>
      </c>
      <c r="D97" s="2" t="inlineStr">
        <is>
          <t>대량보유</t>
        </is>
      </c>
      <c r="E97" s="2" t="inlineStr">
        <is>
          <t>2022-12-06</t>
        </is>
      </c>
      <c r="F97" s="2" t="inlineStr">
        <is>
          <t>2022-12-14</t>
        </is>
      </c>
      <c r="G97" s="4" t="inlineStr">
        <is>
          <t>이은희</t>
        </is>
      </c>
      <c r="H97" s="4" t="inlineStr">
        <is>
          <t>특별관계자</t>
        </is>
      </c>
      <c r="I97" s="4" t="inlineStr">
        <is>
          <t>장내매도(-)</t>
        </is>
      </c>
      <c r="J97" s="13" t="n">
        <v>-13000</v>
      </c>
      <c r="K97" s="7" t="n">
        <v>18199</v>
      </c>
      <c r="L97" s="13" t="n">
        <v>-236587000</v>
      </c>
      <c r="M97" s="7" t="n">
        <v>6927620</v>
      </c>
      <c r="N97" s="12" t="n">
        <v>60.3</v>
      </c>
      <c r="O97" s="7" t="n">
        <v>21000</v>
      </c>
      <c r="P97" s="12" t="n">
        <v>59.2</v>
      </c>
      <c r="Q97" s="2" t="inlineStr">
        <is>
          <t>20221214000386</t>
        </is>
      </c>
      <c r="R97" s="3">
        <f>HYPERLINK("https://dart.fss.or.kr/dsaf001/main.do?rcpNo=20221214000386", "공시열람")</f>
        <v/>
      </c>
    </row>
    <row r="98">
      <c r="A98" s="2" t="inlineStr">
        <is>
          <t>2022-12-14</t>
        </is>
      </c>
      <c r="B98" s="4" t="inlineStr">
        <is>
          <t>가온칩스</t>
        </is>
      </c>
      <c r="C98" s="2" t="inlineStr">
        <is>
          <t>399720</t>
        </is>
      </c>
      <c r="D98" s="2" t="inlineStr">
        <is>
          <t>임원보고</t>
        </is>
      </c>
      <c r="E98" s="2" t="inlineStr">
        <is>
          <t>2022-12-08</t>
        </is>
      </c>
      <c r="F98" s="2" t="inlineStr">
        <is>
          <t>2022-12-14</t>
        </is>
      </c>
      <c r="G98" s="4" t="inlineStr">
        <is>
          <t>이은희</t>
        </is>
      </c>
      <c r="H98" s="4" t="inlineStr">
        <is>
          <t>비등기임원 이사</t>
        </is>
      </c>
      <c r="I98" s="4" t="inlineStr">
        <is>
          <t>장내매도(-)</t>
        </is>
      </c>
      <c r="J98" s="13" t="n">
        <v>-13000</v>
      </c>
      <c r="K98" s="7" t="n">
        <v>18199</v>
      </c>
      <c r="L98" s="13" t="n">
        <v>-236587000</v>
      </c>
      <c r="M98" s="7" t="inlineStr"/>
      <c r="N98" s="15" t="inlineStr"/>
      <c r="O98" s="7" t="n">
        <v>20000</v>
      </c>
      <c r="P98" s="12" t="n">
        <v>0.17</v>
      </c>
      <c r="Q98" s="2" t="inlineStr">
        <is>
          <t>20221214000371</t>
        </is>
      </c>
      <c r="R98" s="3">
        <f>HYPERLINK("https://dart.fss.or.kr/dsaf001/main.do?rcpNo=20221214000371", "공시열람")</f>
        <v/>
      </c>
    </row>
    <row r="99">
      <c r="A99" s="2" t="inlineStr">
        <is>
          <t>2022-12-14</t>
        </is>
      </c>
      <c r="B99" s="4" t="inlineStr">
        <is>
          <t>가온칩스</t>
        </is>
      </c>
      <c r="C99" s="2" t="inlineStr">
        <is>
          <t>399720</t>
        </is>
      </c>
      <c r="D99" s="2" t="inlineStr">
        <is>
          <t>임원보고</t>
        </is>
      </c>
      <c r="E99" s="2" t="inlineStr">
        <is>
          <t>2022-12-13</t>
        </is>
      </c>
      <c r="F99" s="2" t="inlineStr">
        <is>
          <t>2022-12-13</t>
        </is>
      </c>
      <c r="G99" s="4" t="inlineStr">
        <is>
          <t>김효철</t>
        </is>
      </c>
      <c r="H99" s="4" t="inlineStr">
        <is>
          <t>비등기임원 이사</t>
        </is>
      </c>
      <c r="I99" s="4" t="inlineStr">
        <is>
          <t>장내매도(-)</t>
        </is>
      </c>
      <c r="J99" s="13" t="n">
        <v>-44600</v>
      </c>
      <c r="K99" s="7" t="n">
        <v>17739</v>
      </c>
      <c r="L99" s="13" t="n">
        <v>-791159400</v>
      </c>
      <c r="M99" s="7" t="inlineStr"/>
      <c r="N99" s="15" t="inlineStr"/>
      <c r="O99" s="7" t="n">
        <v>50000</v>
      </c>
      <c r="P99" s="12" t="n">
        <v>0.44</v>
      </c>
      <c r="Q99" s="2" t="inlineStr">
        <is>
          <t>20221214000367</t>
        </is>
      </c>
      <c r="R99" s="3">
        <f>HYPERLINK("https://dart.fss.or.kr/dsaf001/main.do?rcpNo=20221214000367", "공시열람")</f>
        <v/>
      </c>
    </row>
    <row r="100">
      <c r="A100" s="2" t="inlineStr">
        <is>
          <t>2022-06-22</t>
        </is>
      </c>
      <c r="B100" s="4" t="inlineStr">
        <is>
          <t>가온칩스</t>
        </is>
      </c>
      <c r="C100" s="2" t="inlineStr">
        <is>
          <t>399720</t>
        </is>
      </c>
      <c r="D100" s="2" t="inlineStr">
        <is>
          <t>대량보유</t>
        </is>
      </c>
      <c r="E100" s="2" t="inlineStr"/>
      <c r="F100" s="2" t="inlineStr"/>
      <c r="G100" s="4" t="inlineStr">
        <is>
          <t>김원한</t>
        </is>
      </c>
      <c r="H100" s="4" t="inlineStr">
        <is>
          <t>주주</t>
        </is>
      </c>
      <c r="I100" s="4" t="inlineStr">
        <is>
          <t>1% 이상 변동 사유</t>
        </is>
      </c>
      <c r="J100" s="7" t="inlineStr"/>
      <c r="K100" s="7" t="inlineStr"/>
      <c r="L100" s="7" t="inlineStr"/>
      <c r="M100" s="7" t="n">
        <v>632500</v>
      </c>
      <c r="N100" s="12" t="n">
        <v>5.51</v>
      </c>
      <c r="O100" s="7" t="n">
        <v>460000</v>
      </c>
      <c r="P100" s="12" t="n">
        <v>4</v>
      </c>
      <c r="Q100" s="2" t="inlineStr">
        <is>
          <t>20220622000450</t>
        </is>
      </c>
      <c r="R100" s="3">
        <f>HYPERLINK("https://dart.fss.or.kr/dsaf001/main.do?rcpNo=20220622000450", "공시열람")</f>
        <v/>
      </c>
    </row>
    <row r="101">
      <c r="A101" s="2" t="inlineStr">
        <is>
          <t>2022-05-26</t>
        </is>
      </c>
      <c r="B101" s="4" t="inlineStr">
        <is>
          <t>가온칩스</t>
        </is>
      </c>
      <c r="C101" s="2" t="inlineStr">
        <is>
          <t>399720</t>
        </is>
      </c>
      <c r="D101" s="2" t="inlineStr">
        <is>
          <t>대량보유</t>
        </is>
      </c>
      <c r="E101" s="2" t="inlineStr"/>
      <c r="F101" s="2" t="inlineStr"/>
      <c r="G101" s="4" t="inlineStr">
        <is>
          <t>김원한</t>
        </is>
      </c>
      <c r="H101" s="4" t="inlineStr">
        <is>
          <t>주주</t>
        </is>
      </c>
      <c r="I101" s="4" t="inlineStr">
        <is>
          <t>주권의 코스닥시장 상장에 따른 신규보고</t>
        </is>
      </c>
      <c r="J101" s="7" t="inlineStr"/>
      <c r="K101" s="7" t="inlineStr"/>
      <c r="L101" s="7" t="inlineStr"/>
      <c r="M101" s="7" t="inlineStr"/>
      <c r="N101" s="15" t="inlineStr"/>
      <c r="O101" s="7" t="n">
        <v>632500</v>
      </c>
      <c r="P101" s="12" t="n">
        <v>5.51</v>
      </c>
      <c r="Q101" s="2" t="inlineStr">
        <is>
          <t>20220526000288</t>
        </is>
      </c>
      <c r="R101" s="3">
        <f>HYPERLINK("https://dart.fss.or.kr/dsaf001/main.do?rcpNo=20220526000288", "공시열람")</f>
        <v/>
      </c>
    </row>
    <row r="102">
      <c r="A102" s="2" t="inlineStr">
        <is>
          <t>2022-05-24</t>
        </is>
      </c>
      <c r="B102" s="4" t="inlineStr">
        <is>
          <t>가온칩스</t>
        </is>
      </c>
      <c r="C102" s="2" t="inlineStr">
        <is>
          <t>399720</t>
        </is>
      </c>
      <c r="D102" s="2" t="inlineStr">
        <is>
          <t>임원보고</t>
        </is>
      </c>
      <c r="E102" s="2" t="inlineStr">
        <is>
          <t>2022-05-20</t>
        </is>
      </c>
      <c r="F102" s="2" t="inlineStr">
        <is>
          <t>2022-05-20</t>
        </is>
      </c>
      <c r="G102" s="4" t="inlineStr">
        <is>
          <t>박대남</t>
        </is>
      </c>
      <c r="H102" s="4" t="inlineStr">
        <is>
          <t>비등기임원 상무</t>
        </is>
      </c>
      <c r="I102" s="4" t="inlineStr">
        <is>
          <t>신규상장(+)</t>
        </is>
      </c>
      <c r="J102" s="14" t="n">
        <v>352000</v>
      </c>
      <c r="K102" s="7" t="n">
        <v>27100</v>
      </c>
      <c r="L102" s="14" t="n">
        <v>9539200000</v>
      </c>
      <c r="M102" s="7" t="inlineStr"/>
      <c r="N102" s="15" t="inlineStr"/>
      <c r="O102" s="7" t="n">
        <v>352000</v>
      </c>
      <c r="P102" s="12" t="n">
        <v>3.06</v>
      </c>
      <c r="Q102" s="2" t="inlineStr">
        <is>
          <t>20220524000496</t>
        </is>
      </c>
      <c r="R102" s="3">
        <f>HYPERLINK("https://dart.fss.or.kr/dsaf001/main.do?rcpNo=20220524000496", "공시열람")</f>
        <v/>
      </c>
    </row>
    <row r="103">
      <c r="A103" s="2" t="inlineStr">
        <is>
          <t>2022-05-24</t>
        </is>
      </c>
      <c r="B103" s="4" t="inlineStr">
        <is>
          <t>가온칩스</t>
        </is>
      </c>
      <c r="C103" s="2" t="inlineStr">
        <is>
          <t>399720</t>
        </is>
      </c>
      <c r="D103" s="2" t="inlineStr">
        <is>
          <t>임원보고</t>
        </is>
      </c>
      <c r="E103" s="2" t="inlineStr">
        <is>
          <t>2022-05-20</t>
        </is>
      </c>
      <c r="F103" s="2" t="inlineStr">
        <is>
          <t>2022-05-20</t>
        </is>
      </c>
      <c r="G103" s="4" t="inlineStr">
        <is>
          <t>위지호</t>
        </is>
      </c>
      <c r="H103" s="4" t="inlineStr">
        <is>
          <t>비등기임원 이사</t>
        </is>
      </c>
      <c r="I103" s="4" t="inlineStr">
        <is>
          <t>신규상장(+)</t>
        </is>
      </c>
      <c r="J103" s="14" t="n">
        <v>7700</v>
      </c>
      <c r="K103" s="7" t="n">
        <v>27100</v>
      </c>
      <c r="L103" s="14" t="n">
        <v>208670000</v>
      </c>
      <c r="M103" s="7" t="inlineStr"/>
      <c r="N103" s="15" t="inlineStr"/>
      <c r="O103" s="7" t="n">
        <v>7700</v>
      </c>
      <c r="P103" s="12" t="n">
        <v>0.07000000000000001</v>
      </c>
      <c r="Q103" s="2" t="inlineStr">
        <is>
          <t>20220524000523</t>
        </is>
      </c>
      <c r="R103" s="3">
        <f>HYPERLINK("https://dart.fss.or.kr/dsaf001/main.do?rcpNo=20220524000523", "공시열람")</f>
        <v/>
      </c>
    </row>
    <row r="104">
      <c r="A104" s="2" t="inlineStr">
        <is>
          <t>2022-05-24</t>
        </is>
      </c>
      <c r="B104" s="4" t="inlineStr">
        <is>
          <t>가온칩스</t>
        </is>
      </c>
      <c r="C104" s="2" t="inlineStr">
        <is>
          <t>399720</t>
        </is>
      </c>
      <c r="D104" s="2" t="inlineStr">
        <is>
          <t>임원보고</t>
        </is>
      </c>
      <c r="E104" s="2" t="inlineStr">
        <is>
          <t>2022-05-20</t>
        </is>
      </c>
      <c r="F104" s="2" t="inlineStr">
        <is>
          <t>2022-05-20</t>
        </is>
      </c>
      <c r="G104" s="4" t="inlineStr">
        <is>
          <t>감태오</t>
        </is>
      </c>
      <c r="H104" s="4" t="inlineStr">
        <is>
          <t>비등기임원 이사</t>
        </is>
      </c>
      <c r="I104" s="4" t="inlineStr">
        <is>
          <t>신규상장(+)</t>
        </is>
      </c>
      <c r="J104" s="14" t="n">
        <v>22000</v>
      </c>
      <c r="K104" s="7" t="n">
        <v>27100</v>
      </c>
      <c r="L104" s="14" t="n">
        <v>596200000</v>
      </c>
      <c r="M104" s="7" t="inlineStr"/>
      <c r="N104" s="15" t="inlineStr"/>
      <c r="O104" s="7" t="n">
        <v>22000</v>
      </c>
      <c r="P104" s="12" t="n">
        <v>0.19</v>
      </c>
      <c r="Q104" s="2" t="inlineStr">
        <is>
          <t>20220524000517</t>
        </is>
      </c>
      <c r="R104" s="3">
        <f>HYPERLINK("https://dart.fss.or.kr/dsaf001/main.do?rcpNo=20220524000517", "공시열람")</f>
        <v/>
      </c>
    </row>
    <row r="105">
      <c r="A105" s="2" t="inlineStr">
        <is>
          <t>2022-05-24</t>
        </is>
      </c>
      <c r="B105" s="4" t="inlineStr">
        <is>
          <t>가온칩스</t>
        </is>
      </c>
      <c r="C105" s="2" t="inlineStr">
        <is>
          <t>399720</t>
        </is>
      </c>
      <c r="D105" s="2" t="inlineStr">
        <is>
          <t>임원보고</t>
        </is>
      </c>
      <c r="E105" s="2" t="inlineStr">
        <is>
          <t>2022-05-20</t>
        </is>
      </c>
      <c r="F105" s="2" t="inlineStr">
        <is>
          <t>2022-05-20</t>
        </is>
      </c>
      <c r="G105" s="4" t="inlineStr">
        <is>
          <t>김효철</t>
        </is>
      </c>
      <c r="H105" s="4" t="inlineStr">
        <is>
          <t>비등기임원 이사</t>
        </is>
      </c>
      <c r="I105" s="4" t="inlineStr">
        <is>
          <t>신규상장(+)</t>
        </is>
      </c>
      <c r="J105" s="14" t="n">
        <v>94600</v>
      </c>
      <c r="K105" s="7" t="n">
        <v>27100</v>
      </c>
      <c r="L105" s="14" t="n">
        <v>2563660000</v>
      </c>
      <c r="M105" s="7" t="inlineStr"/>
      <c r="N105" s="15" t="inlineStr"/>
      <c r="O105" s="7" t="n">
        <v>94600</v>
      </c>
      <c r="P105" s="12" t="n">
        <v>0.82</v>
      </c>
      <c r="Q105" s="2" t="inlineStr">
        <is>
          <t>20220524000514</t>
        </is>
      </c>
      <c r="R105" s="3">
        <f>HYPERLINK("https://dart.fss.or.kr/dsaf001/main.do?rcpNo=20220524000514", "공시열람")</f>
        <v/>
      </c>
    </row>
    <row r="106">
      <c r="A106" s="2" t="inlineStr">
        <is>
          <t>2022-05-24</t>
        </is>
      </c>
      <c r="B106" s="4" t="inlineStr">
        <is>
          <t>가온칩스</t>
        </is>
      </c>
      <c r="C106" s="2" t="inlineStr">
        <is>
          <t>399720</t>
        </is>
      </c>
      <c r="D106" s="2" t="inlineStr">
        <is>
          <t>임원보고</t>
        </is>
      </c>
      <c r="E106" s="2" t="inlineStr">
        <is>
          <t>2022-05-20</t>
        </is>
      </c>
      <c r="F106" s="2" t="inlineStr">
        <is>
          <t>2022-05-20</t>
        </is>
      </c>
      <c r="G106" s="4" t="inlineStr">
        <is>
          <t>최진열</t>
        </is>
      </c>
      <c r="H106" s="4" t="inlineStr">
        <is>
          <t>비등기임원 이사</t>
        </is>
      </c>
      <c r="I106" s="4" t="inlineStr">
        <is>
          <t>신규상장(+)</t>
        </is>
      </c>
      <c r="J106" s="14" t="n">
        <v>108900</v>
      </c>
      <c r="K106" s="7" t="n">
        <v>27100</v>
      </c>
      <c r="L106" s="14" t="n">
        <v>2951190000</v>
      </c>
      <c r="M106" s="7" t="inlineStr"/>
      <c r="N106" s="15" t="inlineStr"/>
      <c r="O106" s="7" t="n">
        <v>108900</v>
      </c>
      <c r="P106" s="12" t="n">
        <v>0.95</v>
      </c>
      <c r="Q106" s="2" t="inlineStr">
        <is>
          <t>20220524000508</t>
        </is>
      </c>
      <c r="R106" s="3">
        <f>HYPERLINK("https://dart.fss.or.kr/dsaf001/main.do?rcpNo=20220524000508", "공시열람")</f>
        <v/>
      </c>
    </row>
    <row r="107">
      <c r="A107" s="2" t="inlineStr">
        <is>
          <t>2022-05-24</t>
        </is>
      </c>
      <c r="B107" s="4" t="inlineStr">
        <is>
          <t>가온칩스</t>
        </is>
      </c>
      <c r="C107" s="2" t="inlineStr">
        <is>
          <t>399720</t>
        </is>
      </c>
      <c r="D107" s="2" t="inlineStr">
        <is>
          <t>임원보고</t>
        </is>
      </c>
      <c r="E107" s="2" t="inlineStr">
        <is>
          <t>2022-05-20</t>
        </is>
      </c>
      <c r="F107" s="2" t="inlineStr">
        <is>
          <t>2022-05-20</t>
        </is>
      </c>
      <c r="G107" s="4" t="inlineStr">
        <is>
          <t>윤형석</t>
        </is>
      </c>
      <c r="H107" s="4" t="inlineStr">
        <is>
          <t>비등기임원 이사</t>
        </is>
      </c>
      <c r="I107" s="4" t="inlineStr">
        <is>
          <t>신규상장(+)</t>
        </is>
      </c>
      <c r="J107" s="14" t="n">
        <v>198000</v>
      </c>
      <c r="K107" s="7" t="n">
        <v>27100</v>
      </c>
      <c r="L107" s="14" t="n">
        <v>5365800000</v>
      </c>
      <c r="M107" s="7" t="inlineStr"/>
      <c r="N107" s="15" t="inlineStr"/>
      <c r="O107" s="7" t="n">
        <v>198000</v>
      </c>
      <c r="P107" s="12" t="n">
        <v>1.72</v>
      </c>
      <c r="Q107" s="2" t="inlineStr">
        <is>
          <t>20220524000502</t>
        </is>
      </c>
      <c r="R107" s="3">
        <f>HYPERLINK("https://dart.fss.or.kr/dsaf001/main.do?rcpNo=20220524000502", "공시열람")</f>
        <v/>
      </c>
    </row>
    <row r="108">
      <c r="A108" s="2" t="inlineStr">
        <is>
          <t>2022-05-24</t>
        </is>
      </c>
      <c r="B108" s="4" t="inlineStr">
        <is>
          <t>가온칩스</t>
        </is>
      </c>
      <c r="C108" s="2" t="inlineStr">
        <is>
          <t>399720</t>
        </is>
      </c>
      <c r="D108" s="2" t="inlineStr">
        <is>
          <t>임원보고</t>
        </is>
      </c>
      <c r="E108" s="2" t="inlineStr">
        <is>
          <t>2022-05-20</t>
        </is>
      </c>
      <c r="F108" s="2" t="inlineStr">
        <is>
          <t>2022-05-20</t>
        </is>
      </c>
      <c r="G108" s="4" t="inlineStr">
        <is>
          <t>서정욱</t>
        </is>
      </c>
      <c r="H108" s="4" t="inlineStr">
        <is>
          <t>비등기임원 이사</t>
        </is>
      </c>
      <c r="I108" s="4" t="inlineStr">
        <is>
          <t>신규상장(+)</t>
        </is>
      </c>
      <c r="J108" s="14" t="n">
        <v>22000</v>
      </c>
      <c r="K108" s="7" t="n">
        <v>27100</v>
      </c>
      <c r="L108" s="14" t="n">
        <v>596200000</v>
      </c>
      <c r="M108" s="7" t="inlineStr"/>
      <c r="N108" s="15" t="inlineStr"/>
      <c r="O108" s="7" t="n">
        <v>22000</v>
      </c>
      <c r="P108" s="12" t="n">
        <v>0.19</v>
      </c>
      <c r="Q108" s="2" t="inlineStr">
        <is>
          <t>20220524000530</t>
        </is>
      </c>
      <c r="R108" s="3">
        <f>HYPERLINK("https://dart.fss.or.kr/dsaf001/main.do?rcpNo=20220524000530", "공시열람")</f>
        <v/>
      </c>
    </row>
    <row r="109">
      <c r="A109" s="2" t="inlineStr">
        <is>
          <t>2022-05-24</t>
        </is>
      </c>
      <c r="B109" s="4" t="inlineStr">
        <is>
          <t>가온칩스</t>
        </is>
      </c>
      <c r="C109" s="2" t="inlineStr">
        <is>
          <t>399720</t>
        </is>
      </c>
      <c r="D109" s="2" t="inlineStr">
        <is>
          <t>임원보고</t>
        </is>
      </c>
      <c r="E109" s="2" t="inlineStr">
        <is>
          <t>2022-05-20</t>
        </is>
      </c>
      <c r="F109" s="2" t="inlineStr">
        <is>
          <t>2022-05-20</t>
        </is>
      </c>
      <c r="G109" s="4" t="inlineStr">
        <is>
          <t>이상배</t>
        </is>
      </c>
      <c r="H109" s="4" t="inlineStr">
        <is>
          <t>등기임원 사내이사</t>
        </is>
      </c>
      <c r="I109" s="4" t="inlineStr">
        <is>
          <t>신규상장(+)</t>
        </is>
      </c>
      <c r="J109" s="14" t="n">
        <v>869880</v>
      </c>
      <c r="K109" s="7" t="n">
        <v>27100</v>
      </c>
      <c r="L109" s="14" t="n">
        <v>23573748000</v>
      </c>
      <c r="M109" s="7" t="inlineStr"/>
      <c r="N109" s="15" t="inlineStr"/>
      <c r="O109" s="7" t="n">
        <v>869880</v>
      </c>
      <c r="P109" s="12" t="n">
        <v>7.57</v>
      </c>
      <c r="Q109" s="2" t="inlineStr">
        <is>
          <t>20220524000493</t>
        </is>
      </c>
      <c r="R109" s="3">
        <f>HYPERLINK("https://dart.fss.or.kr/dsaf001/main.do?rcpNo=20220524000493", "공시열람")</f>
        <v/>
      </c>
    </row>
    <row r="110">
      <c r="A110" s="2" t="inlineStr">
        <is>
          <t>2022-05-24</t>
        </is>
      </c>
      <c r="B110" s="4" t="inlineStr">
        <is>
          <t>가온칩스</t>
        </is>
      </c>
      <c r="C110" s="2" t="inlineStr">
        <is>
          <t>399720</t>
        </is>
      </c>
      <c r="D110" s="2" t="inlineStr">
        <is>
          <t>임원보고</t>
        </is>
      </c>
      <c r="E110" s="2" t="inlineStr">
        <is>
          <t>2022-05-20</t>
        </is>
      </c>
      <c r="F110" s="2" t="inlineStr">
        <is>
          <t>2022-05-20</t>
        </is>
      </c>
      <c r="G110" s="4" t="inlineStr">
        <is>
          <t>심진섭</t>
        </is>
      </c>
      <c r="H110" s="4" t="inlineStr">
        <is>
          <t>등기임원 사내이사</t>
        </is>
      </c>
      <c r="I110" s="4" t="inlineStr">
        <is>
          <t>신규상장(+)</t>
        </is>
      </c>
      <c r="J110" s="14" t="n">
        <v>877690</v>
      </c>
      <c r="K110" s="7" t="n">
        <v>27100</v>
      </c>
      <c r="L110" s="14" t="n">
        <v>23785399000</v>
      </c>
      <c r="M110" s="7" t="inlineStr"/>
      <c r="N110" s="15" t="inlineStr"/>
      <c r="O110" s="7" t="n">
        <v>877690</v>
      </c>
      <c r="P110" s="12" t="n">
        <v>7.64</v>
      </c>
      <c r="Q110" s="2" t="inlineStr">
        <is>
          <t>20220524000488</t>
        </is>
      </c>
      <c r="R110" s="3">
        <f>HYPERLINK("https://dart.fss.or.kr/dsaf001/main.do?rcpNo=20220524000488", "공시열람")</f>
        <v/>
      </c>
    </row>
    <row r="111">
      <c r="A111" s="2" t="inlineStr">
        <is>
          <t>2022-05-24</t>
        </is>
      </c>
      <c r="B111" s="4" t="inlineStr">
        <is>
          <t>가온칩스</t>
        </is>
      </c>
      <c r="C111" s="2" t="inlineStr">
        <is>
          <t>399720</t>
        </is>
      </c>
      <c r="D111" s="2" t="inlineStr">
        <is>
          <t>임원보고</t>
        </is>
      </c>
      <c r="E111" s="2" t="inlineStr">
        <is>
          <t>2022-05-20</t>
        </is>
      </c>
      <c r="F111" s="2" t="inlineStr">
        <is>
          <t>2022-05-20</t>
        </is>
      </c>
      <c r="G111" s="4" t="inlineStr">
        <is>
          <t>김재성</t>
        </is>
      </c>
      <c r="H111" s="4" t="inlineStr">
        <is>
          <t>등기임원 사내이사</t>
        </is>
      </c>
      <c r="I111" s="4" t="inlineStr">
        <is>
          <t>신규상장(+)</t>
        </is>
      </c>
      <c r="J111" s="14" t="n">
        <v>877690</v>
      </c>
      <c r="K111" s="7" t="n">
        <v>27100</v>
      </c>
      <c r="L111" s="14" t="n">
        <v>23785399000</v>
      </c>
      <c r="M111" s="7" t="inlineStr"/>
      <c r="N111" s="15" t="inlineStr"/>
      <c r="O111" s="7" t="n">
        <v>877690</v>
      </c>
      <c r="P111" s="12" t="n">
        <v>7.64</v>
      </c>
      <c r="Q111" s="2" t="inlineStr">
        <is>
          <t>20220524000484</t>
        </is>
      </c>
      <c r="R111" s="3">
        <f>HYPERLINK("https://dart.fss.or.kr/dsaf001/main.do?rcpNo=20220524000484", "공시열람")</f>
        <v/>
      </c>
    </row>
    <row r="112">
      <c r="A112" s="2" t="inlineStr">
        <is>
          <t>2022-05-24</t>
        </is>
      </c>
      <c r="B112" s="4" t="inlineStr">
        <is>
          <t>가온칩스</t>
        </is>
      </c>
      <c r="C112" s="2" t="inlineStr">
        <is>
          <t>399720</t>
        </is>
      </c>
      <c r="D112" s="2" t="inlineStr">
        <is>
          <t>임원보고</t>
        </is>
      </c>
      <c r="E112" s="2" t="inlineStr">
        <is>
          <t>2022-05-20</t>
        </is>
      </c>
      <c r="F112" s="2" t="inlineStr">
        <is>
          <t>2022-05-20</t>
        </is>
      </c>
      <c r="G112" s="4" t="inlineStr">
        <is>
          <t>정규동</t>
        </is>
      </c>
      <c r="H112" s="4" t="inlineStr">
        <is>
          <t>등기임원 대표이사, 10%이상주주</t>
        </is>
      </c>
      <c r="I112" s="4" t="inlineStr">
        <is>
          <t>신규상장(+)</t>
        </is>
      </c>
      <c r="J112" s="14" t="n">
        <v>3372160</v>
      </c>
      <c r="K112" s="7" t="n">
        <v>27100</v>
      </c>
      <c r="L112" s="14" t="n">
        <v>91385536000</v>
      </c>
      <c r="M112" s="7" t="inlineStr"/>
      <c r="N112" s="15" t="inlineStr"/>
      <c r="O112" s="7" t="n">
        <v>3372160</v>
      </c>
      <c r="P112" s="12" t="n">
        <v>29.35</v>
      </c>
      <c r="Q112" s="2" t="inlineStr">
        <is>
          <t>20220524000475</t>
        </is>
      </c>
      <c r="R112" s="3">
        <f>HYPERLINK("https://dart.fss.or.kr/dsaf001/main.do?rcpNo=20220524000475", "공시열람")</f>
        <v/>
      </c>
    </row>
    <row r="113">
      <c r="A113" s="2" t="inlineStr">
        <is>
          <t>2022-05-24</t>
        </is>
      </c>
      <c r="B113" s="4" t="inlineStr">
        <is>
          <t>가온칩스</t>
        </is>
      </c>
      <c r="C113" s="2" t="inlineStr">
        <is>
          <t>399720</t>
        </is>
      </c>
      <c r="D113" s="2" t="inlineStr">
        <is>
          <t>대량보유</t>
        </is>
      </c>
      <c r="E113" s="2" t="inlineStr"/>
      <c r="F113" s="2" t="inlineStr"/>
      <c r="G113" s="4" t="inlineStr">
        <is>
          <t>정규동</t>
        </is>
      </c>
      <c r="H113" s="4" t="inlineStr">
        <is>
          <t>최대주주</t>
        </is>
      </c>
      <c r="I113" s="4" t="inlineStr">
        <is>
          <t>주권의 코스닥시장 상장에 따른 신규보고</t>
        </is>
      </c>
      <c r="J113" s="7" t="inlineStr"/>
      <c r="K113" s="7" t="inlineStr"/>
      <c r="L113" s="7" t="inlineStr"/>
      <c r="M113" s="7" t="inlineStr"/>
      <c r="N113" s="15" t="inlineStr"/>
      <c r="O113" s="7" t="n">
        <v>6927620</v>
      </c>
      <c r="P113" s="12" t="n">
        <v>60.3</v>
      </c>
      <c r="Q113" s="2" t="inlineStr">
        <is>
          <t>20220524000470</t>
        </is>
      </c>
      <c r="R113" s="3">
        <f>HYPERLINK("https://dart.fss.or.kr/dsaf001/main.do?rcpNo=20220524000470", "공시열람")</f>
        <v/>
      </c>
    </row>
    <row r="114">
      <c r="A114" s="2" t="inlineStr">
        <is>
          <t>2022-05-24</t>
        </is>
      </c>
      <c r="B114" s="4" t="inlineStr">
        <is>
          <t>가온칩스</t>
        </is>
      </c>
      <c r="C114" s="2" t="inlineStr">
        <is>
          <t>399720</t>
        </is>
      </c>
      <c r="D114" s="2" t="inlineStr">
        <is>
          <t>임원보고</t>
        </is>
      </c>
      <c r="E114" s="2" t="inlineStr">
        <is>
          <t>2022-05-20</t>
        </is>
      </c>
      <c r="F114" s="2" t="inlineStr">
        <is>
          <t>2022-05-20</t>
        </is>
      </c>
      <c r="G114" s="4" t="inlineStr">
        <is>
          <t>이은희</t>
        </is>
      </c>
      <c r="H114" s="4" t="inlineStr">
        <is>
          <t>비등기임원 이사</t>
        </is>
      </c>
      <c r="I114" s="4" t="inlineStr">
        <is>
          <t>신규상장(+)</t>
        </is>
      </c>
      <c r="J114" s="14" t="n">
        <v>33000</v>
      </c>
      <c r="K114" s="7" t="n">
        <v>27100</v>
      </c>
      <c r="L114" s="14" t="n">
        <v>894300000</v>
      </c>
      <c r="M114" s="7" t="inlineStr"/>
      <c r="N114" s="15" t="inlineStr"/>
      <c r="O114" s="7" t="n">
        <v>33000</v>
      </c>
      <c r="P114" s="12" t="n">
        <v>0.29</v>
      </c>
      <c r="Q114" s="2" t="inlineStr">
        <is>
          <t>20220524000533</t>
        </is>
      </c>
      <c r="R114" s="3">
        <f>HYPERLINK("https://dart.fss.or.kr/dsaf001/main.do?rcpNo=20220524000533", "공시열람")</f>
        <v/>
      </c>
    </row>
  </sheetData>
  <autoFilter ref="A1:R1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22"/>
  <cols>
    <col width="12" customWidth="1" min="1" max="1"/>
    <col width="16" customWidth="1" min="2" max="2"/>
    <col hidden="1" width="10" customWidth="1" min="3" max="3"/>
    <col hidden="1" width="10" customWidth="1" min="4" max="4"/>
    <col width="12" customWidth="1" min="5" max="5"/>
    <col width="12" customWidth="1" min="6" max="6"/>
    <col width="20" customWidth="1" min="7" max="7"/>
    <col width="14" customWidth="1" min="8" max="8"/>
    <col width="14" customWidth="1" min="9" max="9"/>
    <col width="14" customWidth="1" min="10" max="10"/>
    <col width="12" customWidth="1" min="11" max="11"/>
    <col width="16" customWidth="1" min="12" max="12"/>
    <col width="16" customWidth="1" min="13" max="13"/>
    <col width="10" customWidth="1" min="14" max="14"/>
    <col width="16" customWidth="1" min="15" max="15"/>
    <col width="10" customWidth="1" min="16" max="16"/>
    <col width="18" customWidth="1" min="17" max="17"/>
    <col width="10" customWidth="1" min="18" max="18"/>
  </cols>
  <sheetData>
    <row r="1" ht="25" customHeight="1">
      <c r="A1" s="1" t="inlineStr">
        <is>
          <t>접수일자</t>
        </is>
      </c>
      <c r="B1" s="1" t="inlineStr">
        <is>
          <t>회사명</t>
        </is>
      </c>
      <c r="C1" s="1" t="inlineStr">
        <is>
          <t>종목코드</t>
        </is>
      </c>
      <c r="D1" s="1" t="inlineStr">
        <is>
          <t>보고구분</t>
        </is>
      </c>
      <c r="E1" s="1" t="inlineStr">
        <is>
          <t>거래 시작일</t>
        </is>
      </c>
      <c r="F1" s="1" t="inlineStr">
        <is>
          <t>거래 종료일</t>
        </is>
      </c>
      <c r="G1" s="1" t="inlineStr">
        <is>
          <t>보고자(주체)</t>
        </is>
      </c>
      <c r="H1" s="1" t="inlineStr">
        <is>
          <t>관계</t>
        </is>
      </c>
      <c r="I1" s="1" t="inlineStr">
        <is>
          <t>변동사유</t>
        </is>
      </c>
      <c r="J1" s="1" t="inlineStr">
        <is>
          <t>증감(주)</t>
        </is>
      </c>
      <c r="K1" s="1" t="inlineStr">
        <is>
          <t>단가(원)</t>
        </is>
      </c>
      <c r="L1" s="1" t="inlineStr">
        <is>
          <t>거래액(원)</t>
        </is>
      </c>
      <c r="M1" s="1" t="inlineStr">
        <is>
          <t>변동전 보유(주)</t>
        </is>
      </c>
      <c r="N1" s="1" t="inlineStr">
        <is>
          <t>변동전 비율(%)</t>
        </is>
      </c>
      <c r="O1" s="1" t="inlineStr">
        <is>
          <t>변동후 보유(주)</t>
        </is>
      </c>
      <c r="P1" s="1" t="inlineStr">
        <is>
          <t>보유비율(%)</t>
        </is>
      </c>
      <c r="Q1" s="1" t="inlineStr">
        <is>
          <t>접수번호</t>
        </is>
      </c>
      <c r="R1" s="1" t="inlineStr">
        <is>
          <t>DART링크</t>
        </is>
      </c>
    </row>
    <row r="2">
      <c r="A2" s="2" t="inlineStr">
        <is>
          <t>2026-09-14</t>
        </is>
      </c>
      <c r="B2" s="4" t="inlineStr">
        <is>
          <t>가온칩스</t>
        </is>
      </c>
      <c r="C2" s="2" t="inlineStr">
        <is>
          <t>399720</t>
        </is>
      </c>
      <c r="D2" s="2" t="inlineStr">
        <is>
          <t>대량보유</t>
        </is>
      </c>
      <c r="E2" s="2" t="inlineStr"/>
      <c r="F2" s="2" t="inlineStr"/>
      <c r="G2" s="4" t="inlineStr">
        <is>
          <t>정규동</t>
        </is>
      </c>
      <c r="H2" s="4" t="inlineStr">
        <is>
          <t>최대주주</t>
        </is>
      </c>
      <c r="I2" s="4" t="inlineStr">
        <is>
          <t>특수관계인의 주식담보대출계약 체결</t>
        </is>
      </c>
      <c r="J2" s="7" t="inlineStr"/>
      <c r="K2" s="7" t="inlineStr"/>
      <c r="L2" s="7" t="inlineStr"/>
      <c r="M2" s="7" t="n">
        <v>5302361</v>
      </c>
      <c r="N2" s="12" t="n">
        <v>44.71</v>
      </c>
      <c r="O2" s="7" t="n">
        <v>5302361</v>
      </c>
      <c r="P2" s="12" t="n">
        <v>44.71</v>
      </c>
      <c r="Q2" s="2" t="inlineStr">
        <is>
          <t>20260914000336</t>
        </is>
      </c>
      <c r="R2" s="3">
        <f>HYPERLINK("https://dart.fss.or.kr/dsaf001/main.do?rcpNo=20260914000336", "공시열람")</f>
        <v/>
      </c>
    </row>
    <row r="3">
      <c r="A3" s="2" t="inlineStr">
        <is>
          <t>2026-08-26</t>
        </is>
      </c>
      <c r="B3" s="4" t="inlineStr">
        <is>
          <t>가온칩스</t>
        </is>
      </c>
      <c r="C3" s="2" t="inlineStr">
        <is>
          <t>399720</t>
        </is>
      </c>
      <c r="D3" s="2" t="inlineStr">
        <is>
          <t>대량보유</t>
        </is>
      </c>
      <c r="E3" s="2" t="inlineStr"/>
      <c r="F3" s="2" t="inlineStr"/>
      <c r="G3" s="4" t="inlineStr">
        <is>
          <t>정규동</t>
        </is>
      </c>
      <c r="H3" s="4" t="inlineStr">
        <is>
          <t>최대주주</t>
        </is>
      </c>
      <c r="I3" s="4" t="inlineStr">
        <is>
          <t>특수관계인의 주식담보대출계약 체결</t>
        </is>
      </c>
      <c r="J3" s="7" t="inlineStr"/>
      <c r="K3" s="7" t="inlineStr"/>
      <c r="L3" s="7" t="inlineStr"/>
      <c r="M3" s="7" t="n">
        <v>5302361</v>
      </c>
      <c r="N3" s="12" t="n">
        <v>44.71</v>
      </c>
      <c r="O3" s="7" t="n">
        <v>5302361</v>
      </c>
      <c r="P3" s="12" t="n">
        <v>44.71</v>
      </c>
      <c r="Q3" s="2" t="inlineStr">
        <is>
          <t>20260826000655</t>
        </is>
      </c>
      <c r="R3" s="3">
        <f>HYPERLINK("https://dart.fss.or.kr/dsaf001/main.do?rcpNo=20260826000655", "공시열람")</f>
        <v/>
      </c>
    </row>
    <row r="4">
      <c r="A4" s="2" t="inlineStr">
        <is>
          <t>2026-08-07</t>
        </is>
      </c>
      <c r="B4" s="4" t="inlineStr">
        <is>
          <t>가온칩스</t>
        </is>
      </c>
      <c r="C4" s="2" t="inlineStr">
        <is>
          <t>399720</t>
        </is>
      </c>
      <c r="D4" s="2" t="inlineStr">
        <is>
          <t>임원보고</t>
        </is>
      </c>
      <c r="E4" s="2" t="inlineStr">
        <is>
          <t>2026-07-31</t>
        </is>
      </c>
      <c r="F4" s="2" t="inlineStr">
        <is>
          <t>2026-07-31</t>
        </is>
      </c>
      <c r="G4" s="4" t="inlineStr">
        <is>
          <t>박대남</t>
        </is>
      </c>
      <c r="H4" s="4" t="inlineStr">
        <is>
          <t>비등기임원 전무</t>
        </is>
      </c>
      <c r="I4" s="4" t="inlineStr">
        <is>
          <t>임원퇴임(-)</t>
        </is>
      </c>
      <c r="J4" s="13" t="n">
        <v>-246500</v>
      </c>
      <c r="K4" s="7" t="n">
        <v>48450</v>
      </c>
      <c r="L4" s="13" t="n">
        <v>-11942925000</v>
      </c>
      <c r="M4" s="7" t="inlineStr"/>
      <c r="N4" s="15" t="inlineStr"/>
      <c r="O4" s="7" t="inlineStr"/>
      <c r="P4" s="15" t="inlineStr"/>
      <c r="Q4" s="2" t="inlineStr">
        <is>
          <t>20260807000483</t>
        </is>
      </c>
      <c r="R4" s="3">
        <f>HYPERLINK("https://dart.fss.or.kr/dsaf001/main.do?rcpNo=20260807000483", "공시열람")</f>
        <v/>
      </c>
    </row>
    <row r="5">
      <c r="A5" s="2" t="inlineStr">
        <is>
          <t>2026-08-07</t>
        </is>
      </c>
      <c r="B5" s="4" t="inlineStr">
        <is>
          <t>가온칩스</t>
        </is>
      </c>
      <c r="C5" s="2" t="inlineStr">
        <is>
          <t>399720</t>
        </is>
      </c>
      <c r="D5" s="2" t="inlineStr">
        <is>
          <t>대량보유</t>
        </is>
      </c>
      <c r="E5" s="2" t="inlineStr">
        <is>
          <t>2026-07-31</t>
        </is>
      </c>
      <c r="F5" s="2" t="inlineStr">
        <is>
          <t>2026-07-31</t>
        </is>
      </c>
      <c r="G5" s="4" t="inlineStr">
        <is>
          <t>박대남</t>
        </is>
      </c>
      <c r="H5" s="4" t="inlineStr">
        <is>
          <t>특별관계자</t>
        </is>
      </c>
      <c r="I5" s="4" t="inlineStr">
        <is>
          <t>임원퇴임(-)</t>
        </is>
      </c>
      <c r="J5" s="13" t="n">
        <v>-246500</v>
      </c>
      <c r="K5" s="7" t="n">
        <v>48450</v>
      </c>
      <c r="L5" s="13" t="n">
        <v>-11942925000</v>
      </c>
      <c r="M5" s="7" t="n">
        <v>5548861</v>
      </c>
      <c r="N5" s="12" t="n">
        <v>46.87</v>
      </c>
      <c r="O5" s="7" t="inlineStr"/>
      <c r="P5" s="12" t="n">
        <v>44.71</v>
      </c>
      <c r="Q5" s="2" t="inlineStr">
        <is>
          <t>20260807000493</t>
        </is>
      </c>
      <c r="R5" s="3">
        <f>HYPERLINK("https://dart.fss.or.kr/dsaf001/main.do?rcpNo=20260807000493", "공시열람")</f>
        <v/>
      </c>
    </row>
    <row r="6">
      <c r="A6" s="2" t="inlineStr">
        <is>
          <t>2026-08-07</t>
        </is>
      </c>
      <c r="B6" s="4" t="inlineStr">
        <is>
          <t>가온칩스</t>
        </is>
      </c>
      <c r="C6" s="2" t="inlineStr">
        <is>
          <t>399720</t>
        </is>
      </c>
      <c r="D6" s="2" t="inlineStr">
        <is>
          <t>대량보유</t>
        </is>
      </c>
      <c r="E6" s="2" t="inlineStr">
        <is>
          <t>2026-06-30</t>
        </is>
      </c>
      <c r="F6" s="2" t="inlineStr">
        <is>
          <t>2026-06-30</t>
        </is>
      </c>
      <c r="G6" s="4" t="inlineStr">
        <is>
          <t>김순곤</t>
        </is>
      </c>
      <c r="H6" s="4" t="inlineStr">
        <is>
          <t>특별관계자</t>
        </is>
      </c>
      <c r="I6" s="4" t="inlineStr">
        <is>
          <t>주식매수선택권행사(+)</t>
        </is>
      </c>
      <c r="J6" s="14" t="n">
        <v>10000</v>
      </c>
      <c r="K6" s="7" t="n">
        <v>28920</v>
      </c>
      <c r="L6" s="14" t="n">
        <v>289200000</v>
      </c>
      <c r="M6" s="7" t="n">
        <v>5548861</v>
      </c>
      <c r="N6" s="12" t="n">
        <v>46.87</v>
      </c>
      <c r="O6" s="7" t="n">
        <v>10000</v>
      </c>
      <c r="P6" s="12" t="n">
        <v>44.71</v>
      </c>
      <c r="Q6" s="2" t="inlineStr">
        <is>
          <t>20260807000493</t>
        </is>
      </c>
      <c r="R6" s="3">
        <f>HYPERLINK("https://dart.fss.or.kr/dsaf001/main.do?rcpNo=20260807000493", "공시열람")</f>
        <v/>
      </c>
    </row>
    <row r="7">
      <c r="A7" s="2" t="inlineStr">
        <is>
          <t>2026-08-07</t>
        </is>
      </c>
      <c r="B7" s="4" t="inlineStr">
        <is>
          <t>가온칩스</t>
        </is>
      </c>
      <c r="C7" s="2" t="inlineStr">
        <is>
          <t>399720</t>
        </is>
      </c>
      <c r="D7" s="2" t="inlineStr">
        <is>
          <t>대량보유</t>
        </is>
      </c>
      <c r="E7" s="2" t="inlineStr">
        <is>
          <t>2026-06-30</t>
        </is>
      </c>
      <c r="F7" s="2" t="inlineStr">
        <is>
          <t>2026-06-30</t>
        </is>
      </c>
      <c r="G7" s="4" t="inlineStr">
        <is>
          <t>김순곤</t>
        </is>
      </c>
      <c r="H7" s="4" t="inlineStr">
        <is>
          <t>특별관계자</t>
        </is>
      </c>
      <c r="I7" s="4" t="inlineStr">
        <is>
          <t>주식매수선택권행사(-)</t>
        </is>
      </c>
      <c r="J7" s="13" t="n">
        <v>-10000</v>
      </c>
      <c r="K7" s="7" t="n">
        <v>39950</v>
      </c>
      <c r="L7" s="13" t="n">
        <v>-399500000</v>
      </c>
      <c r="M7" s="7" t="n">
        <v>5548861</v>
      </c>
      <c r="N7" s="12" t="n">
        <v>46.87</v>
      </c>
      <c r="O7" s="7" t="n">
        <v>9000</v>
      </c>
      <c r="P7" s="12" t="n">
        <v>44.71</v>
      </c>
      <c r="Q7" s="2" t="inlineStr">
        <is>
          <t>20260807000493</t>
        </is>
      </c>
      <c r="R7" s="3">
        <f>HYPERLINK("https://dart.fss.or.kr/dsaf001/main.do?rcpNo=20260807000493", "공시열람")</f>
        <v/>
      </c>
    </row>
    <row r="8">
      <c r="A8" s="2" t="inlineStr">
        <is>
          <t>2026-07-10</t>
        </is>
      </c>
      <c r="B8" s="4" t="inlineStr">
        <is>
          <t>가온칩스</t>
        </is>
      </c>
      <c r="C8" s="2" t="inlineStr">
        <is>
          <t>399720</t>
        </is>
      </c>
      <c r="D8" s="2" t="inlineStr">
        <is>
          <t>대량보유</t>
        </is>
      </c>
      <c r="E8" s="2" t="inlineStr">
        <is>
          <t>2026-06-11</t>
        </is>
      </c>
      <c r="F8" s="2" t="inlineStr">
        <is>
          <t>2026-06-12</t>
        </is>
      </c>
      <c r="G8" s="4" t="inlineStr">
        <is>
          <t>대신-SAM신기술투자조합제1호</t>
        </is>
      </c>
      <c r="H8" s="4" t="inlineStr">
        <is>
          <t>특별관계자</t>
        </is>
      </c>
      <c r="I8" s="4" t="inlineStr">
        <is>
          <t>장내매도(-)</t>
        </is>
      </c>
      <c r="J8" s="13" t="n">
        <v>-70371</v>
      </c>
      <c r="K8" s="7" t="n">
        <v>43410</v>
      </c>
      <c r="L8" s="13" t="n">
        <v>-3054805110</v>
      </c>
      <c r="M8" s="7" t="n">
        <v>626694</v>
      </c>
      <c r="N8" s="12" t="n">
        <v>5.06</v>
      </c>
      <c r="O8" s="7" t="n">
        <v>50371</v>
      </c>
      <c r="P8" s="12" t="n">
        <v>4.49</v>
      </c>
      <c r="Q8" s="2" t="inlineStr">
        <is>
          <t>20260710000433</t>
        </is>
      </c>
      <c r="R8" s="3">
        <f>HYPERLINK("https://dart.fss.or.kr/dsaf001/main.do?rcpNo=20260710000433", "공시열람")</f>
        <v/>
      </c>
    </row>
    <row r="9">
      <c r="A9" s="2" t="inlineStr">
        <is>
          <t>2026-07-08</t>
        </is>
      </c>
      <c r="B9" s="4" t="inlineStr">
        <is>
          <t>가온칩스</t>
        </is>
      </c>
      <c r="C9" s="2" t="inlineStr">
        <is>
          <t>399720</t>
        </is>
      </c>
      <c r="D9" s="2" t="inlineStr">
        <is>
          <t>임원보고</t>
        </is>
      </c>
      <c r="E9" s="2" t="inlineStr">
        <is>
          <t>2026-06-30</t>
        </is>
      </c>
      <c r="F9" s="2" t="inlineStr">
        <is>
          <t>2026-06-30</t>
        </is>
      </c>
      <c r="G9" s="4" t="inlineStr">
        <is>
          <t>김순곤</t>
        </is>
      </c>
      <c r="H9" s="4" t="inlineStr">
        <is>
          <t>비등기임원 부사장</t>
        </is>
      </c>
      <c r="I9" s="4" t="inlineStr">
        <is>
          <t>주식매수선택권(+)</t>
        </is>
      </c>
      <c r="J9" s="14" t="n">
        <v>10000</v>
      </c>
      <c r="K9" s="7" t="n">
        <v>28920</v>
      </c>
      <c r="L9" s="14" t="n">
        <v>289200000</v>
      </c>
      <c r="M9" s="7" t="inlineStr"/>
      <c r="N9" s="15" t="inlineStr"/>
      <c r="O9" s="7" t="n">
        <v>10000</v>
      </c>
      <c r="P9" s="12" t="n">
        <v>0.08</v>
      </c>
      <c r="Q9" s="2" t="inlineStr">
        <is>
          <t>20260708000386</t>
        </is>
      </c>
      <c r="R9" s="3">
        <f>HYPERLINK("https://dart.fss.or.kr/dsaf001/main.do?rcpNo=20260708000386", "공시열람")</f>
        <v/>
      </c>
    </row>
    <row r="10">
      <c r="A10" s="2" t="inlineStr">
        <is>
          <t>2026-06-10</t>
        </is>
      </c>
      <c r="B10" s="4" t="inlineStr">
        <is>
          <t>가온칩스</t>
        </is>
      </c>
      <c r="C10" s="2" t="inlineStr">
        <is>
          <t>399720</t>
        </is>
      </c>
      <c r="D10" s="2" t="inlineStr">
        <is>
          <t>대량보유</t>
        </is>
      </c>
      <c r="E10" s="2" t="inlineStr">
        <is>
          <t>2026-05-07</t>
        </is>
      </c>
      <c r="F10" s="2" t="inlineStr">
        <is>
          <t>2026-05-08</t>
        </is>
      </c>
      <c r="G10" s="4" t="inlineStr">
        <is>
          <t>2023신한-JB우리-대신상장사Mezzanine신기술투자조합</t>
        </is>
      </c>
      <c r="H10" s="4" t="inlineStr">
        <is>
          <t>특별관계자</t>
        </is>
      </c>
      <c r="I10" s="4" t="inlineStr">
        <is>
          <t>장내매도(-)</t>
        </is>
      </c>
      <c r="J10" s="13" t="n">
        <v>-17277</v>
      </c>
      <c r="K10" s="7" t="n">
        <v>43410</v>
      </c>
      <c r="L10" s="13" t="n">
        <v>-749994570</v>
      </c>
      <c r="M10" s="7" t="n">
        <v>794747</v>
      </c>
      <c r="N10" s="12" t="n">
        <v>6.41</v>
      </c>
      <c r="O10" s="7" t="n">
        <v>3292</v>
      </c>
      <c r="P10" s="12" t="n">
        <v>5.06</v>
      </c>
      <c r="Q10" s="2" t="inlineStr">
        <is>
          <t>20260610000236</t>
        </is>
      </c>
      <c r="R10" s="3">
        <f>HYPERLINK("https://dart.fss.or.kr/dsaf001/main.do?rcpNo=20260610000236", "공시열람")</f>
        <v/>
      </c>
    </row>
    <row r="11">
      <c r="A11" s="2" t="inlineStr">
        <is>
          <t>2026-06-10</t>
        </is>
      </c>
      <c r="B11" s="4" t="inlineStr">
        <is>
          <t>가온칩스</t>
        </is>
      </c>
      <c r="C11" s="2" t="inlineStr">
        <is>
          <t>399720</t>
        </is>
      </c>
      <c r="D11" s="2" t="inlineStr">
        <is>
          <t>대량보유</t>
        </is>
      </c>
      <c r="E11" s="2" t="inlineStr">
        <is>
          <t>2026-04-17</t>
        </is>
      </c>
      <c r="F11" s="2" t="inlineStr">
        <is>
          <t>2026-04-17</t>
        </is>
      </c>
      <c r="G11" s="4" t="inlineStr">
        <is>
          <t>2023신한-JB우리-대신상장사Mezzanine신기술투자조합</t>
        </is>
      </c>
      <c r="H11" s="4" t="inlineStr">
        <is>
          <t>특별관계자</t>
        </is>
      </c>
      <c r="I11" s="4" t="inlineStr">
        <is>
          <t>전환사채의권리행사(+)</t>
        </is>
      </c>
      <c r="J11" s="14" t="n">
        <v>17277</v>
      </c>
      <c r="K11" s="7" t="n">
        <v>43410</v>
      </c>
      <c r="L11" s="14" t="n">
        <v>749994570</v>
      </c>
      <c r="M11" s="7" t="n">
        <v>794747</v>
      </c>
      <c r="N11" s="12" t="n">
        <v>6.41</v>
      </c>
      <c r="O11" s="7" t="n">
        <v>17277</v>
      </c>
      <c r="P11" s="12" t="n">
        <v>5.06</v>
      </c>
      <c r="Q11" s="2" t="inlineStr">
        <is>
          <t>20260610000236</t>
        </is>
      </c>
      <c r="R11" s="3">
        <f>HYPERLINK("https://dart.fss.or.kr/dsaf001/main.do?rcpNo=20260610000236", "공시열람")</f>
        <v/>
      </c>
    </row>
    <row r="12">
      <c r="A12" s="2" t="inlineStr">
        <is>
          <t>2026-06-10</t>
        </is>
      </c>
      <c r="B12" s="4" t="inlineStr">
        <is>
          <t>가온칩스</t>
        </is>
      </c>
      <c r="C12" s="2" t="inlineStr">
        <is>
          <t>399720</t>
        </is>
      </c>
      <c r="D12" s="2" t="inlineStr">
        <is>
          <t>대량보유</t>
        </is>
      </c>
      <c r="E12" s="2" t="inlineStr">
        <is>
          <t>2026-04-17</t>
        </is>
      </c>
      <c r="F12" s="2" t="inlineStr">
        <is>
          <t>2026-04-17</t>
        </is>
      </c>
      <c r="G12" s="4" t="inlineStr">
        <is>
          <t>2023신한-JB우리-대신상장사Mezzanine신기술투자조합</t>
        </is>
      </c>
      <c r="H12" s="4" t="inlineStr">
        <is>
          <t>특별관계자</t>
        </is>
      </c>
      <c r="I12" s="4" t="inlineStr">
        <is>
          <t>전환등(-)</t>
        </is>
      </c>
      <c r="J12" s="13" t="n">
        <v>-17277</v>
      </c>
      <c r="K12" s="7" t="n">
        <v>43410</v>
      </c>
      <c r="L12" s="13" t="n">
        <v>-749994570</v>
      </c>
      <c r="M12" s="7" t="n">
        <v>794747</v>
      </c>
      <c r="N12" s="12" t="n">
        <v>6.41</v>
      </c>
      <c r="O12" s="7" t="n">
        <v>40313</v>
      </c>
      <c r="P12" s="12" t="n">
        <v>5.06</v>
      </c>
      <c r="Q12" s="2" t="inlineStr">
        <is>
          <t>20260610000236</t>
        </is>
      </c>
      <c r="R12" s="3">
        <f>HYPERLINK("https://dart.fss.or.kr/dsaf001/main.do?rcpNo=20260610000236", "공시열람")</f>
        <v/>
      </c>
    </row>
    <row r="13">
      <c r="A13" s="2" t="inlineStr">
        <is>
          <t>2026-06-10</t>
        </is>
      </c>
      <c r="B13" s="4" t="inlineStr">
        <is>
          <t>가온칩스</t>
        </is>
      </c>
      <c r="C13" s="2" t="inlineStr">
        <is>
          <t>399720</t>
        </is>
      </c>
      <c r="D13" s="2" t="inlineStr">
        <is>
          <t>대량보유</t>
        </is>
      </c>
      <c r="E13" s="2" t="inlineStr">
        <is>
          <t>2026-05-06</t>
        </is>
      </c>
      <c r="F13" s="2" t="inlineStr">
        <is>
          <t>2026-06-04</t>
        </is>
      </c>
      <c r="G13" s="4" t="inlineStr">
        <is>
          <t>대신-SAM신기술투자조합제1호</t>
        </is>
      </c>
      <c r="H13" s="4" t="inlineStr">
        <is>
          <t>특별관계자</t>
        </is>
      </c>
      <c r="I13" s="4" t="inlineStr">
        <is>
          <t>장내매도(-)</t>
        </is>
      </c>
      <c r="J13" s="13" t="n">
        <v>-150776</v>
      </c>
      <c r="K13" s="7" t="n">
        <v>43410</v>
      </c>
      <c r="L13" s="13" t="n">
        <v>-6545186160</v>
      </c>
      <c r="M13" s="7" t="n">
        <v>794747</v>
      </c>
      <c r="N13" s="12" t="n">
        <v>6.41</v>
      </c>
      <c r="O13" s="7" t="n">
        <v>70371</v>
      </c>
      <c r="P13" s="12" t="n">
        <v>5.06</v>
      </c>
      <c r="Q13" s="2" t="inlineStr">
        <is>
          <t>20260610000236</t>
        </is>
      </c>
      <c r="R13" s="3">
        <f>HYPERLINK("https://dart.fss.or.kr/dsaf001/main.do?rcpNo=20260610000236", "공시열람")</f>
        <v/>
      </c>
    </row>
    <row r="14">
      <c r="A14" s="2" t="inlineStr">
        <is>
          <t>2026-06-10</t>
        </is>
      </c>
      <c r="B14" s="4" t="inlineStr">
        <is>
          <t>가온칩스</t>
        </is>
      </c>
      <c r="C14" s="2" t="inlineStr">
        <is>
          <t>399720</t>
        </is>
      </c>
      <c r="D14" s="2" t="inlineStr">
        <is>
          <t>대량보유</t>
        </is>
      </c>
      <c r="E14" s="2" t="inlineStr">
        <is>
          <t>2026-04-17</t>
        </is>
      </c>
      <c r="F14" s="2" t="inlineStr">
        <is>
          <t>2026-04-17</t>
        </is>
      </c>
      <c r="G14" s="4" t="inlineStr">
        <is>
          <t>대신-SAM신기술투자조합제1호</t>
        </is>
      </c>
      <c r="H14" s="4" t="inlineStr">
        <is>
          <t>특별관계자</t>
        </is>
      </c>
      <c r="I14" s="4" t="inlineStr">
        <is>
          <t>전환사채의권리행사(+)</t>
        </is>
      </c>
      <c r="J14" s="14" t="n">
        <v>221147</v>
      </c>
      <c r="K14" s="7" t="n">
        <v>43410</v>
      </c>
      <c r="L14" s="14" t="n">
        <v>9599991270</v>
      </c>
      <c r="M14" s="7" t="n">
        <v>794747</v>
      </c>
      <c r="N14" s="12" t="n">
        <v>6.41</v>
      </c>
      <c r="O14" s="7" t="n">
        <v>221147</v>
      </c>
      <c r="P14" s="12" t="n">
        <v>5.06</v>
      </c>
      <c r="Q14" s="2" t="inlineStr">
        <is>
          <t>20260610000236</t>
        </is>
      </c>
      <c r="R14" s="3">
        <f>HYPERLINK("https://dart.fss.or.kr/dsaf001/main.do?rcpNo=20260610000236", "공시열람")</f>
        <v/>
      </c>
    </row>
    <row r="15">
      <c r="A15" s="2" t="inlineStr">
        <is>
          <t>2026-06-10</t>
        </is>
      </c>
      <c r="B15" s="4" t="inlineStr">
        <is>
          <t>가온칩스</t>
        </is>
      </c>
      <c r="C15" s="2" t="inlineStr">
        <is>
          <t>399720</t>
        </is>
      </c>
      <c r="D15" s="2" t="inlineStr">
        <is>
          <t>대량보유</t>
        </is>
      </c>
      <c r="E15" s="2" t="inlineStr">
        <is>
          <t>2026-04-17</t>
        </is>
      </c>
      <c r="F15" s="2" t="inlineStr">
        <is>
          <t>2026-04-17</t>
        </is>
      </c>
      <c r="G15" s="4" t="inlineStr">
        <is>
          <t>대신-SAM신기술투자조합제1호</t>
        </is>
      </c>
      <c r="H15" s="4" t="inlineStr">
        <is>
          <t>특별관계자</t>
        </is>
      </c>
      <c r="I15" s="4" t="inlineStr">
        <is>
          <t>전환등(-)</t>
        </is>
      </c>
      <c r="J15" s="13" t="n">
        <v>-221147</v>
      </c>
      <c r="K15" s="7" t="n">
        <v>43410</v>
      </c>
      <c r="L15" s="13" t="n">
        <v>-9599991270</v>
      </c>
      <c r="M15" s="7" t="n">
        <v>794747</v>
      </c>
      <c r="N15" s="12" t="n">
        <v>6.41</v>
      </c>
      <c r="O15" s="7" t="n">
        <v>516010</v>
      </c>
      <c r="P15" s="12" t="n">
        <v>5.06</v>
      </c>
      <c r="Q15" s="2" t="inlineStr">
        <is>
          <t>20260610000236</t>
        </is>
      </c>
      <c r="R15" s="3">
        <f>HYPERLINK("https://dart.fss.or.kr/dsaf001/main.do?rcpNo=20260610000236", "공시열람")</f>
        <v/>
      </c>
    </row>
    <row r="16">
      <c r="A16" s="2" t="inlineStr">
        <is>
          <t>2026-05-28</t>
        </is>
      </c>
      <c r="B16" s="4" t="inlineStr">
        <is>
          <t>가온칩스</t>
        </is>
      </c>
      <c r="C16" s="2" t="inlineStr">
        <is>
          <t>399720</t>
        </is>
      </c>
      <c r="D16" s="2" t="inlineStr">
        <is>
          <t>대량보유</t>
        </is>
      </c>
      <c r="E16" s="2" t="inlineStr"/>
      <c r="F16" s="2" t="inlineStr"/>
      <c r="G16" s="4" t="inlineStr">
        <is>
          <t>정규동</t>
        </is>
      </c>
      <c r="H16" s="4" t="inlineStr">
        <is>
          <t>최대주주</t>
        </is>
      </c>
      <c r="I16" s="4" t="inlineStr">
        <is>
          <t>특수관계인의 주식담보 대출계약 체결</t>
        </is>
      </c>
      <c r="J16" s="7" t="inlineStr"/>
      <c r="K16" s="7" t="inlineStr"/>
      <c r="L16" s="7" t="inlineStr"/>
      <c r="M16" s="7" t="n">
        <v>5548861</v>
      </c>
      <c r="N16" s="12" t="n">
        <v>47.83</v>
      </c>
      <c r="O16" s="7" t="n">
        <v>5548861</v>
      </c>
      <c r="P16" s="12" t="n">
        <v>46.87</v>
      </c>
      <c r="Q16" s="2" t="inlineStr">
        <is>
          <t>20260528000976</t>
        </is>
      </c>
      <c r="R16" s="3">
        <f>HYPERLINK("https://dart.fss.or.kr/dsaf001/main.do?rcpNo=20260528000976", "공시열람")</f>
        <v/>
      </c>
    </row>
    <row r="17">
      <c r="A17" s="2" t="inlineStr">
        <is>
          <t>2026-05-06</t>
        </is>
      </c>
      <c r="B17" s="4" t="inlineStr">
        <is>
          <t>가온칩스</t>
        </is>
      </c>
      <c r="C17" s="2" t="inlineStr">
        <is>
          <t>399720</t>
        </is>
      </c>
      <c r="D17" s="2" t="inlineStr">
        <is>
          <t>임원보고</t>
        </is>
      </c>
      <c r="E17" s="2" t="inlineStr">
        <is>
          <t>2026-04-28</t>
        </is>
      </c>
      <c r="F17" s="2" t="inlineStr">
        <is>
          <t>2026-04-29</t>
        </is>
      </c>
      <c r="G17" s="4" t="inlineStr">
        <is>
          <t>윤형석</t>
        </is>
      </c>
      <c r="H17" s="4" t="inlineStr">
        <is>
          <t>비등기임원 상무</t>
        </is>
      </c>
      <c r="I17" s="4" t="inlineStr">
        <is>
          <t>장내매도(-)</t>
        </is>
      </c>
      <c r="J17" s="13" t="n">
        <v>-10000</v>
      </c>
      <c r="K17" s="7" t="n">
        <v>72370</v>
      </c>
      <c r="L17" s="13" t="n">
        <v>-723700000</v>
      </c>
      <c r="M17" s="7" t="inlineStr"/>
      <c r="N17" s="15" t="inlineStr"/>
      <c r="O17" s="7" t="n">
        <v>109531</v>
      </c>
      <c r="P17" s="12" t="n">
        <v>0.93</v>
      </c>
      <c r="Q17" s="2" t="inlineStr">
        <is>
          <t>20260506000547</t>
        </is>
      </c>
      <c r="R17" s="3">
        <f>HYPERLINK("https://dart.fss.or.kr/dsaf001/main.do?rcpNo=20260506000547", "공시열람")</f>
        <v/>
      </c>
    </row>
    <row r="18">
      <c r="A18" s="2" t="inlineStr">
        <is>
          <t>2026-05-06</t>
        </is>
      </c>
      <c r="B18" s="4" t="inlineStr">
        <is>
          <t>가온칩스</t>
        </is>
      </c>
      <c r="C18" s="2" t="inlineStr">
        <is>
          <t>399720</t>
        </is>
      </c>
      <c r="D18" s="2" t="inlineStr">
        <is>
          <t>대량보유</t>
        </is>
      </c>
      <c r="E18" s="2" t="inlineStr">
        <is>
          <t>2026-04-28</t>
        </is>
      </c>
      <c r="F18" s="2" t="inlineStr">
        <is>
          <t>2026-04-29</t>
        </is>
      </c>
      <c r="G18" s="4" t="inlineStr">
        <is>
          <t>윤형석</t>
        </is>
      </c>
      <c r="H18" s="4" t="inlineStr">
        <is>
          <t>특별관계자</t>
        </is>
      </c>
      <c r="I18" s="4" t="inlineStr">
        <is>
          <t>장내매도(-)</t>
        </is>
      </c>
      <c r="J18" s="13" t="n">
        <v>-10000</v>
      </c>
      <c r="K18" s="7" t="n">
        <v>72370</v>
      </c>
      <c r="L18" s="13" t="n">
        <v>-723700000</v>
      </c>
      <c r="M18" s="7" t="n">
        <v>5561871</v>
      </c>
      <c r="N18" s="12" t="n">
        <v>47.95</v>
      </c>
      <c r="O18" s="7" t="n">
        <v>109531</v>
      </c>
      <c r="P18" s="12" t="n">
        <v>47.83</v>
      </c>
      <c r="Q18" s="2" t="inlineStr">
        <is>
          <t>20260506000551</t>
        </is>
      </c>
      <c r="R18" s="3">
        <f>HYPERLINK("https://dart.fss.or.kr/dsaf001/main.do?rcpNo=20260506000551", "공시열람")</f>
        <v/>
      </c>
    </row>
    <row r="19">
      <c r="A19" s="2" t="inlineStr">
        <is>
          <t>2026-05-06</t>
        </is>
      </c>
      <c r="B19" s="4" t="inlineStr">
        <is>
          <t>가온칩스</t>
        </is>
      </c>
      <c r="C19" s="2" t="inlineStr">
        <is>
          <t>399720</t>
        </is>
      </c>
      <c r="D19" s="2" t="inlineStr">
        <is>
          <t>대량보유</t>
        </is>
      </c>
      <c r="E19" s="2" t="inlineStr">
        <is>
          <t>2026-04-29</t>
        </is>
      </c>
      <c r="F19" s="2" t="inlineStr">
        <is>
          <t>2026-04-29</t>
        </is>
      </c>
      <c r="G19" s="4" t="inlineStr">
        <is>
          <t>박영근</t>
        </is>
      </c>
      <c r="H19" s="4" t="inlineStr">
        <is>
          <t>특별관계자</t>
        </is>
      </c>
      <c r="I19" s="4" t="inlineStr">
        <is>
          <t>장내매도(-)</t>
        </is>
      </c>
      <c r="J19" s="13" t="n">
        <v>-3000</v>
      </c>
      <c r="K19" s="7" t="n">
        <v>76000</v>
      </c>
      <c r="L19" s="13" t="n">
        <v>-228000000</v>
      </c>
      <c r="M19" s="7" t="n">
        <v>5561871</v>
      </c>
      <c r="N19" s="12" t="n">
        <v>47.95</v>
      </c>
      <c r="O19" s="7" t="n">
        <v>1000</v>
      </c>
      <c r="P19" s="12" t="n">
        <v>47.83</v>
      </c>
      <c r="Q19" s="2" t="inlineStr">
        <is>
          <t>20260506000551</t>
        </is>
      </c>
      <c r="R19" s="3">
        <f>HYPERLINK("https://dart.fss.or.kr/dsaf001/main.do?rcpNo=20260506000551", "공시열람")</f>
        <v/>
      </c>
    </row>
    <row r="20">
      <c r="A20" s="2" t="inlineStr">
        <is>
          <t>2026-05-06</t>
        </is>
      </c>
      <c r="B20" s="4" t="inlineStr">
        <is>
          <t>가온칩스</t>
        </is>
      </c>
      <c r="C20" s="2" t="inlineStr">
        <is>
          <t>399720</t>
        </is>
      </c>
      <c r="D20" s="2" t="inlineStr">
        <is>
          <t>임원보고</t>
        </is>
      </c>
      <c r="E20" s="2" t="inlineStr">
        <is>
          <t>2026-04-29</t>
        </is>
      </c>
      <c r="F20" s="2" t="inlineStr">
        <is>
          <t>2026-04-29</t>
        </is>
      </c>
      <c r="G20" s="4" t="inlineStr">
        <is>
          <t>박영근</t>
        </is>
      </c>
      <c r="H20" s="4" t="inlineStr">
        <is>
          <t>비등기임원 상무</t>
        </is>
      </c>
      <c r="I20" s="4" t="inlineStr">
        <is>
          <t>장내매도(-)</t>
        </is>
      </c>
      <c r="J20" s="13" t="n">
        <v>-3000</v>
      </c>
      <c r="K20" s="7" t="n">
        <v>76000</v>
      </c>
      <c r="L20" s="13" t="n">
        <v>-228000000</v>
      </c>
      <c r="M20" s="7" t="inlineStr"/>
      <c r="N20" s="15" t="inlineStr"/>
      <c r="O20" s="7" t="n">
        <v>1000</v>
      </c>
      <c r="P20" s="12" t="n">
        <v>0.01</v>
      </c>
      <c r="Q20" s="2" t="inlineStr">
        <is>
          <t>20260506000544</t>
        </is>
      </c>
      <c r="R20" s="3">
        <f>HYPERLINK("https://dart.fss.or.kr/dsaf001/main.do?rcpNo=20260506000544", "공시열람")</f>
        <v/>
      </c>
    </row>
    <row r="21">
      <c r="A21" s="2" t="inlineStr">
        <is>
          <t>2026-03-13</t>
        </is>
      </c>
      <c r="B21" s="4" t="inlineStr">
        <is>
          <t>가온칩스</t>
        </is>
      </c>
      <c r="C21" s="2" t="inlineStr">
        <is>
          <t>399720</t>
        </is>
      </c>
      <c r="D21" s="2" t="inlineStr">
        <is>
          <t>대량보유</t>
        </is>
      </c>
      <c r="E21" s="2" t="inlineStr">
        <is>
          <t>2026-02-24</t>
        </is>
      </c>
      <c r="F21" s="2" t="inlineStr">
        <is>
          <t>2026-02-26</t>
        </is>
      </c>
      <c r="G21" s="4" t="inlineStr">
        <is>
          <t>박대남</t>
        </is>
      </c>
      <c r="H21" s="4" t="inlineStr">
        <is>
          <t>특별관계자</t>
        </is>
      </c>
      <c r="I21" s="4" t="inlineStr">
        <is>
          <t>장내매도(-)</t>
        </is>
      </c>
      <c r="J21" s="13" t="n">
        <v>-7000</v>
      </c>
      <c r="K21" s="7" t="n">
        <v>71209</v>
      </c>
      <c r="L21" s="13" t="n">
        <v>-498463000</v>
      </c>
      <c r="M21" s="7" t="n">
        <v>5568871</v>
      </c>
      <c r="N21" s="12" t="n">
        <v>48.01</v>
      </c>
      <c r="O21" s="7" t="n">
        <v>246500</v>
      </c>
      <c r="P21" s="12" t="n">
        <v>47.95</v>
      </c>
      <c r="Q21" s="2" t="inlineStr">
        <is>
          <t>20260313000885</t>
        </is>
      </c>
      <c r="R21" s="3">
        <f>HYPERLINK("https://dart.fss.or.kr/dsaf001/main.do?rcpNo=20260313000885", "공시열람")</f>
        <v/>
      </c>
    </row>
    <row r="22">
      <c r="A22" s="2" t="inlineStr">
        <is>
          <t>2026-03-10</t>
        </is>
      </c>
      <c r="B22" s="4" t="inlineStr">
        <is>
          <t>가온칩스</t>
        </is>
      </c>
      <c r="C22" s="2" t="inlineStr">
        <is>
          <t>399720</t>
        </is>
      </c>
      <c r="D22" s="2" t="inlineStr">
        <is>
          <t>대량보유</t>
        </is>
      </c>
      <c r="E22" s="2" t="inlineStr">
        <is>
          <t>2026-03-05</t>
        </is>
      </c>
      <c r="F22" s="2" t="inlineStr">
        <is>
          <t>2026-03-05</t>
        </is>
      </c>
      <c r="G22" s="4" t="inlineStr">
        <is>
          <t>삼성자산운용</t>
        </is>
      </c>
      <c r="H22" s="4" t="inlineStr">
        <is>
          <t>주주</t>
        </is>
      </c>
      <c r="I22" s="4" t="inlineStr">
        <is>
          <t>기타(-)</t>
        </is>
      </c>
      <c r="J22" s="13" t="n">
        <v>-1484</v>
      </c>
      <c r="K22" s="7" t="n">
        <v>14850</v>
      </c>
      <c r="L22" s="13" t="n">
        <v>-22037400</v>
      </c>
      <c r="M22" s="7" t="inlineStr"/>
      <c r="N22" s="15" t="inlineStr"/>
      <c r="O22" s="7" t="n">
        <v>597999</v>
      </c>
      <c r="P22" s="12" t="n">
        <v>5.15</v>
      </c>
      <c r="Q22" s="2" t="inlineStr">
        <is>
          <t>20260310002693</t>
        </is>
      </c>
      <c r="R22" s="3">
        <f>HYPERLINK("https://dart.fss.or.kr/dsaf001/main.do?rcpNo=20260310002693", "공시열람")</f>
        <v/>
      </c>
    </row>
    <row r="23">
      <c r="A23" s="2" t="inlineStr">
        <is>
          <t>2026-03-10</t>
        </is>
      </c>
      <c r="B23" s="4" t="inlineStr">
        <is>
          <t>가온칩스</t>
        </is>
      </c>
      <c r="C23" s="2" t="inlineStr">
        <is>
          <t>399720</t>
        </is>
      </c>
      <c r="D23" s="2" t="inlineStr">
        <is>
          <t>대량보유</t>
        </is>
      </c>
      <c r="E23" s="2" t="inlineStr">
        <is>
          <t>2026-03-05</t>
        </is>
      </c>
      <c r="F23" s="2" t="inlineStr">
        <is>
          <t>2026-03-05</t>
        </is>
      </c>
      <c r="G23" s="4" t="inlineStr">
        <is>
          <t>삼성자산운용</t>
        </is>
      </c>
      <c r="H23" s="4" t="inlineStr">
        <is>
          <t>주주</t>
        </is>
      </c>
      <c r="I23" s="4" t="inlineStr">
        <is>
          <t>기타(+)</t>
        </is>
      </c>
      <c r="J23" s="14" t="n">
        <v>35224</v>
      </c>
      <c r="K23" s="7" t="n">
        <v>16976</v>
      </c>
      <c r="L23" s="14" t="n">
        <v>597962624</v>
      </c>
      <c r="M23" s="7" t="inlineStr"/>
      <c r="N23" s="15" t="inlineStr"/>
      <c r="O23" s="7" t="n">
        <v>599483</v>
      </c>
      <c r="P23" s="12" t="n">
        <v>5.15</v>
      </c>
      <c r="Q23" s="2" t="inlineStr">
        <is>
          <t>20260310002693</t>
        </is>
      </c>
      <c r="R23" s="3">
        <f>HYPERLINK("https://dart.fss.or.kr/dsaf001/main.do?rcpNo=20260310002693", "공시열람")</f>
        <v/>
      </c>
    </row>
    <row r="24">
      <c r="A24" s="2" t="inlineStr">
        <is>
          <t>2026-03-10</t>
        </is>
      </c>
      <c r="B24" s="4" t="inlineStr">
        <is>
          <t>가온칩스</t>
        </is>
      </c>
      <c r="C24" s="2" t="inlineStr">
        <is>
          <t>399720</t>
        </is>
      </c>
      <c r="D24" s="2" t="inlineStr">
        <is>
          <t>대량보유</t>
        </is>
      </c>
      <c r="E24" s="2" t="inlineStr">
        <is>
          <t>2026-03-05</t>
        </is>
      </c>
      <c r="F24" s="2" t="inlineStr">
        <is>
          <t>2026-03-05</t>
        </is>
      </c>
      <c r="G24" s="4" t="inlineStr">
        <is>
          <t>삼성자산운용</t>
        </is>
      </c>
      <c r="H24" s="4" t="inlineStr">
        <is>
          <t>주주</t>
        </is>
      </c>
      <c r="I24" s="4" t="inlineStr">
        <is>
          <t>장내매수(+)</t>
        </is>
      </c>
      <c r="J24" s="14" t="n">
        <v>16361</v>
      </c>
      <c r="K24" s="7" t="n">
        <v>14850</v>
      </c>
      <c r="L24" s="14" t="n">
        <v>242960850</v>
      </c>
      <c r="M24" s="7" t="inlineStr"/>
      <c r="N24" s="15" t="inlineStr"/>
      <c r="O24" s="7" t="n">
        <v>564259</v>
      </c>
      <c r="P24" s="12" t="n">
        <v>5.15</v>
      </c>
      <c r="Q24" s="2" t="inlineStr">
        <is>
          <t>20260310002693</t>
        </is>
      </c>
      <c r="R24" s="3">
        <f>HYPERLINK("https://dart.fss.or.kr/dsaf001/main.do?rcpNo=20260310002693", "공시열람")</f>
        <v/>
      </c>
    </row>
    <row r="25">
      <c r="A25" s="2" t="inlineStr">
        <is>
          <t>2026-03-10</t>
        </is>
      </c>
      <c r="B25" s="4" t="inlineStr">
        <is>
          <t>가온칩스</t>
        </is>
      </c>
      <c r="C25" s="2" t="inlineStr">
        <is>
          <t>399720</t>
        </is>
      </c>
      <c r="D25" s="2" t="inlineStr">
        <is>
          <t>대량보유</t>
        </is>
      </c>
      <c r="E25" s="2" t="inlineStr">
        <is>
          <t>2026-03-05</t>
        </is>
      </c>
      <c r="F25" s="2" t="inlineStr">
        <is>
          <t>2026-03-05</t>
        </is>
      </c>
      <c r="G25" s="4" t="inlineStr">
        <is>
          <t>삼성자산운용</t>
        </is>
      </c>
      <c r="H25" s="4" t="inlineStr">
        <is>
          <t>주주</t>
        </is>
      </c>
      <c r="I25" s="4" t="inlineStr">
        <is>
          <t>신규보고(+)</t>
        </is>
      </c>
      <c r="J25" s="14" t="n">
        <v>547898</v>
      </c>
      <c r="K25" s="7" t="n">
        <v>60500</v>
      </c>
      <c r="L25" s="14" t="n">
        <v>33147829000</v>
      </c>
      <c r="M25" s="7" t="inlineStr"/>
      <c r="N25" s="15" t="inlineStr"/>
      <c r="O25" s="7" t="n">
        <v>547898</v>
      </c>
      <c r="P25" s="12" t="n">
        <v>5.15</v>
      </c>
      <c r="Q25" s="2" t="inlineStr">
        <is>
          <t>20260310002693</t>
        </is>
      </c>
      <c r="R25" s="3">
        <f>HYPERLINK("https://dart.fss.or.kr/dsaf001/main.do?rcpNo=20260310002693", "공시열람")</f>
        <v/>
      </c>
    </row>
    <row r="26">
      <c r="A26" s="2" t="inlineStr">
        <is>
          <t>2026-03-04</t>
        </is>
      </c>
      <c r="B26" s="4" t="inlineStr">
        <is>
          <t>가온칩스</t>
        </is>
      </c>
      <c r="C26" s="2" t="inlineStr">
        <is>
          <t>399720</t>
        </is>
      </c>
      <c r="D26" s="2" t="inlineStr">
        <is>
          <t>임원보고</t>
        </is>
      </c>
      <c r="E26" s="2" t="inlineStr">
        <is>
          <t>2026-02-24</t>
        </is>
      </c>
      <c r="F26" s="2" t="inlineStr">
        <is>
          <t>2026-02-26</t>
        </is>
      </c>
      <c r="G26" s="4" t="inlineStr">
        <is>
          <t>박대남</t>
        </is>
      </c>
      <c r="H26" s="4" t="inlineStr">
        <is>
          <t>비등기임원 전무</t>
        </is>
      </c>
      <c r="I26" s="4" t="inlineStr">
        <is>
          <t>장내매도(-)</t>
        </is>
      </c>
      <c r="J26" s="13" t="n">
        <v>-7000</v>
      </c>
      <c r="K26" s="7" t="n">
        <v>71209</v>
      </c>
      <c r="L26" s="13" t="n">
        <v>-498463000</v>
      </c>
      <c r="M26" s="7" t="inlineStr"/>
      <c r="N26" s="15" t="inlineStr"/>
      <c r="O26" s="7" t="n">
        <v>246500</v>
      </c>
      <c r="P26" s="12" t="n">
        <v>2.12</v>
      </c>
      <c r="Q26" s="2" t="inlineStr">
        <is>
          <t>20260304001271</t>
        </is>
      </c>
      <c r="R26" s="3">
        <f>HYPERLINK("https://dart.fss.or.kr/dsaf001/main.do?rcpNo=20260304001271", "공시열람")</f>
        <v/>
      </c>
    </row>
    <row r="27">
      <c r="A27" s="2" t="inlineStr">
        <is>
          <t>2026-02-27</t>
        </is>
      </c>
      <c r="B27" s="4" t="inlineStr">
        <is>
          <t>가온칩스</t>
        </is>
      </c>
      <c r="C27" s="2" t="inlineStr">
        <is>
          <t>399720</t>
        </is>
      </c>
      <c r="D27" s="2" t="inlineStr">
        <is>
          <t>대량보유</t>
        </is>
      </c>
      <c r="E27" s="2" t="inlineStr">
        <is>
          <t>2026-02-11</t>
        </is>
      </c>
      <c r="F27" s="2" t="inlineStr">
        <is>
          <t>2026-02-11</t>
        </is>
      </c>
      <c r="G27" s="4" t="inlineStr">
        <is>
          <t>정소윤</t>
        </is>
      </c>
      <c r="H27" s="4" t="inlineStr">
        <is>
          <t>특별관계자</t>
        </is>
      </c>
      <c r="I27" s="4" t="inlineStr">
        <is>
          <t>장내매도(-)</t>
        </is>
      </c>
      <c r="J27" s="13" t="n">
        <v>-1100</v>
      </c>
      <c r="K27" s="7" t="n">
        <v>66500</v>
      </c>
      <c r="L27" s="13" t="n">
        <v>-73150000</v>
      </c>
      <c r="M27" s="7" t="n">
        <v>5577061</v>
      </c>
      <c r="N27" s="12" t="n">
        <v>48.08</v>
      </c>
      <c r="O27" s="7" t="n">
        <v>8900</v>
      </c>
      <c r="P27" s="12" t="n">
        <v>48.01</v>
      </c>
      <c r="Q27" s="2" t="inlineStr">
        <is>
          <t>20260227007396</t>
        </is>
      </c>
      <c r="R27" s="3">
        <f>HYPERLINK("https://dart.fss.or.kr/dsaf001/main.do?rcpNo=20260227007396", "공시열람")</f>
        <v/>
      </c>
    </row>
    <row r="28">
      <c r="A28" s="2" t="inlineStr">
        <is>
          <t>2026-02-27</t>
        </is>
      </c>
      <c r="B28" s="4" t="inlineStr">
        <is>
          <t>가온칩스</t>
        </is>
      </c>
      <c r="C28" s="2" t="inlineStr">
        <is>
          <t>399720</t>
        </is>
      </c>
      <c r="D28" s="2" t="inlineStr">
        <is>
          <t>대량보유</t>
        </is>
      </c>
      <c r="E28" s="2" t="inlineStr">
        <is>
          <t>2026-02-11</t>
        </is>
      </c>
      <c r="F28" s="2" t="inlineStr">
        <is>
          <t>2026-02-11</t>
        </is>
      </c>
      <c r="G28" s="4" t="inlineStr">
        <is>
          <t>정세운</t>
        </is>
      </c>
      <c r="H28" s="4" t="inlineStr">
        <is>
          <t>특별관계자</t>
        </is>
      </c>
      <c r="I28" s="4" t="inlineStr">
        <is>
          <t>장내매도(-)</t>
        </is>
      </c>
      <c r="J28" s="13" t="n">
        <v>-1100</v>
      </c>
      <c r="K28" s="7" t="n">
        <v>66500</v>
      </c>
      <c r="L28" s="13" t="n">
        <v>-73150000</v>
      </c>
      <c r="M28" s="7" t="n">
        <v>5577061</v>
      </c>
      <c r="N28" s="12" t="n">
        <v>48.08</v>
      </c>
      <c r="O28" s="7" t="n">
        <v>8900</v>
      </c>
      <c r="P28" s="12" t="n">
        <v>48.01</v>
      </c>
      <c r="Q28" s="2" t="inlineStr">
        <is>
          <t>20260227007396</t>
        </is>
      </c>
      <c r="R28" s="3">
        <f>HYPERLINK("https://dart.fss.or.kr/dsaf001/main.do?rcpNo=20260227007396", "공시열람")</f>
        <v/>
      </c>
    </row>
    <row r="29">
      <c r="A29" s="2" t="inlineStr">
        <is>
          <t>2026-02-27</t>
        </is>
      </c>
      <c r="B29" s="4" t="inlineStr">
        <is>
          <t>가온칩스</t>
        </is>
      </c>
      <c r="C29" s="2" t="inlineStr">
        <is>
          <t>399720</t>
        </is>
      </c>
      <c r="D29" s="2" t="inlineStr">
        <is>
          <t>대량보유</t>
        </is>
      </c>
      <c r="E29" s="2" t="inlineStr">
        <is>
          <t>2026-02-11</t>
        </is>
      </c>
      <c r="F29" s="2" t="inlineStr">
        <is>
          <t>2026-02-19</t>
        </is>
      </c>
      <c r="G29" s="4" t="inlineStr">
        <is>
          <t>김언진</t>
        </is>
      </c>
      <c r="H29" s="4" t="inlineStr">
        <is>
          <t>특별관계자</t>
        </is>
      </c>
      <c r="I29" s="4" t="inlineStr">
        <is>
          <t>장내매도(-)</t>
        </is>
      </c>
      <c r="J29" s="13" t="n">
        <v>-5990</v>
      </c>
      <c r="K29" s="7" t="n">
        <v>67164</v>
      </c>
      <c r="L29" s="13" t="n">
        <v>-402312360</v>
      </c>
      <c r="M29" s="7" t="n">
        <v>5577061</v>
      </c>
      <c r="N29" s="12" t="n">
        <v>48.08</v>
      </c>
      <c r="O29" s="7" t="n">
        <v>4010</v>
      </c>
      <c r="P29" s="12" t="n">
        <v>48.01</v>
      </c>
      <c r="Q29" s="2" t="inlineStr">
        <is>
          <t>20260227007396</t>
        </is>
      </c>
      <c r="R29" s="3">
        <f>HYPERLINK("https://dart.fss.or.kr/dsaf001/main.do?rcpNo=20260227007396", "공시열람")</f>
        <v/>
      </c>
    </row>
    <row r="30">
      <c r="A30" s="2" t="inlineStr">
        <is>
          <t>2026-01-29</t>
        </is>
      </c>
      <c r="B30" s="4" t="inlineStr">
        <is>
          <t>가온칩스</t>
        </is>
      </c>
      <c r="C30" s="2" t="inlineStr">
        <is>
          <t>399720</t>
        </is>
      </c>
      <c r="D30" s="2" t="inlineStr">
        <is>
          <t>대량보유</t>
        </is>
      </c>
      <c r="E30" s="2" t="inlineStr"/>
      <c r="F30" s="2" t="inlineStr"/>
      <c r="G30" s="4" t="inlineStr">
        <is>
          <t>정규동</t>
        </is>
      </c>
      <c r="H30" s="4" t="inlineStr">
        <is>
          <t>최대주주</t>
        </is>
      </c>
      <c r="I30" s="4" t="inlineStr">
        <is>
          <t>특수관계인의 주식담보 대출계약 체결</t>
        </is>
      </c>
      <c r="J30" s="7" t="inlineStr"/>
      <c r="K30" s="7" t="inlineStr"/>
      <c r="L30" s="7" t="inlineStr"/>
      <c r="M30" s="7" t="n">
        <v>5577061</v>
      </c>
      <c r="N30" s="12" t="n">
        <v>48.08</v>
      </c>
      <c r="O30" s="7" t="n">
        <v>5577061</v>
      </c>
      <c r="P30" s="12" t="n">
        <v>48.08</v>
      </c>
      <c r="Q30" s="2" t="inlineStr">
        <is>
          <t>20260129000633</t>
        </is>
      </c>
      <c r="R30" s="3">
        <f>HYPERLINK("https://dart.fss.or.kr/dsaf001/main.do?rcpNo=20260129000633", "공시열람")</f>
        <v/>
      </c>
    </row>
    <row r="31">
      <c r="A31" s="2" t="inlineStr">
        <is>
          <t>2025-11-24</t>
        </is>
      </c>
      <c r="B31" s="4" t="inlineStr">
        <is>
          <t>가온칩스</t>
        </is>
      </c>
      <c r="C31" s="2" t="inlineStr">
        <is>
          <t>399720</t>
        </is>
      </c>
      <c r="D31" s="2" t="inlineStr">
        <is>
          <t>대량보유</t>
        </is>
      </c>
      <c r="E31" s="2" t="inlineStr">
        <is>
          <t>2025-10-16</t>
        </is>
      </c>
      <c r="F31" s="2" t="inlineStr">
        <is>
          <t>2025-10-29</t>
        </is>
      </c>
      <c r="G31" s="4" t="inlineStr">
        <is>
          <t>김진오</t>
        </is>
      </c>
      <c r="H31" s="4" t="inlineStr">
        <is>
          <t>특별관계자</t>
        </is>
      </c>
      <c r="I31" s="4" t="inlineStr">
        <is>
          <t>장내매도(-)</t>
        </is>
      </c>
      <c r="J31" s="13" t="n">
        <v>-42500</v>
      </c>
      <c r="K31" s="7" t="n">
        <v>54439</v>
      </c>
      <c r="L31" s="13" t="n">
        <v>-2313657500</v>
      </c>
      <c r="M31" s="7" t="n">
        <v>5628941</v>
      </c>
      <c r="N31" s="12" t="n">
        <v>48.52</v>
      </c>
      <c r="O31" s="7" t="n">
        <v>20000</v>
      </c>
      <c r="P31" s="12" t="n">
        <v>48.08</v>
      </c>
      <c r="Q31" s="2" t="inlineStr">
        <is>
          <t>20251124000346</t>
        </is>
      </c>
      <c r="R31" s="3">
        <f>HYPERLINK("https://dart.fss.or.kr/dsaf001/main.do?rcpNo=20251124000346", "공시열람")</f>
        <v/>
      </c>
    </row>
    <row r="32">
      <c r="A32" s="2" t="inlineStr">
        <is>
          <t>2025-11-24</t>
        </is>
      </c>
      <c r="B32" s="4" t="inlineStr">
        <is>
          <t>가온칩스</t>
        </is>
      </c>
      <c r="C32" s="2" t="inlineStr">
        <is>
          <t>399720</t>
        </is>
      </c>
      <c r="D32" s="2" t="inlineStr">
        <is>
          <t>대량보유</t>
        </is>
      </c>
      <c r="E32" s="2" t="inlineStr">
        <is>
          <t>2025-10-16</t>
        </is>
      </c>
      <c r="F32" s="2" t="inlineStr">
        <is>
          <t>2025-10-16</t>
        </is>
      </c>
      <c r="G32" s="4" t="inlineStr">
        <is>
          <t>김진오</t>
        </is>
      </c>
      <c r="H32" s="4" t="inlineStr">
        <is>
          <t>특별관계자</t>
        </is>
      </c>
      <c r="I32" s="4" t="inlineStr">
        <is>
          <t>증여(-)</t>
        </is>
      </c>
      <c r="J32" s="13" t="n">
        <v>-900</v>
      </c>
      <c r="K32" s="7" t="n">
        <v>500</v>
      </c>
      <c r="L32" s="13" t="n">
        <v>-450000</v>
      </c>
      <c r="M32" s="7" t="n">
        <v>5628941</v>
      </c>
      <c r="N32" s="12" t="n">
        <v>48.52</v>
      </c>
      <c r="O32" s="7" t="n">
        <v>42500</v>
      </c>
      <c r="P32" s="12" t="n">
        <v>48.08</v>
      </c>
      <c r="Q32" s="2" t="inlineStr">
        <is>
          <t>20251124000346</t>
        </is>
      </c>
      <c r="R32" s="3">
        <f>HYPERLINK("https://dart.fss.or.kr/dsaf001/main.do?rcpNo=20251124000346", "공시열람")</f>
        <v/>
      </c>
    </row>
    <row r="33">
      <c r="A33" s="2" t="inlineStr">
        <is>
          <t>2025-11-24</t>
        </is>
      </c>
      <c r="B33" s="4" t="inlineStr">
        <is>
          <t>가온칩스</t>
        </is>
      </c>
      <c r="C33" s="2" t="inlineStr">
        <is>
          <t>399720</t>
        </is>
      </c>
      <c r="D33" s="2" t="inlineStr">
        <is>
          <t>대량보유</t>
        </is>
      </c>
      <c r="E33" s="2" t="inlineStr">
        <is>
          <t>2025-09-25</t>
        </is>
      </c>
      <c r="F33" s="2" t="inlineStr">
        <is>
          <t>2025-09-25</t>
        </is>
      </c>
      <c r="G33" s="4" t="inlineStr">
        <is>
          <t>윤형석</t>
        </is>
      </c>
      <c r="H33" s="4" t="inlineStr">
        <is>
          <t>특별관계자</t>
        </is>
      </c>
      <c r="I33" s="4" t="inlineStr">
        <is>
          <t>증여(-)</t>
        </is>
      </c>
      <c r="J33" s="13" t="n">
        <v>-8480</v>
      </c>
      <c r="K33" s="7" t="n">
        <v>51000</v>
      </c>
      <c r="L33" s="13" t="n">
        <v>-432480000</v>
      </c>
      <c r="M33" s="7" t="n">
        <v>5628941</v>
      </c>
      <c r="N33" s="12" t="n">
        <v>48.52</v>
      </c>
      <c r="O33" s="7" t="n">
        <v>119531</v>
      </c>
      <c r="P33" s="12" t="n">
        <v>48.08</v>
      </c>
      <c r="Q33" s="2" t="inlineStr">
        <is>
          <t>20251124000346</t>
        </is>
      </c>
      <c r="R33" s="3">
        <f>HYPERLINK("https://dart.fss.or.kr/dsaf001/main.do?rcpNo=20251124000346", "공시열람")</f>
        <v/>
      </c>
    </row>
    <row r="34">
      <c r="A34" s="2" t="inlineStr">
        <is>
          <t>2025-11-07</t>
        </is>
      </c>
      <c r="B34" s="4" t="inlineStr">
        <is>
          <t>가온칩스</t>
        </is>
      </c>
      <c r="C34" s="2" t="inlineStr">
        <is>
          <t>399720</t>
        </is>
      </c>
      <c r="D34" s="2" t="inlineStr">
        <is>
          <t>대량보유</t>
        </is>
      </c>
      <c r="E34" s="2" t="inlineStr">
        <is>
          <t>2025-07-30</t>
        </is>
      </c>
      <c r="F34" s="2" t="inlineStr">
        <is>
          <t>2025-11-06</t>
        </is>
      </c>
      <c r="G34" s="4" t="inlineStr">
        <is>
          <t>심진섭</t>
        </is>
      </c>
      <c r="H34" s="4" t="inlineStr">
        <is>
          <t>주주</t>
        </is>
      </c>
      <c r="I34" s="4" t="inlineStr">
        <is>
          <t>장내매도(-)</t>
        </is>
      </c>
      <c r="J34" s="13" t="n">
        <v>-219682</v>
      </c>
      <c r="K34" s="7" t="n">
        <v>56009</v>
      </c>
      <c r="L34" s="13" t="n">
        <v>-12304169138</v>
      </c>
      <c r="M34" s="7" t="n">
        <v>725108</v>
      </c>
      <c r="N34" s="12" t="n">
        <v>6.25</v>
      </c>
      <c r="O34" s="7" t="n">
        <v>465426</v>
      </c>
      <c r="P34" s="12" t="n">
        <v>4.36</v>
      </c>
      <c r="Q34" s="2" t="inlineStr">
        <is>
          <t>20251107000403</t>
        </is>
      </c>
      <c r="R34" s="3">
        <f>HYPERLINK("https://dart.fss.or.kr/dsaf001/main.do?rcpNo=20251107000403", "공시열람")</f>
        <v/>
      </c>
    </row>
    <row r="35">
      <c r="A35" s="2" t="inlineStr">
        <is>
          <t>2025-10-01</t>
        </is>
      </c>
      <c r="B35" s="4" t="inlineStr">
        <is>
          <t>가온칩스</t>
        </is>
      </c>
      <c r="C35" s="2" t="inlineStr">
        <is>
          <t>399720</t>
        </is>
      </c>
      <c r="D35" s="2" t="inlineStr">
        <is>
          <t>임원보고</t>
        </is>
      </c>
      <c r="E35" s="2" t="inlineStr">
        <is>
          <t>2025-09-25</t>
        </is>
      </c>
      <c r="F35" s="2" t="inlineStr">
        <is>
          <t>2025-09-25</t>
        </is>
      </c>
      <c r="G35" s="4" t="inlineStr">
        <is>
          <t>윤형석</t>
        </is>
      </c>
      <c r="H35" s="4" t="inlineStr">
        <is>
          <t>비등기임원 상무</t>
        </is>
      </c>
      <c r="I35" s="4" t="inlineStr">
        <is>
          <t>증여(-)</t>
        </is>
      </c>
      <c r="J35" s="13" t="n">
        <v>-8480</v>
      </c>
      <c r="K35" s="7" t="n">
        <v>51000</v>
      </c>
      <c r="L35" s="13" t="n">
        <v>-432480000</v>
      </c>
      <c r="M35" s="7" t="inlineStr"/>
      <c r="N35" s="15" t="inlineStr"/>
      <c r="O35" s="7" t="n">
        <v>119531</v>
      </c>
      <c r="P35" s="12" t="n">
        <v>1.03</v>
      </c>
      <c r="Q35" s="2" t="inlineStr">
        <is>
          <t>20251001000574</t>
        </is>
      </c>
      <c r="R35" s="3">
        <f>HYPERLINK("https://dart.fss.or.kr/dsaf001/main.do?rcpNo=20251001000574", "공시열람")</f>
        <v/>
      </c>
    </row>
    <row r="36">
      <c r="A36" s="2" t="inlineStr">
        <is>
          <t>2025-09-16</t>
        </is>
      </c>
      <c r="B36" s="4" t="inlineStr">
        <is>
          <t>가온칩스</t>
        </is>
      </c>
      <c r="C36" s="2" t="inlineStr">
        <is>
          <t>399720</t>
        </is>
      </c>
      <c r="D36" s="2" t="inlineStr">
        <is>
          <t>대량보유</t>
        </is>
      </c>
      <c r="E36" s="2" t="inlineStr">
        <is>
          <t>2025-07-30</t>
        </is>
      </c>
      <c r="F36" s="2" t="inlineStr">
        <is>
          <t>2025-07-30</t>
        </is>
      </c>
      <c r="G36" s="4" t="inlineStr">
        <is>
          <t>김진오</t>
        </is>
      </c>
      <c r="H36" s="4" t="inlineStr">
        <is>
          <t>특별관계자</t>
        </is>
      </c>
      <c r="I36" s="4" t="inlineStr">
        <is>
          <t>장내매도(-)</t>
        </is>
      </c>
      <c r="J36" s="13" t="n">
        <v>-6600</v>
      </c>
      <c r="K36" s="7" t="n">
        <v>44716</v>
      </c>
      <c r="L36" s="13" t="n">
        <v>-295125600</v>
      </c>
      <c r="M36" s="7" t="n">
        <v>5635541</v>
      </c>
      <c r="N36" s="12" t="n">
        <v>48.58</v>
      </c>
      <c r="O36" s="7" t="n">
        <v>43400</v>
      </c>
      <c r="P36" s="12" t="n">
        <v>48.52</v>
      </c>
      <c r="Q36" s="2" t="inlineStr">
        <is>
          <t>20250916000174</t>
        </is>
      </c>
      <c r="R36" s="3">
        <f>HYPERLINK("https://dart.fss.or.kr/dsaf001/main.do?rcpNo=20250916000174", "공시열람")</f>
        <v/>
      </c>
    </row>
    <row r="37">
      <c r="A37" s="2" t="inlineStr">
        <is>
          <t>2025-07-22 (원공시: 2025-07-03)</t>
        </is>
      </c>
      <c r="B37" s="4" t="inlineStr">
        <is>
          <t>가온칩스</t>
        </is>
      </c>
      <c r="C37" s="2" t="inlineStr">
        <is>
          <t>399720</t>
        </is>
      </c>
      <c r="D37" s="2" t="inlineStr">
        <is>
          <t>대량보유</t>
        </is>
      </c>
      <c r="E37" s="2" t="inlineStr">
        <is>
          <t>2025-06-18</t>
        </is>
      </c>
      <c r="F37" s="2" t="inlineStr">
        <is>
          <t>2025-06-18</t>
        </is>
      </c>
      <c r="G37" s="4" t="inlineStr">
        <is>
          <t>김효철</t>
        </is>
      </c>
      <c r="H37" s="4" t="inlineStr">
        <is>
          <t>특별관계자</t>
        </is>
      </c>
      <c r="I37" s="4" t="inlineStr">
        <is>
          <t>주식매수선택권행사(+)</t>
        </is>
      </c>
      <c r="J37" s="14" t="n">
        <v>2000</v>
      </c>
      <c r="K37" s="7" t="n">
        <v>1000</v>
      </c>
      <c r="L37" s="14" t="n">
        <v>2000000</v>
      </c>
      <c r="M37" s="7" t="n">
        <v>5635541</v>
      </c>
      <c r="N37" s="12" t="n">
        <v>48.59</v>
      </c>
      <c r="O37" s="7" t="n">
        <v>32000</v>
      </c>
      <c r="P37" s="12" t="n">
        <v>48.58</v>
      </c>
      <c r="Q37" s="2" t="inlineStr">
        <is>
          <t>20250722000211</t>
        </is>
      </c>
      <c r="R37" s="3">
        <f>HYPERLINK("https://dart.fss.or.kr/dsaf001/main.do?rcpNo=20250722000211", "공시열람")</f>
        <v/>
      </c>
    </row>
    <row r="38">
      <c r="A38" s="2" t="inlineStr">
        <is>
          <t>2025-07-22 (원공시: 2025-07-03)</t>
        </is>
      </c>
      <c r="B38" s="4" t="inlineStr">
        <is>
          <t>가온칩스</t>
        </is>
      </c>
      <c r="C38" s="2" t="inlineStr">
        <is>
          <t>399720</t>
        </is>
      </c>
      <c r="D38" s="2" t="inlineStr">
        <is>
          <t>대량보유</t>
        </is>
      </c>
      <c r="E38" s="2" t="inlineStr">
        <is>
          <t>2025-06-18</t>
        </is>
      </c>
      <c r="F38" s="2" t="inlineStr">
        <is>
          <t>2025-06-18</t>
        </is>
      </c>
      <c r="G38" s="4" t="inlineStr">
        <is>
          <t>김효철</t>
        </is>
      </c>
      <c r="H38" s="4" t="inlineStr">
        <is>
          <t>특별관계자</t>
        </is>
      </c>
      <c r="I38" s="4" t="inlineStr">
        <is>
          <t>주식매수청구권 행사(-)</t>
        </is>
      </c>
      <c r="J38" s="13" t="n">
        <v>-2000</v>
      </c>
      <c r="K38" s="7" t="n">
        <v>45000</v>
      </c>
      <c r="L38" s="13" t="n">
        <v>-90000000</v>
      </c>
      <c r="M38" s="7" t="n">
        <v>5635541</v>
      </c>
      <c r="N38" s="12" t="n">
        <v>48.59</v>
      </c>
      <c r="O38" s="7" t="inlineStr"/>
      <c r="P38" s="12" t="n">
        <v>48.58</v>
      </c>
      <c r="Q38" s="2" t="inlineStr">
        <is>
          <t>20250722000211</t>
        </is>
      </c>
      <c r="R38" s="3">
        <f>HYPERLINK("https://dart.fss.or.kr/dsaf001/main.do?rcpNo=20250722000211", "공시열람")</f>
        <v/>
      </c>
    </row>
    <row r="39">
      <c r="A39" s="2" t="inlineStr">
        <is>
          <t>2025-06-25</t>
        </is>
      </c>
      <c r="B39" s="4" t="inlineStr">
        <is>
          <t>가온칩스</t>
        </is>
      </c>
      <c r="C39" s="2" t="inlineStr">
        <is>
          <t>399720</t>
        </is>
      </c>
      <c r="D39" s="2" t="inlineStr">
        <is>
          <t>임원보고</t>
        </is>
      </c>
      <c r="E39" s="2" t="inlineStr">
        <is>
          <t>2025-06-18</t>
        </is>
      </c>
      <c r="F39" s="2" t="inlineStr">
        <is>
          <t>2025-06-18</t>
        </is>
      </c>
      <c r="G39" s="4" t="inlineStr">
        <is>
          <t>김효철</t>
        </is>
      </c>
      <c r="H39" s="4" t="inlineStr">
        <is>
          <t>비등기임원 상무</t>
        </is>
      </c>
      <c r="I39" s="4" t="inlineStr">
        <is>
          <t>주식매수청구권 행사(+)</t>
        </is>
      </c>
      <c r="J39" s="14" t="n">
        <v>2000</v>
      </c>
      <c r="K39" s="7" t="n">
        <v>1000</v>
      </c>
      <c r="L39" s="14" t="n">
        <v>2000000</v>
      </c>
      <c r="M39" s="7" t="inlineStr"/>
      <c r="N39" s="15" t="inlineStr"/>
      <c r="O39" s="7" t="n">
        <v>32000</v>
      </c>
      <c r="P39" s="12" t="n">
        <v>0.28</v>
      </c>
      <c r="Q39" s="2" t="inlineStr">
        <is>
          <t>20250625000396</t>
        </is>
      </c>
      <c r="R39" s="3">
        <f>HYPERLINK("https://dart.fss.or.kr/dsaf001/main.do?rcpNo=20250625000396", "공시열람")</f>
        <v/>
      </c>
    </row>
    <row r="40">
      <c r="A40" s="2" t="inlineStr">
        <is>
          <t>2025-06-16</t>
        </is>
      </c>
      <c r="B40" s="4" t="inlineStr">
        <is>
          <t>가온칩스</t>
        </is>
      </c>
      <c r="C40" s="2" t="inlineStr">
        <is>
          <t>399720</t>
        </is>
      </c>
      <c r="D40" s="2" t="inlineStr">
        <is>
          <t>대량보유</t>
        </is>
      </c>
      <c r="E40" s="2" t="inlineStr">
        <is>
          <t>2025-03-26</t>
        </is>
      </c>
      <c r="F40" s="2" t="inlineStr">
        <is>
          <t>2025-03-26</t>
        </is>
      </c>
      <c r="G40" s="4" t="inlineStr">
        <is>
          <t>이양원</t>
        </is>
      </c>
      <c r="H40" s="4" t="inlineStr">
        <is>
          <t>특별관계자</t>
        </is>
      </c>
      <c r="I40" s="4" t="inlineStr">
        <is>
          <t>신규선임(유상취득)(+)</t>
        </is>
      </c>
      <c r="J40" s="14" t="n">
        <v>718</v>
      </c>
      <c r="K40" s="7" t="n">
        <v>42950</v>
      </c>
      <c r="L40" s="14" t="n">
        <v>30838100</v>
      </c>
      <c r="M40" s="7" t="n">
        <v>5634823</v>
      </c>
      <c r="N40" s="12" t="n">
        <v>48.59</v>
      </c>
      <c r="O40" s="7" t="n">
        <v>718</v>
      </c>
      <c r="P40" s="12" t="n">
        <v>48.59</v>
      </c>
      <c r="Q40" s="2" t="inlineStr">
        <is>
          <t>20250616000242</t>
        </is>
      </c>
      <c r="R40" s="3">
        <f>HYPERLINK("https://dart.fss.or.kr/dsaf001/main.do?rcpNo=20250616000242", "공시열람")</f>
        <v/>
      </c>
    </row>
    <row r="41">
      <c r="A41" s="2" t="inlineStr">
        <is>
          <t>2025-05-15</t>
        </is>
      </c>
      <c r="B41" s="4" t="inlineStr">
        <is>
          <t>가온칩스</t>
        </is>
      </c>
      <c r="C41" s="2" t="inlineStr">
        <is>
          <t>399720</t>
        </is>
      </c>
      <c r="D41" s="2" t="inlineStr">
        <is>
          <t>임원보고</t>
        </is>
      </c>
      <c r="E41" s="2" t="inlineStr">
        <is>
          <t>2025-03-26</t>
        </is>
      </c>
      <c r="F41" s="2" t="inlineStr">
        <is>
          <t>2025-03-26</t>
        </is>
      </c>
      <c r="G41" s="4" t="inlineStr">
        <is>
          <t>이양원</t>
        </is>
      </c>
      <c r="H41" s="4" t="inlineStr">
        <is>
          <t>등기임원 감사</t>
        </is>
      </c>
      <c r="I41" s="4" t="inlineStr">
        <is>
          <t>신규선임(+)</t>
        </is>
      </c>
      <c r="J41" s="14" t="n">
        <v>718</v>
      </c>
      <c r="K41" s="7" t="n">
        <v>42950</v>
      </c>
      <c r="L41" s="14" t="n">
        <v>30838100</v>
      </c>
      <c r="M41" s="7" t="inlineStr"/>
      <c r="N41" s="15" t="inlineStr"/>
      <c r="O41" s="7" t="n">
        <v>718</v>
      </c>
      <c r="P41" s="15" t="inlineStr"/>
      <c r="Q41" s="2" t="inlineStr">
        <is>
          <t>20250515002602</t>
        </is>
      </c>
      <c r="R41" s="3">
        <f>HYPERLINK("https://dart.fss.or.kr/dsaf001/main.do?rcpNo=20250515002602", "공시열람")</f>
        <v/>
      </c>
    </row>
    <row r="42">
      <c r="A42" s="2" t="inlineStr">
        <is>
          <t>2025-04-08</t>
        </is>
      </c>
      <c r="B42" s="4" t="inlineStr">
        <is>
          <t>가온칩스</t>
        </is>
      </c>
      <c r="C42" s="2" t="inlineStr">
        <is>
          <t>399720</t>
        </is>
      </c>
      <c r="D42" s="2" t="inlineStr">
        <is>
          <t>대량보유</t>
        </is>
      </c>
      <c r="E42" s="2" t="inlineStr">
        <is>
          <t>2025-04-02</t>
        </is>
      </c>
      <c r="F42" s="2" t="inlineStr">
        <is>
          <t>2025-04-02</t>
        </is>
      </c>
      <c r="G42" s="4" t="inlineStr">
        <is>
          <t>2023신한-JB우리-대신상장사Mezzanine신기술투자조합</t>
        </is>
      </c>
      <c r="H42" s="4" t="inlineStr">
        <is>
          <t>특별관계자</t>
        </is>
      </c>
      <c r="I42" s="4" t="inlineStr">
        <is>
          <t>CB인수(+)</t>
        </is>
      </c>
      <c r="J42" s="14" t="n">
        <v>57590</v>
      </c>
      <c r="K42" s="7" t="n">
        <v>43410</v>
      </c>
      <c r="L42" s="14" t="n">
        <v>2499981900</v>
      </c>
      <c r="M42" s="7" t="inlineStr"/>
      <c r="N42" s="15" t="inlineStr"/>
      <c r="O42" s="7" t="n">
        <v>57590</v>
      </c>
      <c r="P42" s="12" t="n">
        <v>6.41</v>
      </c>
      <c r="Q42" s="2" t="inlineStr">
        <is>
          <t>20250408001676</t>
        </is>
      </c>
      <c r="R42" s="3">
        <f>HYPERLINK("https://dart.fss.or.kr/dsaf001/main.do?rcpNo=20250408001676", "공시열람")</f>
        <v/>
      </c>
    </row>
    <row r="43">
      <c r="A43" s="2" t="inlineStr">
        <is>
          <t>2025-04-08</t>
        </is>
      </c>
      <c r="B43" s="4" t="inlineStr">
        <is>
          <t>가온칩스</t>
        </is>
      </c>
      <c r="C43" s="2" t="inlineStr">
        <is>
          <t>399720</t>
        </is>
      </c>
      <c r="D43" s="2" t="inlineStr">
        <is>
          <t>대량보유</t>
        </is>
      </c>
      <c r="E43" s="2" t="inlineStr">
        <is>
          <t>2025-04-02</t>
        </is>
      </c>
      <c r="F43" s="2" t="inlineStr">
        <is>
          <t>2025-04-02</t>
        </is>
      </c>
      <c r="G43" s="4" t="inlineStr">
        <is>
          <t>대신-SAM신기술투자조합제1호</t>
        </is>
      </c>
      <c r="H43" s="4" t="inlineStr">
        <is>
          <t>특별관계자</t>
        </is>
      </c>
      <c r="I43" s="4" t="inlineStr">
        <is>
          <t>CB인수(+)</t>
        </is>
      </c>
      <c r="J43" s="14" t="n">
        <v>737157</v>
      </c>
      <c r="K43" s="7" t="n">
        <v>43410</v>
      </c>
      <c r="L43" s="14" t="n">
        <v>31999985370</v>
      </c>
      <c r="M43" s="7" t="inlineStr"/>
      <c r="N43" s="15" t="inlineStr"/>
      <c r="O43" s="7" t="n">
        <v>737157</v>
      </c>
      <c r="P43" s="12" t="n">
        <v>6.41</v>
      </c>
      <c r="Q43" s="2" t="inlineStr">
        <is>
          <t>20250408001676</t>
        </is>
      </c>
      <c r="R43" s="3">
        <f>HYPERLINK("https://dart.fss.or.kr/dsaf001/main.do?rcpNo=20250408001676", "공시열람")</f>
        <v/>
      </c>
    </row>
    <row r="44">
      <c r="A44" s="2" t="inlineStr">
        <is>
          <t>2025-04-04 (원공시: 2025-03-14)</t>
        </is>
      </c>
      <c r="B44" s="4" t="inlineStr">
        <is>
          <t>가온칩스</t>
        </is>
      </c>
      <c r="C44" s="2" t="inlineStr">
        <is>
          <t>399720</t>
        </is>
      </c>
      <c r="D44" s="2" t="inlineStr">
        <is>
          <t>대량보유</t>
        </is>
      </c>
      <c r="E44" s="2" t="inlineStr"/>
      <c r="F44" s="2" t="inlineStr"/>
      <c r="G44" s="4" t="inlineStr">
        <is>
          <t>정규동</t>
        </is>
      </c>
      <c r="H44" s="4" t="inlineStr">
        <is>
          <t>최대주주</t>
        </is>
      </c>
      <c r="I44" s="4" t="inlineStr">
        <is>
          <t>최대주주 및 특수관계인의 주식담보 대출계약 변경</t>
        </is>
      </c>
      <c r="J44" s="7" t="inlineStr"/>
      <c r="K44" s="7" t="inlineStr"/>
      <c r="L44" s="7" t="inlineStr"/>
      <c r="M44" s="7" t="n">
        <v>5634823</v>
      </c>
      <c r="N44" s="12" t="n">
        <v>48.59</v>
      </c>
      <c r="O44" s="7" t="n">
        <v>5634823</v>
      </c>
      <c r="P44" s="12" t="n">
        <v>48.59</v>
      </c>
      <c r="Q44" s="2" t="inlineStr">
        <is>
          <t>20250404003421</t>
        </is>
      </c>
      <c r="R44" s="3">
        <f>HYPERLINK("https://dart.fss.or.kr/dsaf001/main.do?rcpNo=20250404003421", "공시열람")</f>
        <v/>
      </c>
    </row>
    <row r="45">
      <c r="A45" s="2" t="inlineStr">
        <is>
          <t>2025-03-10</t>
        </is>
      </c>
      <c r="B45" s="4" t="inlineStr">
        <is>
          <t>가온칩스</t>
        </is>
      </c>
      <c r="C45" s="2" t="inlineStr">
        <is>
          <t>399720</t>
        </is>
      </c>
      <c r="D45" s="2" t="inlineStr">
        <is>
          <t>대량보유</t>
        </is>
      </c>
      <c r="E45" s="2" t="inlineStr">
        <is>
          <t>2024-10-08</t>
        </is>
      </c>
      <c r="F45" s="2" t="inlineStr">
        <is>
          <t>2024-10-08</t>
        </is>
      </c>
      <c r="G45" s="4" t="inlineStr">
        <is>
          <t>심재원</t>
        </is>
      </c>
      <c r="H45" s="4" t="inlineStr">
        <is>
          <t>특별관계자</t>
        </is>
      </c>
      <c r="I45" s="4" t="inlineStr">
        <is>
          <t>수증(+)</t>
        </is>
      </c>
      <c r="J45" s="14" t="n">
        <v>10000</v>
      </c>
      <c r="K45" s="7" t="n">
        <v>43400</v>
      </c>
      <c r="L45" s="14" t="n">
        <v>434000000</v>
      </c>
      <c r="M45" s="7" t="n">
        <v>877690</v>
      </c>
      <c r="N45" s="12" t="n">
        <v>7.64</v>
      </c>
      <c r="O45" s="7" t="n">
        <v>10000</v>
      </c>
      <c r="P45" s="12" t="n">
        <v>6.25</v>
      </c>
      <c r="Q45" s="2" t="inlineStr">
        <is>
          <t>20250310000854</t>
        </is>
      </c>
      <c r="R45" s="3">
        <f>HYPERLINK("https://dart.fss.or.kr/dsaf001/main.do?rcpNo=20250310000854", "공시열람")</f>
        <v/>
      </c>
    </row>
    <row r="46">
      <c r="A46" s="2" t="inlineStr">
        <is>
          <t>2025-03-10</t>
        </is>
      </c>
      <c r="B46" s="4" t="inlineStr">
        <is>
          <t>가온칩스</t>
        </is>
      </c>
      <c r="C46" s="2" t="inlineStr">
        <is>
          <t>399720</t>
        </is>
      </c>
      <c r="D46" s="2" t="inlineStr">
        <is>
          <t>대량보유</t>
        </is>
      </c>
      <c r="E46" s="2" t="inlineStr">
        <is>
          <t>2024-10-08</t>
        </is>
      </c>
      <c r="F46" s="2" t="inlineStr">
        <is>
          <t>2024-10-08</t>
        </is>
      </c>
      <c r="G46" s="4" t="inlineStr">
        <is>
          <t>심재희</t>
        </is>
      </c>
      <c r="H46" s="4" t="inlineStr">
        <is>
          <t>특별관계자</t>
        </is>
      </c>
      <c r="I46" s="4" t="inlineStr">
        <is>
          <t>수증(+)</t>
        </is>
      </c>
      <c r="J46" s="14" t="n">
        <v>10000</v>
      </c>
      <c r="K46" s="7" t="n">
        <v>43400</v>
      </c>
      <c r="L46" s="14" t="n">
        <v>434000000</v>
      </c>
      <c r="M46" s="7" t="n">
        <v>877690</v>
      </c>
      <c r="N46" s="12" t="n">
        <v>7.64</v>
      </c>
      <c r="O46" s="7" t="n">
        <v>10000</v>
      </c>
      <c r="P46" s="12" t="n">
        <v>6.25</v>
      </c>
      <c r="Q46" s="2" t="inlineStr">
        <is>
          <t>20250310000854</t>
        </is>
      </c>
      <c r="R46" s="3">
        <f>HYPERLINK("https://dart.fss.or.kr/dsaf001/main.do?rcpNo=20250310000854", "공시열람")</f>
        <v/>
      </c>
    </row>
    <row r="47">
      <c r="A47" s="2" t="inlineStr">
        <is>
          <t>2025-03-10</t>
        </is>
      </c>
      <c r="B47" s="4" t="inlineStr">
        <is>
          <t>가온칩스</t>
        </is>
      </c>
      <c r="C47" s="2" t="inlineStr">
        <is>
          <t>399720</t>
        </is>
      </c>
      <c r="D47" s="2" t="inlineStr">
        <is>
          <t>대량보유</t>
        </is>
      </c>
      <c r="E47" s="2" t="inlineStr">
        <is>
          <t>2024-10-08</t>
        </is>
      </c>
      <c r="F47" s="2" t="inlineStr">
        <is>
          <t>2024-10-08</t>
        </is>
      </c>
      <c r="G47" s="4" t="inlineStr">
        <is>
          <t>송은숙</t>
        </is>
      </c>
      <c r="H47" s="4" t="inlineStr">
        <is>
          <t>특별관계자</t>
        </is>
      </c>
      <c r="I47" s="4" t="inlineStr">
        <is>
          <t>수증(+)</t>
        </is>
      </c>
      <c r="J47" s="14" t="n">
        <v>20000</v>
      </c>
      <c r="K47" s="7" t="n">
        <v>43400</v>
      </c>
      <c r="L47" s="14" t="n">
        <v>868000000</v>
      </c>
      <c r="M47" s="7" t="n">
        <v>877690</v>
      </c>
      <c r="N47" s="12" t="n">
        <v>7.64</v>
      </c>
      <c r="O47" s="7" t="n">
        <v>20000</v>
      </c>
      <c r="P47" s="12" t="n">
        <v>6.25</v>
      </c>
      <c r="Q47" s="2" t="inlineStr">
        <is>
          <t>20250310000854</t>
        </is>
      </c>
      <c r="R47" s="3">
        <f>HYPERLINK("https://dart.fss.or.kr/dsaf001/main.do?rcpNo=20250310000854", "공시열람")</f>
        <v/>
      </c>
    </row>
    <row r="48">
      <c r="A48" s="2" t="inlineStr">
        <is>
          <t>2025-03-10</t>
        </is>
      </c>
      <c r="B48" s="4" t="inlineStr">
        <is>
          <t>가온칩스</t>
        </is>
      </c>
      <c r="C48" s="2" t="inlineStr">
        <is>
          <t>399720</t>
        </is>
      </c>
      <c r="D48" s="2" t="inlineStr">
        <is>
          <t>대량보유</t>
        </is>
      </c>
      <c r="E48" s="2" t="inlineStr">
        <is>
          <t>2024-10-08</t>
        </is>
      </c>
      <c r="F48" s="2" t="inlineStr">
        <is>
          <t>2024-10-08</t>
        </is>
      </c>
      <c r="G48" s="4" t="inlineStr">
        <is>
          <t>심진섭</t>
        </is>
      </c>
      <c r="H48" s="4" t="inlineStr">
        <is>
          <t>주주</t>
        </is>
      </c>
      <c r="I48" s="4" t="inlineStr">
        <is>
          <t>증여(-)</t>
        </is>
      </c>
      <c r="J48" s="13" t="n">
        <v>-40000</v>
      </c>
      <c r="K48" s="7" t="n">
        <v>43400</v>
      </c>
      <c r="L48" s="13" t="n">
        <v>-1736000000</v>
      </c>
      <c r="M48" s="7" t="n">
        <v>877690</v>
      </c>
      <c r="N48" s="12" t="n">
        <v>7.64</v>
      </c>
      <c r="O48" s="7" t="n">
        <v>777963</v>
      </c>
      <c r="P48" s="12" t="n">
        <v>6.25</v>
      </c>
      <c r="Q48" s="2" t="inlineStr">
        <is>
          <t>20250310000854</t>
        </is>
      </c>
      <c r="R48" s="3">
        <f>HYPERLINK("https://dart.fss.or.kr/dsaf001/main.do?rcpNo=20250310000854", "공시열람")</f>
        <v/>
      </c>
    </row>
    <row r="49">
      <c r="A49" s="2" t="inlineStr">
        <is>
          <t>2025-03-10</t>
        </is>
      </c>
      <c r="B49" s="4" t="inlineStr">
        <is>
          <t>가온칩스</t>
        </is>
      </c>
      <c r="C49" s="2" t="inlineStr">
        <is>
          <t>399720</t>
        </is>
      </c>
      <c r="D49" s="2" t="inlineStr">
        <is>
          <t>대량보유</t>
        </is>
      </c>
      <c r="E49" s="2" t="inlineStr">
        <is>
          <t>2024-05-09</t>
        </is>
      </c>
      <c r="F49" s="2" t="inlineStr">
        <is>
          <t>2025-02-19</t>
        </is>
      </c>
      <c r="G49" s="4" t="inlineStr">
        <is>
          <t>심진섭</t>
        </is>
      </c>
      <c r="H49" s="4" t="inlineStr">
        <is>
          <t>주주</t>
        </is>
      </c>
      <c r="I49" s="4" t="inlineStr">
        <is>
          <t>장내매도(-)</t>
        </is>
      </c>
      <c r="J49" s="13" t="n">
        <v>-152582</v>
      </c>
      <c r="K49" s="7" t="n">
        <v>63697</v>
      </c>
      <c r="L49" s="13" t="n">
        <v>-9719015654</v>
      </c>
      <c r="M49" s="7" t="n">
        <v>877690</v>
      </c>
      <c r="N49" s="12" t="n">
        <v>7.64</v>
      </c>
      <c r="O49" s="7" t="n">
        <v>685108</v>
      </c>
      <c r="P49" s="12" t="n">
        <v>6.25</v>
      </c>
      <c r="Q49" s="2" t="inlineStr">
        <is>
          <t>20250310000854</t>
        </is>
      </c>
      <c r="R49" s="3">
        <f>HYPERLINK("https://dart.fss.or.kr/dsaf001/main.do?rcpNo=20250310000854", "공시열람")</f>
        <v/>
      </c>
    </row>
    <row r="50">
      <c r="A50" s="2" t="inlineStr">
        <is>
          <t>2025-02-17</t>
        </is>
      </c>
      <c r="B50" s="4" t="inlineStr">
        <is>
          <t>가온칩스</t>
        </is>
      </c>
      <c r="C50" s="2" t="inlineStr">
        <is>
          <t>399720</t>
        </is>
      </c>
      <c r="D50" s="2" t="inlineStr">
        <is>
          <t>대량보유</t>
        </is>
      </c>
      <c r="E50" s="2" t="inlineStr">
        <is>
          <t>2025-02-10</t>
        </is>
      </c>
      <c r="F50" s="2" t="inlineStr">
        <is>
          <t>2025-02-10</t>
        </is>
      </c>
      <c r="G50" s="4" t="inlineStr">
        <is>
          <t>김언진</t>
        </is>
      </c>
      <c r="H50" s="4" t="inlineStr">
        <is>
          <t>특별관계자</t>
        </is>
      </c>
      <c r="I50" s="4" t="inlineStr">
        <is>
          <t>수증(+)</t>
        </is>
      </c>
      <c r="J50" s="14" t="n">
        <v>10000</v>
      </c>
      <c r="K50" s="7" t="n">
        <v>54000</v>
      </c>
      <c r="L50" s="14" t="n">
        <v>540000000</v>
      </c>
      <c r="M50" s="7" t="n">
        <v>5659241</v>
      </c>
      <c r="N50" s="12" t="n">
        <v>48.8</v>
      </c>
      <c r="O50" s="7" t="n">
        <v>10000</v>
      </c>
      <c r="P50" s="12" t="n">
        <v>48.59</v>
      </c>
      <c r="Q50" s="2" t="inlineStr">
        <is>
          <t>20250217001760</t>
        </is>
      </c>
      <c r="R50" s="3">
        <f>HYPERLINK("https://dart.fss.or.kr/dsaf001/main.do?rcpNo=20250217001760", "공시열람")</f>
        <v/>
      </c>
    </row>
    <row r="51">
      <c r="A51" s="2" t="inlineStr">
        <is>
          <t>2025-02-17</t>
        </is>
      </c>
      <c r="B51" s="4" t="inlineStr">
        <is>
          <t>가온칩스</t>
        </is>
      </c>
      <c r="C51" s="2" t="inlineStr">
        <is>
          <t>399720</t>
        </is>
      </c>
      <c r="D51" s="2" t="inlineStr">
        <is>
          <t>대량보유</t>
        </is>
      </c>
      <c r="E51" s="2" t="inlineStr">
        <is>
          <t>2025-02-10</t>
        </is>
      </c>
      <c r="F51" s="2" t="inlineStr">
        <is>
          <t>2025-02-10</t>
        </is>
      </c>
      <c r="G51" s="4" t="inlineStr">
        <is>
          <t>정규동</t>
        </is>
      </c>
      <c r="H51" s="4" t="inlineStr">
        <is>
          <t>최대주주</t>
        </is>
      </c>
      <c r="I51" s="4" t="inlineStr">
        <is>
          <t>증여(-)</t>
        </is>
      </c>
      <c r="J51" s="13" t="n">
        <v>-30000</v>
      </c>
      <c r="K51" s="7" t="n">
        <v>54000</v>
      </c>
      <c r="L51" s="13" t="n">
        <v>-1620000000</v>
      </c>
      <c r="M51" s="7" t="n">
        <v>5659241</v>
      </c>
      <c r="N51" s="12" t="n">
        <v>48.8</v>
      </c>
      <c r="O51" s="7" t="n">
        <v>3342160</v>
      </c>
      <c r="P51" s="12" t="n">
        <v>48.59</v>
      </c>
      <c r="Q51" s="2" t="inlineStr">
        <is>
          <t>20250217001760</t>
        </is>
      </c>
      <c r="R51" s="3">
        <f>HYPERLINK("https://dart.fss.or.kr/dsaf001/main.do?rcpNo=20250217001760", "공시열람")</f>
        <v/>
      </c>
    </row>
    <row r="52">
      <c r="A52" s="2" t="inlineStr">
        <is>
          <t>2025-02-17</t>
        </is>
      </c>
      <c r="B52" s="4" t="inlineStr">
        <is>
          <t>가온칩스</t>
        </is>
      </c>
      <c r="C52" s="2" t="inlineStr">
        <is>
          <t>399720</t>
        </is>
      </c>
      <c r="D52" s="2" t="inlineStr">
        <is>
          <t>임원보고</t>
        </is>
      </c>
      <c r="E52" s="2" t="inlineStr">
        <is>
          <t>2025-02-10</t>
        </is>
      </c>
      <c r="F52" s="2" t="inlineStr">
        <is>
          <t>2025-02-10</t>
        </is>
      </c>
      <c r="G52" s="4" t="inlineStr">
        <is>
          <t>정규동</t>
        </is>
      </c>
      <c r="H52" s="4" t="inlineStr">
        <is>
          <t>등기임원 대표이사, 10%이상주주</t>
        </is>
      </c>
      <c r="I52" s="4" t="inlineStr">
        <is>
          <t>증여(-)</t>
        </is>
      </c>
      <c r="J52" s="13" t="n">
        <v>-30000</v>
      </c>
      <c r="K52" s="7" t="n">
        <v>54000</v>
      </c>
      <c r="L52" s="13" t="n">
        <v>-1620000000</v>
      </c>
      <c r="M52" s="7" t="inlineStr"/>
      <c r="N52" s="15" t="inlineStr"/>
      <c r="O52" s="7" t="n">
        <v>3342160</v>
      </c>
      <c r="P52" s="12" t="n">
        <v>28.82</v>
      </c>
      <c r="Q52" s="2" t="inlineStr">
        <is>
          <t>20250217001783</t>
        </is>
      </c>
      <c r="R52" s="3">
        <f>HYPERLINK("https://dart.fss.or.kr/dsaf001/main.do?rcpNo=20250217001783", "공시열람")</f>
        <v/>
      </c>
    </row>
    <row r="53">
      <c r="A53" s="2" t="inlineStr">
        <is>
          <t>2025-02-17</t>
        </is>
      </c>
      <c r="B53" s="4" t="inlineStr">
        <is>
          <t>가온칩스</t>
        </is>
      </c>
      <c r="C53" s="2" t="inlineStr">
        <is>
          <t>399720</t>
        </is>
      </c>
      <c r="D53" s="2" t="inlineStr">
        <is>
          <t>대량보유</t>
        </is>
      </c>
      <c r="E53" s="2" t="inlineStr">
        <is>
          <t>2025-02-10</t>
        </is>
      </c>
      <c r="F53" s="2" t="inlineStr">
        <is>
          <t>2025-02-10</t>
        </is>
      </c>
      <c r="G53" s="4" t="inlineStr">
        <is>
          <t>정소윤</t>
        </is>
      </c>
      <c r="H53" s="4" t="inlineStr">
        <is>
          <t>특별관계자</t>
        </is>
      </c>
      <c r="I53" s="4" t="inlineStr">
        <is>
          <t>수증(+)</t>
        </is>
      </c>
      <c r="J53" s="14" t="n">
        <v>10000</v>
      </c>
      <c r="K53" s="7" t="n">
        <v>54000</v>
      </c>
      <c r="L53" s="14" t="n">
        <v>540000000</v>
      </c>
      <c r="M53" s="7" t="n">
        <v>5659241</v>
      </c>
      <c r="N53" s="12" t="n">
        <v>48.8</v>
      </c>
      <c r="O53" s="7" t="n">
        <v>10000</v>
      </c>
      <c r="P53" s="12" t="n">
        <v>48.59</v>
      </c>
      <c r="Q53" s="2" t="inlineStr">
        <is>
          <t>20250217001760</t>
        </is>
      </c>
      <c r="R53" s="3">
        <f>HYPERLINK("https://dart.fss.or.kr/dsaf001/main.do?rcpNo=20250217001760", "공시열람")</f>
        <v/>
      </c>
    </row>
    <row r="54">
      <c r="A54" s="2" t="inlineStr">
        <is>
          <t>2025-02-17</t>
        </is>
      </c>
      <c r="B54" s="4" t="inlineStr">
        <is>
          <t>가온칩스</t>
        </is>
      </c>
      <c r="C54" s="2" t="inlineStr">
        <is>
          <t>399720</t>
        </is>
      </c>
      <c r="D54" s="2" t="inlineStr">
        <is>
          <t>대량보유</t>
        </is>
      </c>
      <c r="E54" s="2" t="inlineStr">
        <is>
          <t>2025-02-10</t>
        </is>
      </c>
      <c r="F54" s="2" t="inlineStr">
        <is>
          <t>2025-02-10</t>
        </is>
      </c>
      <c r="G54" s="4" t="inlineStr">
        <is>
          <t>정세운</t>
        </is>
      </c>
      <c r="H54" s="4" t="inlineStr">
        <is>
          <t>특별관계자</t>
        </is>
      </c>
      <c r="I54" s="4" t="inlineStr">
        <is>
          <t>수증(+)</t>
        </is>
      </c>
      <c r="J54" s="14" t="n">
        <v>10000</v>
      </c>
      <c r="K54" s="7" t="n">
        <v>54000</v>
      </c>
      <c r="L54" s="14" t="n">
        <v>540000000</v>
      </c>
      <c r="M54" s="7" t="n">
        <v>5659241</v>
      </c>
      <c r="N54" s="12" t="n">
        <v>48.8</v>
      </c>
      <c r="O54" s="7" t="n">
        <v>10000</v>
      </c>
      <c r="P54" s="12" t="n">
        <v>48.59</v>
      </c>
      <c r="Q54" s="2" t="inlineStr">
        <is>
          <t>20250217001760</t>
        </is>
      </c>
      <c r="R54" s="3">
        <f>HYPERLINK("https://dart.fss.or.kr/dsaf001/main.do?rcpNo=20250217001760", "공시열람")</f>
        <v/>
      </c>
    </row>
    <row r="55">
      <c r="A55" s="2" t="inlineStr">
        <is>
          <t>2025-02-17</t>
        </is>
      </c>
      <c r="B55" s="4" t="inlineStr">
        <is>
          <t>가온칩스</t>
        </is>
      </c>
      <c r="C55" s="2" t="inlineStr">
        <is>
          <t>399720</t>
        </is>
      </c>
      <c r="D55" s="2" t="inlineStr">
        <is>
          <t>대량보유</t>
        </is>
      </c>
      <c r="E55" s="2" t="inlineStr">
        <is>
          <t>2025-01-17</t>
        </is>
      </c>
      <c r="F55" s="2" t="inlineStr">
        <is>
          <t>2025-01-17</t>
        </is>
      </c>
      <c r="G55" s="4" t="inlineStr">
        <is>
          <t>이상배</t>
        </is>
      </c>
      <c r="H55" s="4" t="inlineStr">
        <is>
          <t>특별관계자</t>
        </is>
      </c>
      <c r="I55" s="4" t="inlineStr">
        <is>
          <t>증여(-)</t>
        </is>
      </c>
      <c r="J55" s="13" t="n">
        <v>-24418</v>
      </c>
      <c r="K55" s="7" t="n">
        <v>47100</v>
      </c>
      <c r="L55" s="13" t="n">
        <v>-1150087800</v>
      </c>
      <c r="M55" s="7" t="n">
        <v>5659241</v>
      </c>
      <c r="N55" s="12" t="n">
        <v>48.8</v>
      </c>
      <c r="O55" s="7" t="n">
        <v>845462</v>
      </c>
      <c r="P55" s="12" t="n">
        <v>48.59</v>
      </c>
      <c r="Q55" s="2" t="inlineStr">
        <is>
          <t>20250217001760</t>
        </is>
      </c>
      <c r="R55" s="3">
        <f>HYPERLINK("https://dart.fss.or.kr/dsaf001/main.do?rcpNo=20250217001760", "공시열람")</f>
        <v/>
      </c>
    </row>
    <row r="56">
      <c r="A56" s="2" t="inlineStr">
        <is>
          <t>2025-01-24</t>
        </is>
      </c>
      <c r="B56" s="4" t="inlineStr">
        <is>
          <t>가온칩스</t>
        </is>
      </c>
      <c r="C56" s="2" t="inlineStr">
        <is>
          <t>399720</t>
        </is>
      </c>
      <c r="D56" s="2" t="inlineStr">
        <is>
          <t>임원보고</t>
        </is>
      </c>
      <c r="E56" s="2" t="inlineStr">
        <is>
          <t>2025-01-17</t>
        </is>
      </c>
      <c r="F56" s="2" t="inlineStr">
        <is>
          <t>2025-01-17</t>
        </is>
      </c>
      <c r="G56" s="4" t="inlineStr">
        <is>
          <t>이상배</t>
        </is>
      </c>
      <c r="H56" s="4" t="inlineStr">
        <is>
          <t>등기임원 사내이사</t>
        </is>
      </c>
      <c r="I56" s="4" t="inlineStr">
        <is>
          <t>증여(-)</t>
        </is>
      </c>
      <c r="J56" s="13" t="n">
        <v>-24418</v>
      </c>
      <c r="K56" s="7" t="n">
        <v>47100</v>
      </c>
      <c r="L56" s="13" t="n">
        <v>-1150087800</v>
      </c>
      <c r="M56" s="7" t="inlineStr"/>
      <c r="N56" s="15" t="inlineStr"/>
      <c r="O56" s="7" t="n">
        <v>845462</v>
      </c>
      <c r="P56" s="12" t="n">
        <v>7.29</v>
      </c>
      <c r="Q56" s="2" t="inlineStr">
        <is>
          <t>20250124000614</t>
        </is>
      </c>
      <c r="R56" s="3">
        <f>HYPERLINK("https://dart.fss.or.kr/dsaf001/main.do?rcpNo=20250124000614", "공시열람")</f>
        <v/>
      </c>
    </row>
    <row r="57">
      <c r="A57" s="2" t="inlineStr">
        <is>
          <t>2025-01-07</t>
        </is>
      </c>
      <c r="B57" s="4" t="inlineStr">
        <is>
          <t>가온칩스</t>
        </is>
      </c>
      <c r="C57" s="2" t="inlineStr">
        <is>
          <t>399720</t>
        </is>
      </c>
      <c r="D57" s="2" t="inlineStr">
        <is>
          <t>대량보유</t>
        </is>
      </c>
      <c r="E57" s="2" t="inlineStr">
        <is>
          <t>2024-12-13</t>
        </is>
      </c>
      <c r="F57" s="2" t="inlineStr">
        <is>
          <t>2024-12-13</t>
        </is>
      </c>
      <c r="G57" s="4" t="inlineStr">
        <is>
          <t>서정욱</t>
        </is>
      </c>
      <c r="H57" s="4" t="inlineStr">
        <is>
          <t>특별관계자</t>
        </is>
      </c>
      <c r="I57" s="4" t="inlineStr">
        <is>
          <t>임원퇴임(-)</t>
        </is>
      </c>
      <c r="J57" s="13" t="n">
        <v>-3000</v>
      </c>
      <c r="K57" s="7" t="n">
        <v>33600</v>
      </c>
      <c r="L57" s="13" t="n">
        <v>-100800000</v>
      </c>
      <c r="M57" s="7" t="n">
        <v>5662241</v>
      </c>
      <c r="N57" s="12" t="n">
        <v>48.82</v>
      </c>
      <c r="O57" s="7" t="inlineStr"/>
      <c r="P57" s="12" t="n">
        <v>48.8</v>
      </c>
      <c r="Q57" s="2" t="inlineStr">
        <is>
          <t>20250107000383</t>
        </is>
      </c>
      <c r="R57" s="3">
        <f>HYPERLINK("https://dart.fss.or.kr/dsaf001/main.do?rcpNo=20250107000383", "공시열람")</f>
        <v/>
      </c>
    </row>
    <row r="58">
      <c r="A58" s="2" t="inlineStr">
        <is>
          <t>2024-12-19</t>
        </is>
      </c>
      <c r="B58" s="4" t="inlineStr">
        <is>
          <t>가온칩스</t>
        </is>
      </c>
      <c r="C58" s="2" t="inlineStr">
        <is>
          <t>399720</t>
        </is>
      </c>
      <c r="D58" s="2" t="inlineStr">
        <is>
          <t>임원보고</t>
        </is>
      </c>
      <c r="E58" s="2" t="inlineStr">
        <is>
          <t>2024-12-13</t>
        </is>
      </c>
      <c r="F58" s="2" t="inlineStr">
        <is>
          <t>2024-12-13</t>
        </is>
      </c>
      <c r="G58" s="4" t="inlineStr">
        <is>
          <t>서정욱</t>
        </is>
      </c>
      <c r="H58" s="4" t="inlineStr">
        <is>
          <t>비등기임원 이사</t>
        </is>
      </c>
      <c r="I58" s="4" t="inlineStr">
        <is>
          <t>임원퇴임(-)</t>
        </is>
      </c>
      <c r="J58" s="13" t="n">
        <v>-3000</v>
      </c>
      <c r="K58" s="7" t="n">
        <v>33600</v>
      </c>
      <c r="L58" s="13" t="n">
        <v>-100800000</v>
      </c>
      <c r="M58" s="7" t="inlineStr"/>
      <c r="N58" s="15" t="inlineStr"/>
      <c r="O58" s="7" t="inlineStr"/>
      <c r="P58" s="15" t="inlineStr"/>
      <c r="Q58" s="2" t="inlineStr">
        <is>
          <t>20241219000425</t>
        </is>
      </c>
      <c r="R58" s="3">
        <f>HYPERLINK("https://dart.fss.or.kr/dsaf001/main.do?rcpNo=20241219000425", "공시열람")</f>
        <v/>
      </c>
    </row>
    <row r="59">
      <c r="A59" s="2" t="inlineStr">
        <is>
          <t>2024-11-29</t>
        </is>
      </c>
      <c r="B59" s="4" t="inlineStr">
        <is>
          <t>가온칩스</t>
        </is>
      </c>
      <c r="C59" s="2" t="inlineStr">
        <is>
          <t>399720</t>
        </is>
      </c>
      <c r="D59" s="2" t="inlineStr">
        <is>
          <t>대량보유</t>
        </is>
      </c>
      <c r="E59" s="2" t="inlineStr">
        <is>
          <t>2024-11-22</t>
        </is>
      </c>
      <c r="F59" s="2" t="inlineStr">
        <is>
          <t>2024-11-22</t>
        </is>
      </c>
      <c r="G59" s="4" t="inlineStr">
        <is>
          <t>박대남</t>
        </is>
      </c>
      <c r="H59" s="4" t="inlineStr">
        <is>
          <t>특별관계자</t>
        </is>
      </c>
      <c r="I59" s="4" t="inlineStr">
        <is>
          <t>증여(-)</t>
        </is>
      </c>
      <c r="J59" s="13" t="n">
        <v>-2100</v>
      </c>
      <c r="K59" s="7" t="n">
        <v>31950</v>
      </c>
      <c r="L59" s="13" t="n">
        <v>-67095000</v>
      </c>
      <c r="M59" s="7" t="n">
        <v>5664341</v>
      </c>
      <c r="N59" s="12" t="n">
        <v>48.84</v>
      </c>
      <c r="O59" s="7" t="n">
        <v>253500</v>
      </c>
      <c r="P59" s="12" t="n">
        <v>48.82</v>
      </c>
      <c r="Q59" s="2" t="inlineStr">
        <is>
          <t>20241129001817</t>
        </is>
      </c>
      <c r="R59" s="3">
        <f>HYPERLINK("https://dart.fss.or.kr/dsaf001/main.do?rcpNo=20241129001817", "공시열람")</f>
        <v/>
      </c>
    </row>
    <row r="60">
      <c r="A60" s="2" t="inlineStr">
        <is>
          <t>2024-11-29</t>
        </is>
      </c>
      <c r="B60" s="4" t="inlineStr">
        <is>
          <t>가온칩스</t>
        </is>
      </c>
      <c r="C60" s="2" t="inlineStr">
        <is>
          <t>399720</t>
        </is>
      </c>
      <c r="D60" s="2" t="inlineStr">
        <is>
          <t>임원보고</t>
        </is>
      </c>
      <c r="E60" s="2" t="inlineStr">
        <is>
          <t>2024-11-22</t>
        </is>
      </c>
      <c r="F60" s="2" t="inlineStr">
        <is>
          <t>2024-11-22</t>
        </is>
      </c>
      <c r="G60" s="4" t="inlineStr">
        <is>
          <t>박대남</t>
        </is>
      </c>
      <c r="H60" s="4" t="inlineStr">
        <is>
          <t>비등기임원 상무</t>
        </is>
      </c>
      <c r="I60" s="4" t="inlineStr">
        <is>
          <t>증여(-)</t>
        </is>
      </c>
      <c r="J60" s="13" t="n">
        <v>-2100</v>
      </c>
      <c r="K60" s="7" t="n">
        <v>31950</v>
      </c>
      <c r="L60" s="13" t="n">
        <v>-67095000</v>
      </c>
      <c r="M60" s="7" t="inlineStr"/>
      <c r="N60" s="15" t="inlineStr"/>
      <c r="O60" s="7" t="n">
        <v>253500</v>
      </c>
      <c r="P60" s="12" t="n">
        <v>2.19</v>
      </c>
      <c r="Q60" s="2" t="inlineStr">
        <is>
          <t>20241129001823</t>
        </is>
      </c>
      <c r="R60" s="3">
        <f>HYPERLINK("https://dart.fss.or.kr/dsaf001/main.do?rcpNo=20241129001823", "공시열람")</f>
        <v/>
      </c>
    </row>
    <row r="61">
      <c r="A61" s="2" t="inlineStr">
        <is>
          <t>2024-11-26</t>
        </is>
      </c>
      <c r="B61" s="4" t="inlineStr">
        <is>
          <t>가온칩스</t>
        </is>
      </c>
      <c r="C61" s="2" t="inlineStr">
        <is>
          <t>399720</t>
        </is>
      </c>
      <c r="D61" s="2" t="inlineStr">
        <is>
          <t>대량보유</t>
        </is>
      </c>
      <c r="E61" s="2" t="inlineStr">
        <is>
          <t>2024-11-20</t>
        </is>
      </c>
      <c r="F61" s="2" t="inlineStr">
        <is>
          <t>2024-11-20</t>
        </is>
      </c>
      <c r="G61" s="4" t="inlineStr">
        <is>
          <t>박영근</t>
        </is>
      </c>
      <c r="H61" s="4" t="inlineStr">
        <is>
          <t>특별관계자</t>
        </is>
      </c>
      <c r="I61" s="4" t="inlineStr">
        <is>
          <t>주식매수청구권 행사(+)</t>
        </is>
      </c>
      <c r="J61" s="14" t="n">
        <v>4000</v>
      </c>
      <c r="K61" s="7" t="n">
        <v>1000</v>
      </c>
      <c r="L61" s="14" t="n">
        <v>4000000</v>
      </c>
      <c r="M61" s="7" t="n">
        <v>5664341</v>
      </c>
      <c r="N61" s="12" t="n">
        <v>49.31</v>
      </c>
      <c r="O61" s="7" t="n">
        <v>4000</v>
      </c>
      <c r="P61" s="12" t="n">
        <v>48.84</v>
      </c>
      <c r="Q61" s="2" t="inlineStr">
        <is>
          <t>20241126000620</t>
        </is>
      </c>
      <c r="R61" s="3">
        <f>HYPERLINK("https://dart.fss.or.kr/dsaf001/main.do?rcpNo=20241126000620", "공시열람")</f>
        <v/>
      </c>
    </row>
    <row r="62">
      <c r="A62" s="2" t="inlineStr">
        <is>
          <t>2024-11-26</t>
        </is>
      </c>
      <c r="B62" s="4" t="inlineStr">
        <is>
          <t>가온칩스</t>
        </is>
      </c>
      <c r="C62" s="2" t="inlineStr">
        <is>
          <t>399720</t>
        </is>
      </c>
      <c r="D62" s="2" t="inlineStr">
        <is>
          <t>대량보유</t>
        </is>
      </c>
      <c r="E62" s="2" t="inlineStr">
        <is>
          <t>2024-11-20</t>
        </is>
      </c>
      <c r="F62" s="2" t="inlineStr">
        <is>
          <t>2024-11-20</t>
        </is>
      </c>
      <c r="G62" s="4" t="inlineStr">
        <is>
          <t>서정욱</t>
        </is>
      </c>
      <c r="H62" s="4" t="inlineStr">
        <is>
          <t>특별관계자</t>
        </is>
      </c>
      <c r="I62" s="4" t="inlineStr">
        <is>
          <t>주식매수선택권행사(+)</t>
        </is>
      </c>
      <c r="J62" s="14" t="n">
        <v>3000</v>
      </c>
      <c r="K62" s="7" t="n">
        <v>1000</v>
      </c>
      <c r="L62" s="14" t="n">
        <v>3000000</v>
      </c>
      <c r="M62" s="7" t="n">
        <v>5664341</v>
      </c>
      <c r="N62" s="12" t="n">
        <v>49.31</v>
      </c>
      <c r="O62" s="7" t="n">
        <v>3000</v>
      </c>
      <c r="P62" s="12" t="n">
        <v>48.84</v>
      </c>
      <c r="Q62" s="2" t="inlineStr">
        <is>
          <t>20241126000620</t>
        </is>
      </c>
      <c r="R62" s="3">
        <f>HYPERLINK("https://dart.fss.or.kr/dsaf001/main.do?rcpNo=20241126000620", "공시열람")</f>
        <v/>
      </c>
    </row>
    <row r="63">
      <c r="A63" s="2" t="inlineStr">
        <is>
          <t>2024-11-26</t>
        </is>
      </c>
      <c r="B63" s="4" t="inlineStr">
        <is>
          <t>가온칩스</t>
        </is>
      </c>
      <c r="C63" s="2" t="inlineStr">
        <is>
          <t>399720</t>
        </is>
      </c>
      <c r="D63" s="2" t="inlineStr">
        <is>
          <t>대량보유</t>
        </is>
      </c>
      <c r="E63" s="2" t="inlineStr">
        <is>
          <t>2024-11-20</t>
        </is>
      </c>
      <c r="F63" s="2" t="inlineStr">
        <is>
          <t>2024-11-20</t>
        </is>
      </c>
      <c r="G63" s="4" t="inlineStr">
        <is>
          <t>위지호</t>
        </is>
      </c>
      <c r="H63" s="4" t="inlineStr">
        <is>
          <t>특별관계자</t>
        </is>
      </c>
      <c r="I63" s="4" t="inlineStr">
        <is>
          <t>주식매수청구권 행사(+)</t>
        </is>
      </c>
      <c r="J63" s="14" t="n">
        <v>4000</v>
      </c>
      <c r="K63" s="7" t="n">
        <v>1000</v>
      </c>
      <c r="L63" s="14" t="n">
        <v>4000000</v>
      </c>
      <c r="M63" s="7" t="n">
        <v>5664341</v>
      </c>
      <c r="N63" s="12" t="n">
        <v>49.31</v>
      </c>
      <c r="O63" s="7" t="n">
        <v>4000</v>
      </c>
      <c r="P63" s="12" t="n">
        <v>48.84</v>
      </c>
      <c r="Q63" s="2" t="inlineStr">
        <is>
          <t>20241126000620</t>
        </is>
      </c>
      <c r="R63" s="3">
        <f>HYPERLINK("https://dart.fss.or.kr/dsaf001/main.do?rcpNo=20241126000620", "공시열람")</f>
        <v/>
      </c>
    </row>
    <row r="64">
      <c r="A64" s="2" t="inlineStr">
        <is>
          <t>2024-11-26</t>
        </is>
      </c>
      <c r="B64" s="4" t="inlineStr">
        <is>
          <t>가온칩스</t>
        </is>
      </c>
      <c r="C64" s="2" t="inlineStr">
        <is>
          <t>399720</t>
        </is>
      </c>
      <c r="D64" s="2" t="inlineStr">
        <is>
          <t>대량보유</t>
        </is>
      </c>
      <c r="E64" s="2" t="inlineStr">
        <is>
          <t>2024-11-20</t>
        </is>
      </c>
      <c r="F64" s="2" t="inlineStr">
        <is>
          <t>2024-11-20</t>
        </is>
      </c>
      <c r="G64" s="4" t="inlineStr">
        <is>
          <t>박영근</t>
        </is>
      </c>
      <c r="H64" s="4" t="inlineStr">
        <is>
          <t>특별관계자</t>
        </is>
      </c>
      <c r="I64" s="4" t="inlineStr">
        <is>
          <t>주식매수선택권행사(-)</t>
        </is>
      </c>
      <c r="J64" s="13" t="n">
        <v>-4000</v>
      </c>
      <c r="K64" s="7" t="n">
        <v>33550</v>
      </c>
      <c r="L64" s="13" t="n">
        <v>-134200000</v>
      </c>
      <c r="M64" s="7" t="n">
        <v>5664341</v>
      </c>
      <c r="N64" s="12" t="n">
        <v>49.31</v>
      </c>
      <c r="O64" s="7" t="inlineStr"/>
      <c r="P64" s="12" t="n">
        <v>48.84</v>
      </c>
      <c r="Q64" s="2" t="inlineStr">
        <is>
          <t>20241126000620</t>
        </is>
      </c>
      <c r="R64" s="3">
        <f>HYPERLINK("https://dart.fss.or.kr/dsaf001/main.do?rcpNo=20241126000620", "공시열람")</f>
        <v/>
      </c>
    </row>
    <row r="65">
      <c r="A65" s="2" t="inlineStr">
        <is>
          <t>2024-11-26</t>
        </is>
      </c>
      <c r="B65" s="4" t="inlineStr">
        <is>
          <t>가온칩스</t>
        </is>
      </c>
      <c r="C65" s="2" t="inlineStr">
        <is>
          <t>399720</t>
        </is>
      </c>
      <c r="D65" s="2" t="inlineStr">
        <is>
          <t>대량보유</t>
        </is>
      </c>
      <c r="E65" s="2" t="inlineStr">
        <is>
          <t>2024-11-20</t>
        </is>
      </c>
      <c r="F65" s="2" t="inlineStr">
        <is>
          <t>2024-11-20</t>
        </is>
      </c>
      <c r="G65" s="4" t="inlineStr">
        <is>
          <t>서정욱</t>
        </is>
      </c>
      <c r="H65" s="4" t="inlineStr">
        <is>
          <t>특별관계자</t>
        </is>
      </c>
      <c r="I65" s="4" t="inlineStr">
        <is>
          <t>주식매수선택권행사(-)</t>
        </is>
      </c>
      <c r="J65" s="13" t="n">
        <v>-3000</v>
      </c>
      <c r="K65" s="7" t="n">
        <v>33550</v>
      </c>
      <c r="L65" s="13" t="n">
        <v>-100650000</v>
      </c>
      <c r="M65" s="7" t="n">
        <v>5664341</v>
      </c>
      <c r="N65" s="12" t="n">
        <v>49.31</v>
      </c>
      <c r="O65" s="7" t="inlineStr"/>
      <c r="P65" s="12" t="n">
        <v>48.84</v>
      </c>
      <c r="Q65" s="2" t="inlineStr">
        <is>
          <t>20241126000620</t>
        </is>
      </c>
      <c r="R65" s="3">
        <f>HYPERLINK("https://dart.fss.or.kr/dsaf001/main.do?rcpNo=20241126000620", "공시열람")</f>
        <v/>
      </c>
    </row>
    <row r="66">
      <c r="A66" s="2" t="inlineStr">
        <is>
          <t>2024-11-26</t>
        </is>
      </c>
      <c r="B66" s="4" t="inlineStr">
        <is>
          <t>가온칩스</t>
        </is>
      </c>
      <c r="C66" s="2" t="inlineStr">
        <is>
          <t>399720</t>
        </is>
      </c>
      <c r="D66" s="2" t="inlineStr">
        <is>
          <t>대량보유</t>
        </is>
      </c>
      <c r="E66" s="2" t="inlineStr">
        <is>
          <t>2024-11-20</t>
        </is>
      </c>
      <c r="F66" s="2" t="inlineStr">
        <is>
          <t>2024-11-20</t>
        </is>
      </c>
      <c r="G66" s="4" t="inlineStr">
        <is>
          <t>위지호</t>
        </is>
      </c>
      <c r="H66" s="4" t="inlineStr">
        <is>
          <t>특별관계자</t>
        </is>
      </c>
      <c r="I66" s="4" t="inlineStr">
        <is>
          <t>주식매수선택권행사(-)</t>
        </is>
      </c>
      <c r="J66" s="13" t="n">
        <v>-4000</v>
      </c>
      <c r="K66" s="7" t="n">
        <v>33550</v>
      </c>
      <c r="L66" s="13" t="n">
        <v>-134200000</v>
      </c>
      <c r="M66" s="7" t="n">
        <v>5664341</v>
      </c>
      <c r="N66" s="12" t="n">
        <v>49.31</v>
      </c>
      <c r="O66" s="7" t="inlineStr"/>
      <c r="P66" s="12" t="n">
        <v>48.84</v>
      </c>
      <c r="Q66" s="2" t="inlineStr">
        <is>
          <t>20241126000620</t>
        </is>
      </c>
      <c r="R66" s="3">
        <f>HYPERLINK("https://dart.fss.or.kr/dsaf001/main.do?rcpNo=20241126000620", "공시열람")</f>
        <v/>
      </c>
    </row>
    <row r="67">
      <c r="A67" s="2" t="inlineStr">
        <is>
          <t>2024-11-26</t>
        </is>
      </c>
      <c r="B67" s="4" t="inlineStr">
        <is>
          <t>가온칩스</t>
        </is>
      </c>
      <c r="C67" s="2" t="inlineStr">
        <is>
          <t>399720</t>
        </is>
      </c>
      <c r="D67" s="2" t="inlineStr">
        <is>
          <t>임원보고</t>
        </is>
      </c>
      <c r="E67" s="2" t="inlineStr">
        <is>
          <t>2024-11-20</t>
        </is>
      </c>
      <c r="F67" s="2" t="inlineStr">
        <is>
          <t>2024-11-20</t>
        </is>
      </c>
      <c r="G67" s="4" t="inlineStr">
        <is>
          <t>위지호</t>
        </is>
      </c>
      <c r="H67" s="4" t="inlineStr">
        <is>
          <t>비등기임원 상무</t>
        </is>
      </c>
      <c r="I67" s="4" t="inlineStr">
        <is>
          <t>주식매수청구권 행사(+)</t>
        </is>
      </c>
      <c r="J67" s="14" t="n">
        <v>4000</v>
      </c>
      <c r="K67" s="7" t="n">
        <v>1000</v>
      </c>
      <c r="L67" s="14" t="n">
        <v>4000000</v>
      </c>
      <c r="M67" s="7" t="inlineStr"/>
      <c r="N67" s="15" t="inlineStr"/>
      <c r="O67" s="7" t="n">
        <v>4000</v>
      </c>
      <c r="P67" s="12" t="n">
        <v>0.03</v>
      </c>
      <c r="Q67" s="2" t="inlineStr">
        <is>
          <t>20241126000626</t>
        </is>
      </c>
      <c r="R67" s="3">
        <f>HYPERLINK("https://dart.fss.or.kr/dsaf001/main.do?rcpNo=20241126000626", "공시열람")</f>
        <v/>
      </c>
    </row>
    <row r="68">
      <c r="A68" s="2" t="inlineStr">
        <is>
          <t>2024-11-26</t>
        </is>
      </c>
      <c r="B68" s="4" t="inlineStr">
        <is>
          <t>가온칩스</t>
        </is>
      </c>
      <c r="C68" s="2" t="inlineStr">
        <is>
          <t>399720</t>
        </is>
      </c>
      <c r="D68" s="2" t="inlineStr">
        <is>
          <t>임원보고</t>
        </is>
      </c>
      <c r="E68" s="2" t="inlineStr">
        <is>
          <t>2024-11-20</t>
        </is>
      </c>
      <c r="F68" s="2" t="inlineStr">
        <is>
          <t>2024-11-20</t>
        </is>
      </c>
      <c r="G68" s="4" t="inlineStr">
        <is>
          <t>서정욱</t>
        </is>
      </c>
      <c r="H68" s="4" t="inlineStr">
        <is>
          <t>비등기임원 이사</t>
        </is>
      </c>
      <c r="I68" s="4" t="inlineStr">
        <is>
          <t>주식매수청구권 행사(+)</t>
        </is>
      </c>
      <c r="J68" s="14" t="n">
        <v>3000</v>
      </c>
      <c r="K68" s="7" t="n">
        <v>1000</v>
      </c>
      <c r="L68" s="14" t="n">
        <v>3000000</v>
      </c>
      <c r="M68" s="7" t="inlineStr"/>
      <c r="N68" s="15" t="inlineStr"/>
      <c r="O68" s="7" t="n">
        <v>3000</v>
      </c>
      <c r="P68" s="12" t="n">
        <v>0.03</v>
      </c>
      <c r="Q68" s="2" t="inlineStr">
        <is>
          <t>20241126000629</t>
        </is>
      </c>
      <c r="R68" s="3">
        <f>HYPERLINK("https://dart.fss.or.kr/dsaf001/main.do?rcpNo=20241126000629", "공시열람")</f>
        <v/>
      </c>
    </row>
    <row r="69">
      <c r="A69" s="2" t="inlineStr">
        <is>
          <t>2024-11-26</t>
        </is>
      </c>
      <c r="B69" s="4" t="inlineStr">
        <is>
          <t>가온칩스</t>
        </is>
      </c>
      <c r="C69" s="2" t="inlineStr">
        <is>
          <t>399720</t>
        </is>
      </c>
      <c r="D69" s="2" t="inlineStr">
        <is>
          <t>임원보고</t>
        </is>
      </c>
      <c r="E69" s="2" t="inlineStr">
        <is>
          <t>2024-11-20</t>
        </is>
      </c>
      <c r="F69" s="2" t="inlineStr">
        <is>
          <t>2024-11-20</t>
        </is>
      </c>
      <c r="G69" s="4" t="inlineStr">
        <is>
          <t>박영근</t>
        </is>
      </c>
      <c r="H69" s="4" t="inlineStr">
        <is>
          <t>비등기임원 이사</t>
        </is>
      </c>
      <c r="I69" s="4" t="inlineStr">
        <is>
          <t>주식매수청구권 행사(+)</t>
        </is>
      </c>
      <c r="J69" s="14" t="n">
        <v>4000</v>
      </c>
      <c r="K69" s="7" t="n">
        <v>1000</v>
      </c>
      <c r="L69" s="14" t="n">
        <v>4000000</v>
      </c>
      <c r="M69" s="7" t="inlineStr"/>
      <c r="N69" s="15" t="inlineStr"/>
      <c r="O69" s="7" t="n">
        <v>4000</v>
      </c>
      <c r="P69" s="12" t="n">
        <v>0.03</v>
      </c>
      <c r="Q69" s="2" t="inlineStr">
        <is>
          <t>20241126000631</t>
        </is>
      </c>
      <c r="R69" s="3">
        <f>HYPERLINK("https://dart.fss.or.kr/dsaf001/main.do?rcpNo=20241126000631", "공시열람")</f>
        <v/>
      </c>
    </row>
    <row r="70">
      <c r="A70" s="2" t="inlineStr">
        <is>
          <t>2024-10-10</t>
        </is>
      </c>
      <c r="B70" s="4" t="inlineStr">
        <is>
          <t>가온칩스</t>
        </is>
      </c>
      <c r="C70" s="2" t="inlineStr">
        <is>
          <t>399720</t>
        </is>
      </c>
      <c r="D70" s="2" t="inlineStr">
        <is>
          <t>대량보유</t>
        </is>
      </c>
      <c r="E70" s="2" t="inlineStr"/>
      <c r="F70" s="2" t="inlineStr"/>
      <c r="G70" s="4" t="inlineStr">
        <is>
          <t>정규동</t>
        </is>
      </c>
      <c r="H70" s="4" t="inlineStr">
        <is>
          <t>최대주주</t>
        </is>
      </c>
      <c r="I70" s="4" t="inlineStr">
        <is>
          <t>특수관계인의 주식담보 대출계약 체결</t>
        </is>
      </c>
      <c r="J70" s="7" t="inlineStr"/>
      <c r="K70" s="7" t="inlineStr"/>
      <c r="L70" s="7" t="inlineStr"/>
      <c r="M70" s="7" t="n">
        <v>5664341</v>
      </c>
      <c r="N70" s="12" t="n">
        <v>49.31</v>
      </c>
      <c r="O70" s="7" t="n">
        <v>5664341</v>
      </c>
      <c r="P70" s="12" t="n">
        <v>49.31</v>
      </c>
      <c r="Q70" s="2" t="inlineStr">
        <is>
          <t>20241010000530</t>
        </is>
      </c>
      <c r="R70" s="3">
        <f>HYPERLINK("https://dart.fss.or.kr/dsaf001/main.do?rcpNo=20241010000530", "공시열람")</f>
        <v/>
      </c>
    </row>
    <row r="71">
      <c r="A71" s="2" t="inlineStr">
        <is>
          <t>2024-08-27</t>
        </is>
      </c>
      <c r="B71" s="4" t="inlineStr">
        <is>
          <t>가온칩스</t>
        </is>
      </c>
      <c r="C71" s="2" t="inlineStr">
        <is>
          <t>399720</t>
        </is>
      </c>
      <c r="D71" s="2" t="inlineStr">
        <is>
          <t>대량보유</t>
        </is>
      </c>
      <c r="E71" s="2" t="inlineStr"/>
      <c r="F71" s="2" t="inlineStr"/>
      <c r="G71" s="4" t="inlineStr">
        <is>
          <t>정규동</t>
        </is>
      </c>
      <c r="H71" s="4" t="inlineStr">
        <is>
          <t>최대주주</t>
        </is>
      </c>
      <c r="I71" s="4" t="inlineStr">
        <is>
          <t>특수관계인의 주식담보대출 계약 연장</t>
        </is>
      </c>
      <c r="J71" s="7" t="inlineStr"/>
      <c r="K71" s="7" t="inlineStr"/>
      <c r="L71" s="7" t="inlineStr"/>
      <c r="M71" s="7" t="n">
        <v>5664341</v>
      </c>
      <c r="N71" s="12" t="n">
        <v>49.31</v>
      </c>
      <c r="O71" s="7" t="n">
        <v>5664341</v>
      </c>
      <c r="P71" s="12" t="n">
        <v>49.31</v>
      </c>
      <c r="Q71" s="2" t="inlineStr">
        <is>
          <t>20240827000729</t>
        </is>
      </c>
      <c r="R71" s="3">
        <f>HYPERLINK("https://dart.fss.or.kr/dsaf001/main.do?rcpNo=20240827000729", "공시열람")</f>
        <v/>
      </c>
    </row>
    <row r="72">
      <c r="A72" s="2" t="inlineStr">
        <is>
          <t>2024-08-02</t>
        </is>
      </c>
      <c r="B72" s="4" t="inlineStr">
        <is>
          <t>가온칩스</t>
        </is>
      </c>
      <c r="C72" s="2" t="inlineStr">
        <is>
          <t>399720</t>
        </is>
      </c>
      <c r="D72" s="2" t="inlineStr">
        <is>
          <t>대량보유</t>
        </is>
      </c>
      <c r="E72" s="2" t="inlineStr">
        <is>
          <t>2024-05-31</t>
        </is>
      </c>
      <c r="F72" s="2" t="inlineStr">
        <is>
          <t>2024-06-17</t>
        </is>
      </c>
      <c r="G72" s="4" t="inlineStr">
        <is>
          <t>김진오</t>
        </is>
      </c>
      <c r="H72" s="4" t="inlineStr">
        <is>
          <t>특별관계자</t>
        </is>
      </c>
      <c r="I72" s="4" t="inlineStr">
        <is>
          <t>장내매도(-)</t>
        </is>
      </c>
      <c r="J72" s="13" t="n">
        <v>-27000</v>
      </c>
      <c r="K72" s="7" t="n">
        <v>84467</v>
      </c>
      <c r="L72" s="13" t="n">
        <v>-2280609000</v>
      </c>
      <c r="M72" s="7" t="n">
        <v>5691341</v>
      </c>
      <c r="N72" s="12" t="n">
        <v>49.54</v>
      </c>
      <c r="O72" s="7" t="n">
        <v>50000</v>
      </c>
      <c r="P72" s="12" t="n">
        <v>49.31</v>
      </c>
      <c r="Q72" s="2" t="inlineStr">
        <is>
          <t>20240802000345</t>
        </is>
      </c>
      <c r="R72" s="3">
        <f>HYPERLINK("https://dart.fss.or.kr/dsaf001/main.do?rcpNo=20240802000345", "공시열람")</f>
        <v/>
      </c>
    </row>
    <row r="73">
      <c r="A73" s="2" t="inlineStr">
        <is>
          <t>2024-05-29</t>
        </is>
      </c>
      <c r="B73" s="4" t="inlineStr">
        <is>
          <t>가온칩스</t>
        </is>
      </c>
      <c r="C73" s="2" t="inlineStr">
        <is>
          <t>399720</t>
        </is>
      </c>
      <c r="D73" s="2" t="inlineStr">
        <is>
          <t>대량보유</t>
        </is>
      </c>
      <c r="E73" s="2" t="inlineStr"/>
      <c r="F73" s="2" t="inlineStr"/>
      <c r="G73" s="4" t="inlineStr">
        <is>
          <t>정규동</t>
        </is>
      </c>
      <c r="H73" s="4" t="inlineStr">
        <is>
          <t>최대주주</t>
        </is>
      </c>
      <c r="I73" s="4" t="inlineStr">
        <is>
          <t>최대주주의 주식담보대출 계약 체결 및 특수관계인의 주식담보대출 계약 연장</t>
        </is>
      </c>
      <c r="J73" s="7" t="inlineStr"/>
      <c r="K73" s="7" t="inlineStr"/>
      <c r="L73" s="7" t="inlineStr"/>
      <c r="M73" s="7" t="n">
        <v>5691341</v>
      </c>
      <c r="N73" s="12" t="n">
        <v>49.54</v>
      </c>
      <c r="O73" s="7" t="n">
        <v>5691341</v>
      </c>
      <c r="P73" s="12" t="n">
        <v>49.54</v>
      </c>
      <c r="Q73" s="2" t="inlineStr">
        <is>
          <t>20240529000524</t>
        </is>
      </c>
      <c r="R73" s="3">
        <f>HYPERLINK("https://dart.fss.or.kr/dsaf001/main.do?rcpNo=20240529000524", "공시열람")</f>
        <v/>
      </c>
    </row>
    <row r="74">
      <c r="A74" s="2" t="inlineStr">
        <is>
          <t>2024-05-03</t>
        </is>
      </c>
      <c r="B74" s="4" t="inlineStr">
        <is>
          <t>가온칩스</t>
        </is>
      </c>
      <c r="C74" s="2" t="inlineStr">
        <is>
          <t>399720</t>
        </is>
      </c>
      <c r="D74" s="2" t="inlineStr">
        <is>
          <t>대량보유</t>
        </is>
      </c>
      <c r="E74" s="2" t="inlineStr">
        <is>
          <t>2024-04-30</t>
        </is>
      </c>
      <c r="F74" s="2" t="inlineStr">
        <is>
          <t>2024-04-30</t>
        </is>
      </c>
      <c r="G74" s="4" t="inlineStr">
        <is>
          <t>심진섭</t>
        </is>
      </c>
      <c r="H74" s="4" t="inlineStr">
        <is>
          <t>특별관계자</t>
        </is>
      </c>
      <c r="I74" s="4" t="inlineStr">
        <is>
          <t>임원퇴임(-)</t>
        </is>
      </c>
      <c r="J74" s="13" t="n">
        <v>-877690</v>
      </c>
      <c r="K74" s="7" t="n">
        <v>91100</v>
      </c>
      <c r="L74" s="13" t="n">
        <v>-79957559000</v>
      </c>
      <c r="M74" s="7" t="n">
        <v>6569031</v>
      </c>
      <c r="N74" s="12" t="n">
        <v>57.18</v>
      </c>
      <c r="O74" s="7" t="inlineStr"/>
      <c r="P74" s="12" t="n">
        <v>49.54</v>
      </c>
      <c r="Q74" s="2" t="inlineStr">
        <is>
          <t>20240503000719</t>
        </is>
      </c>
      <c r="R74" s="3">
        <f>HYPERLINK("https://dart.fss.or.kr/dsaf001/main.do?rcpNo=20240503000719", "공시열람")</f>
        <v/>
      </c>
    </row>
    <row r="75">
      <c r="A75" s="2" t="inlineStr">
        <is>
          <t>2024-05-03</t>
        </is>
      </c>
      <c r="B75" s="4" t="inlineStr">
        <is>
          <t>가온칩스</t>
        </is>
      </c>
      <c r="C75" s="2" t="inlineStr">
        <is>
          <t>399720</t>
        </is>
      </c>
      <c r="D75" s="2" t="inlineStr">
        <is>
          <t>임원보고</t>
        </is>
      </c>
      <c r="E75" s="2" t="inlineStr">
        <is>
          <t>2024-04-30</t>
        </is>
      </c>
      <c r="F75" s="2" t="inlineStr">
        <is>
          <t>2024-04-30</t>
        </is>
      </c>
      <c r="G75" s="4" t="inlineStr">
        <is>
          <t>심진섭</t>
        </is>
      </c>
      <c r="H75" s="4" t="inlineStr">
        <is>
          <t>등기임원 사내이사</t>
        </is>
      </c>
      <c r="I75" s="4" t="inlineStr">
        <is>
          <t>임원퇴임(-)</t>
        </is>
      </c>
      <c r="J75" s="13" t="n">
        <v>-877690</v>
      </c>
      <c r="K75" s="7" t="n">
        <v>91100</v>
      </c>
      <c r="L75" s="13" t="n">
        <v>-79957559000</v>
      </c>
      <c r="M75" s="7" t="inlineStr"/>
      <c r="N75" s="15" t="inlineStr"/>
      <c r="O75" s="7" t="inlineStr"/>
      <c r="P75" s="15" t="inlineStr"/>
      <c r="Q75" s="2" t="inlineStr">
        <is>
          <t>20240503000731</t>
        </is>
      </c>
      <c r="R75" s="3">
        <f>HYPERLINK("https://dart.fss.or.kr/dsaf001/main.do?rcpNo=20240503000731", "공시열람")</f>
        <v/>
      </c>
    </row>
    <row r="76">
      <c r="A76" s="2" t="inlineStr">
        <is>
          <t>2024-05-03</t>
        </is>
      </c>
      <c r="B76" s="4" t="inlineStr">
        <is>
          <t>가온칩스</t>
        </is>
      </c>
      <c r="C76" s="2" t="inlineStr">
        <is>
          <t>399720</t>
        </is>
      </c>
      <c r="D76" s="2" t="inlineStr">
        <is>
          <t>대량보유</t>
        </is>
      </c>
      <c r="E76" s="2" t="inlineStr">
        <is>
          <t>2024-04-30</t>
        </is>
      </c>
      <c r="F76" s="2" t="inlineStr">
        <is>
          <t>2024-04-30</t>
        </is>
      </c>
      <c r="G76" s="4" t="inlineStr">
        <is>
          <t>심진섭</t>
        </is>
      </c>
      <c r="H76" s="4" t="inlineStr">
        <is>
          <t>주주</t>
        </is>
      </c>
      <c r="I76" s="4" t="inlineStr">
        <is>
          <t>신규보고(+)</t>
        </is>
      </c>
      <c r="J76" s="14" t="n">
        <v>877690</v>
      </c>
      <c r="K76" s="7" t="n">
        <v>91100</v>
      </c>
      <c r="L76" s="14" t="n">
        <v>79957559000</v>
      </c>
      <c r="M76" s="7" t="inlineStr"/>
      <c r="N76" s="15" t="inlineStr"/>
      <c r="O76" s="7" t="n">
        <v>877690</v>
      </c>
      <c r="P76" s="12" t="n">
        <v>7.64</v>
      </c>
      <c r="Q76" s="2" t="inlineStr">
        <is>
          <t>20240503000746</t>
        </is>
      </c>
      <c r="R76" s="3">
        <f>HYPERLINK("https://dart.fss.or.kr/dsaf001/main.do?rcpNo=20240503000746", "공시열람")</f>
        <v/>
      </c>
    </row>
    <row r="77">
      <c r="A77" s="2" t="inlineStr">
        <is>
          <t>2024-03-04</t>
        </is>
      </c>
      <c r="B77" s="4" t="inlineStr">
        <is>
          <t>가온칩스</t>
        </is>
      </c>
      <c r="C77" s="2" t="inlineStr">
        <is>
          <t>399720</t>
        </is>
      </c>
      <c r="D77" s="2" t="inlineStr">
        <is>
          <t>대량보유</t>
        </is>
      </c>
      <c r="E77" s="2" t="inlineStr"/>
      <c r="F77" s="2" t="inlineStr"/>
      <c r="G77" s="4" t="inlineStr">
        <is>
          <t>정규동</t>
        </is>
      </c>
      <c r="H77" s="4" t="inlineStr">
        <is>
          <t>최대주주</t>
        </is>
      </c>
      <c r="I77" s="4" t="inlineStr">
        <is>
          <t>신규 주식담보계약 체결</t>
        </is>
      </c>
      <c r="J77" s="7" t="inlineStr"/>
      <c r="K77" s="7" t="inlineStr"/>
      <c r="L77" s="7" t="inlineStr"/>
      <c r="M77" s="7" t="n">
        <v>6569031</v>
      </c>
      <c r="N77" s="12" t="n">
        <v>57.18</v>
      </c>
      <c r="O77" s="7" t="n">
        <v>6569031</v>
      </c>
      <c r="P77" s="12" t="n">
        <v>57.18</v>
      </c>
      <c r="Q77" s="2" t="inlineStr">
        <is>
          <t>20240304000479</t>
        </is>
      </c>
      <c r="R77" s="3">
        <f>HYPERLINK("https://dart.fss.or.kr/dsaf001/main.do?rcpNo=20240304000479", "공시열람")</f>
        <v/>
      </c>
    </row>
    <row r="78">
      <c r="A78" s="2" t="inlineStr">
        <is>
          <t>2024-02-21</t>
        </is>
      </c>
      <c r="B78" s="4" t="inlineStr">
        <is>
          <t>가온칩스</t>
        </is>
      </c>
      <c r="C78" s="2" t="inlineStr">
        <is>
          <t>399720</t>
        </is>
      </c>
      <c r="D78" s="2" t="inlineStr">
        <is>
          <t>대량보유</t>
        </is>
      </c>
      <c r="E78" s="2" t="inlineStr"/>
      <c r="F78" s="2" t="inlineStr"/>
      <c r="G78" s="4" t="inlineStr">
        <is>
          <t>정규동</t>
        </is>
      </c>
      <c r="H78" s="4" t="inlineStr">
        <is>
          <t>최대주주</t>
        </is>
      </c>
      <c r="I78" s="4" t="inlineStr">
        <is>
          <t>주식담보계약 연장</t>
        </is>
      </c>
      <c r="J78" s="7" t="inlineStr"/>
      <c r="K78" s="7" t="inlineStr"/>
      <c r="L78" s="7" t="inlineStr"/>
      <c r="M78" s="7" t="n">
        <v>6569031</v>
      </c>
      <c r="N78" s="12" t="n">
        <v>57.18</v>
      </c>
      <c r="O78" s="7" t="n">
        <v>6569031</v>
      </c>
      <c r="P78" s="12" t="n">
        <v>57.18</v>
      </c>
      <c r="Q78" s="2" t="inlineStr">
        <is>
          <t>20240221001618</t>
        </is>
      </c>
      <c r="R78" s="3">
        <f>HYPERLINK("https://dart.fss.or.kr/dsaf001/main.do?rcpNo=20240221001618", "공시열람")</f>
        <v/>
      </c>
    </row>
    <row r="79">
      <c r="A79" s="2" t="inlineStr">
        <is>
          <t>2024-02-05</t>
        </is>
      </c>
      <c r="B79" s="4" t="inlineStr">
        <is>
          <t>가온칩스</t>
        </is>
      </c>
      <c r="C79" s="2" t="inlineStr">
        <is>
          <t>399720</t>
        </is>
      </c>
      <c r="D79" s="2" t="inlineStr">
        <is>
          <t>대량보유</t>
        </is>
      </c>
      <c r="E79" s="2" t="inlineStr">
        <is>
          <t>2023-12-31</t>
        </is>
      </c>
      <c r="F79" s="2" t="inlineStr">
        <is>
          <t>2023-12-31</t>
        </is>
      </c>
      <c r="G79" s="4" t="inlineStr">
        <is>
          <t>이은희</t>
        </is>
      </c>
      <c r="H79" s="4" t="inlineStr">
        <is>
          <t>특별관계자</t>
        </is>
      </c>
      <c r="I79" s="4" t="inlineStr">
        <is>
          <t>주식매수선택권부여취소(-)</t>
        </is>
      </c>
      <c r="J79" s="13" t="n">
        <v>-1000</v>
      </c>
      <c r="K79" s="7" t="inlineStr"/>
      <c r="L79" s="7" t="inlineStr"/>
      <c r="M79" s="7" t="n">
        <v>6580531</v>
      </c>
      <c r="N79" s="12" t="n">
        <v>57.28</v>
      </c>
      <c r="O79" s="7" t="inlineStr"/>
      <c r="P79" s="12" t="n">
        <v>57.18</v>
      </c>
      <c r="Q79" s="2" t="inlineStr">
        <is>
          <t>20240205000376</t>
        </is>
      </c>
      <c r="R79" s="3">
        <f>HYPERLINK("https://dart.fss.or.kr/dsaf001/main.do?rcpNo=20240205000376", "공시열람")</f>
        <v/>
      </c>
    </row>
    <row r="80">
      <c r="A80" s="2" t="inlineStr">
        <is>
          <t>2024-02-05</t>
        </is>
      </c>
      <c r="B80" s="4" t="inlineStr">
        <is>
          <t>가온칩스</t>
        </is>
      </c>
      <c r="C80" s="2" t="inlineStr">
        <is>
          <t>399720</t>
        </is>
      </c>
      <c r="D80" s="2" t="inlineStr">
        <is>
          <t>대량보유</t>
        </is>
      </c>
      <c r="E80" s="2" t="inlineStr">
        <is>
          <t>2023-12-31</t>
        </is>
      </c>
      <c r="F80" s="2" t="inlineStr">
        <is>
          <t>2023-12-31</t>
        </is>
      </c>
      <c r="G80" s="4" t="inlineStr">
        <is>
          <t>이은희</t>
        </is>
      </c>
      <c r="H80" s="4" t="inlineStr">
        <is>
          <t>특별관계자</t>
        </is>
      </c>
      <c r="I80" s="4" t="inlineStr">
        <is>
          <t>임원퇴임(-)</t>
        </is>
      </c>
      <c r="J80" s="13" t="n">
        <v>-10500</v>
      </c>
      <c r="K80" s="7" t="inlineStr"/>
      <c r="L80" s="7" t="inlineStr"/>
      <c r="M80" s="7" t="n">
        <v>6580531</v>
      </c>
      <c r="N80" s="12" t="n">
        <v>57.28</v>
      </c>
      <c r="O80" s="7" t="inlineStr"/>
      <c r="P80" s="12" t="n">
        <v>57.18</v>
      </c>
      <c r="Q80" s="2" t="inlineStr">
        <is>
          <t>20240205000376</t>
        </is>
      </c>
      <c r="R80" s="3">
        <f>HYPERLINK("https://dart.fss.or.kr/dsaf001/main.do?rcpNo=20240205000376", "공시열람")</f>
        <v/>
      </c>
    </row>
    <row r="81">
      <c r="A81" s="2" t="inlineStr">
        <is>
          <t>2024-01-04</t>
        </is>
      </c>
      <c r="B81" s="4" t="inlineStr">
        <is>
          <t>가온칩스</t>
        </is>
      </c>
      <c r="C81" s="2" t="inlineStr">
        <is>
          <t>399720</t>
        </is>
      </c>
      <c r="D81" s="2" t="inlineStr">
        <is>
          <t>임원보고</t>
        </is>
      </c>
      <c r="E81" s="2" t="inlineStr">
        <is>
          <t>2023-12-31</t>
        </is>
      </c>
      <c r="F81" s="2" t="inlineStr">
        <is>
          <t>2023-12-31</t>
        </is>
      </c>
      <c r="G81" s="4" t="inlineStr">
        <is>
          <t>이은희</t>
        </is>
      </c>
      <c r="H81" s="4" t="inlineStr">
        <is>
          <t>비등기임원 이사</t>
        </is>
      </c>
      <c r="I81" s="4" t="inlineStr">
        <is>
          <t>임원퇴임(-)</t>
        </is>
      </c>
      <c r="J81" s="13" t="n">
        <v>-10500</v>
      </c>
      <c r="K81" s="7" t="inlineStr"/>
      <c r="L81" s="7" t="inlineStr"/>
      <c r="M81" s="7" t="inlineStr"/>
      <c r="N81" s="15" t="inlineStr"/>
      <c r="O81" s="7" t="inlineStr"/>
      <c r="P81" s="15" t="inlineStr"/>
      <c r="Q81" s="2" t="inlineStr">
        <is>
          <t>20240104000321</t>
        </is>
      </c>
      <c r="R81" s="3">
        <f>HYPERLINK("https://dart.fss.or.kr/dsaf001/main.do?rcpNo=20240104000321", "공시열람")</f>
        <v/>
      </c>
    </row>
    <row r="82">
      <c r="A82" s="2" t="inlineStr">
        <is>
          <t>2023-11-07</t>
        </is>
      </c>
      <c r="B82" s="4" t="inlineStr">
        <is>
          <t>가온칩스</t>
        </is>
      </c>
      <c r="C82" s="2" t="inlineStr">
        <is>
          <t>399720</t>
        </is>
      </c>
      <c r="D82" s="2" t="inlineStr">
        <is>
          <t>대량보유</t>
        </is>
      </c>
      <c r="E82" s="2" t="inlineStr">
        <is>
          <t>2023-06-13</t>
        </is>
      </c>
      <c r="F82" s="2" t="inlineStr">
        <is>
          <t>2023-06-13</t>
        </is>
      </c>
      <c r="G82" s="4" t="inlineStr">
        <is>
          <t>전순현</t>
        </is>
      </c>
      <c r="H82" s="4" t="inlineStr">
        <is>
          <t>특별관계자</t>
        </is>
      </c>
      <c r="I82" s="4" t="inlineStr">
        <is>
          <t>주식매수선택권부여(+)</t>
        </is>
      </c>
      <c r="J82" s="14" t="n">
        <v>19000</v>
      </c>
      <c r="K82" s="7" t="n">
        <v>30950</v>
      </c>
      <c r="L82" s="14" t="n">
        <v>588050000</v>
      </c>
      <c r="M82" s="7" t="n">
        <v>6671320</v>
      </c>
      <c r="N82" s="12" t="n">
        <v>58.07</v>
      </c>
      <c r="O82" s="7" t="n">
        <v>19000</v>
      </c>
      <c r="P82" s="12" t="n">
        <v>57.28</v>
      </c>
      <c r="Q82" s="2" t="inlineStr">
        <is>
          <t>20231107000273</t>
        </is>
      </c>
      <c r="R82" s="3">
        <f>HYPERLINK("https://dart.fss.or.kr/dsaf001/main.do?rcpNo=20231107000273", "공시열람")</f>
        <v/>
      </c>
    </row>
    <row r="83">
      <c r="A83" s="2" t="inlineStr">
        <is>
          <t>2023-11-07</t>
        </is>
      </c>
      <c r="B83" s="4" t="inlineStr">
        <is>
          <t>가온칩스</t>
        </is>
      </c>
      <c r="C83" s="2" t="inlineStr">
        <is>
          <t>399720</t>
        </is>
      </c>
      <c r="D83" s="2" t="inlineStr">
        <is>
          <t>대량보유</t>
        </is>
      </c>
      <c r="E83" s="2" t="inlineStr">
        <is>
          <t>2023-03-22</t>
        </is>
      </c>
      <c r="F83" s="2" t="inlineStr">
        <is>
          <t>2023-03-22</t>
        </is>
      </c>
      <c r="G83" s="4" t="inlineStr">
        <is>
          <t>김효철</t>
        </is>
      </c>
      <c r="H83" s="4" t="inlineStr">
        <is>
          <t>특별관계자</t>
        </is>
      </c>
      <c r="I83" s="4" t="inlineStr">
        <is>
          <t>장내매도(-)</t>
        </is>
      </c>
      <c r="J83" s="13" t="n">
        <v>-20000</v>
      </c>
      <c r="K83" s="7" t="n">
        <v>32850</v>
      </c>
      <c r="L83" s="13" t="n">
        <v>-657000000</v>
      </c>
      <c r="M83" s="7" t="n">
        <v>6671320</v>
      </c>
      <c r="N83" s="12" t="n">
        <v>58.07</v>
      </c>
      <c r="O83" s="7" t="n">
        <v>32000</v>
      </c>
      <c r="P83" s="12" t="n">
        <v>57.28</v>
      </c>
      <c r="Q83" s="2" t="inlineStr">
        <is>
          <t>20231107000273</t>
        </is>
      </c>
      <c r="R83" s="3">
        <f>HYPERLINK("https://dart.fss.or.kr/dsaf001/main.do?rcpNo=20231107000273", "공시열람")</f>
        <v/>
      </c>
    </row>
    <row r="84">
      <c r="A84" s="2" t="inlineStr">
        <is>
          <t>2023-11-07</t>
        </is>
      </c>
      <c r="B84" s="4" t="inlineStr">
        <is>
          <t>가온칩스</t>
        </is>
      </c>
      <c r="C84" s="2" t="inlineStr">
        <is>
          <t>399720</t>
        </is>
      </c>
      <c r="D84" s="2" t="inlineStr">
        <is>
          <t>대량보유</t>
        </is>
      </c>
      <c r="E84" s="2" t="inlineStr">
        <is>
          <t>2023-03-22</t>
        </is>
      </c>
      <c r="F84" s="2" t="inlineStr">
        <is>
          <t>2023-03-22</t>
        </is>
      </c>
      <c r="G84" s="4" t="inlineStr">
        <is>
          <t>이은희</t>
        </is>
      </c>
      <c r="H84" s="4" t="inlineStr">
        <is>
          <t>특별관계자</t>
        </is>
      </c>
      <c r="I84" s="4" t="inlineStr">
        <is>
          <t>장내매도(-)</t>
        </is>
      </c>
      <c r="J84" s="13" t="n">
        <v>-9500</v>
      </c>
      <c r="K84" s="7" t="n">
        <v>32942</v>
      </c>
      <c r="L84" s="13" t="n">
        <v>-312949000</v>
      </c>
      <c r="M84" s="7" t="n">
        <v>6671320</v>
      </c>
      <c r="N84" s="12" t="n">
        <v>58.07</v>
      </c>
      <c r="O84" s="7" t="n">
        <v>11500</v>
      </c>
      <c r="P84" s="12" t="n">
        <v>57.28</v>
      </c>
      <c r="Q84" s="2" t="inlineStr">
        <is>
          <t>20231107000273</t>
        </is>
      </c>
      <c r="R84" s="3">
        <f>HYPERLINK("https://dart.fss.or.kr/dsaf001/main.do?rcpNo=20231107000273", "공시열람")</f>
        <v/>
      </c>
    </row>
    <row r="85">
      <c r="A85" s="2" t="inlineStr">
        <is>
          <t>2023-11-07</t>
        </is>
      </c>
      <c r="B85" s="4" t="inlineStr">
        <is>
          <t>가온칩스</t>
        </is>
      </c>
      <c r="C85" s="2" t="inlineStr">
        <is>
          <t>399720</t>
        </is>
      </c>
      <c r="D85" s="2" t="inlineStr">
        <is>
          <t>대량보유</t>
        </is>
      </c>
      <c r="E85" s="2" t="inlineStr">
        <is>
          <t>2023-03-31</t>
        </is>
      </c>
      <c r="F85" s="2" t="inlineStr">
        <is>
          <t>2023-03-31</t>
        </is>
      </c>
      <c r="G85" s="4" t="inlineStr">
        <is>
          <t>감태오</t>
        </is>
      </c>
      <c r="H85" s="4" t="inlineStr">
        <is>
          <t>특별관계자</t>
        </is>
      </c>
      <c r="I85" s="4" t="inlineStr">
        <is>
          <t>임원퇴임(-)</t>
        </is>
      </c>
      <c r="J85" s="13" t="n">
        <v>-22000</v>
      </c>
      <c r="K85" s="7" t="n">
        <v>33050</v>
      </c>
      <c r="L85" s="13" t="n">
        <v>-727100000</v>
      </c>
      <c r="M85" s="7" t="n">
        <v>6671320</v>
      </c>
      <c r="N85" s="12" t="n">
        <v>58.07</v>
      </c>
      <c r="O85" s="7" t="inlineStr"/>
      <c r="P85" s="12" t="n">
        <v>57.28</v>
      </c>
      <c r="Q85" s="2" t="inlineStr">
        <is>
          <t>20231107000273</t>
        </is>
      </c>
      <c r="R85" s="3">
        <f>HYPERLINK("https://dart.fss.or.kr/dsaf001/main.do?rcpNo=20231107000273", "공시열람")</f>
        <v/>
      </c>
    </row>
    <row r="86">
      <c r="A86" s="2" t="inlineStr">
        <is>
          <t>2023-11-07</t>
        </is>
      </c>
      <c r="B86" s="4" t="inlineStr">
        <is>
          <t>가온칩스</t>
        </is>
      </c>
      <c r="C86" s="2" t="inlineStr">
        <is>
          <t>399720</t>
        </is>
      </c>
      <c r="D86" s="2" t="inlineStr">
        <is>
          <t>대량보유</t>
        </is>
      </c>
      <c r="E86" s="2" t="inlineStr">
        <is>
          <t>2023-03-31</t>
        </is>
      </c>
      <c r="F86" s="2" t="inlineStr">
        <is>
          <t>2023-03-31</t>
        </is>
      </c>
      <c r="G86" s="4" t="inlineStr">
        <is>
          <t>감태오</t>
        </is>
      </c>
      <c r="H86" s="4" t="inlineStr">
        <is>
          <t>특별관계자</t>
        </is>
      </c>
      <c r="I86" s="4" t="inlineStr">
        <is>
          <t>주식매수선택권부여취소(-)</t>
        </is>
      </c>
      <c r="J86" s="13" t="n">
        <v>-5000</v>
      </c>
      <c r="K86" s="7" t="n">
        <v>33050</v>
      </c>
      <c r="L86" s="13" t="n">
        <v>-165250000</v>
      </c>
      <c r="M86" s="7" t="n">
        <v>6671320</v>
      </c>
      <c r="N86" s="12" t="n">
        <v>58.07</v>
      </c>
      <c r="O86" s="7" t="inlineStr"/>
      <c r="P86" s="12" t="n">
        <v>57.28</v>
      </c>
      <c r="Q86" s="2" t="inlineStr">
        <is>
          <t>20231107000273</t>
        </is>
      </c>
      <c r="R86" s="3">
        <f>HYPERLINK("https://dart.fss.or.kr/dsaf001/main.do?rcpNo=20231107000273", "공시열람")</f>
        <v/>
      </c>
    </row>
    <row r="87">
      <c r="A87" s="2" t="inlineStr">
        <is>
          <t>2023-11-07</t>
        </is>
      </c>
      <c r="B87" s="4" t="inlineStr">
        <is>
          <t>가온칩스</t>
        </is>
      </c>
      <c r="C87" s="2" t="inlineStr">
        <is>
          <t>399720</t>
        </is>
      </c>
      <c r="D87" s="2" t="inlineStr">
        <is>
          <t>대량보유</t>
        </is>
      </c>
      <c r="E87" s="2" t="inlineStr">
        <is>
          <t>2023-06-13</t>
        </is>
      </c>
      <c r="F87" s="2" t="inlineStr">
        <is>
          <t>2023-06-13</t>
        </is>
      </c>
      <c r="G87" s="4" t="inlineStr">
        <is>
          <t>김순곤</t>
        </is>
      </c>
      <c r="H87" s="4" t="inlineStr">
        <is>
          <t>특별관계자</t>
        </is>
      </c>
      <c r="I87" s="4" t="inlineStr">
        <is>
          <t>주식매수선택권부여(+)</t>
        </is>
      </c>
      <c r="J87" s="14" t="n">
        <v>19000</v>
      </c>
      <c r="K87" s="7" t="n">
        <v>30950</v>
      </c>
      <c r="L87" s="14" t="n">
        <v>588050000</v>
      </c>
      <c r="M87" s="7" t="n">
        <v>6671320</v>
      </c>
      <c r="N87" s="12" t="n">
        <v>58.07</v>
      </c>
      <c r="O87" s="7" t="n">
        <v>19000</v>
      </c>
      <c r="P87" s="12" t="n">
        <v>57.28</v>
      </c>
      <c r="Q87" s="2" t="inlineStr">
        <is>
          <t>20231107000273</t>
        </is>
      </c>
      <c r="R87" s="3">
        <f>HYPERLINK("https://dart.fss.or.kr/dsaf001/main.do?rcpNo=20231107000273", "공시열람")</f>
        <v/>
      </c>
    </row>
    <row r="88">
      <c r="A88" s="2" t="inlineStr">
        <is>
          <t>2023-11-07</t>
        </is>
      </c>
      <c r="B88" s="4" t="inlineStr">
        <is>
          <t>가온칩스</t>
        </is>
      </c>
      <c r="C88" s="2" t="inlineStr">
        <is>
          <t>399720</t>
        </is>
      </c>
      <c r="D88" s="2" t="inlineStr">
        <is>
          <t>대량보유</t>
        </is>
      </c>
      <c r="E88" s="2" t="inlineStr">
        <is>
          <t>2023-03-21</t>
        </is>
      </c>
      <c r="F88" s="2" t="inlineStr">
        <is>
          <t>2023-03-22</t>
        </is>
      </c>
      <c r="G88" s="4" t="inlineStr">
        <is>
          <t>위지호</t>
        </is>
      </c>
      <c r="H88" s="4" t="inlineStr">
        <is>
          <t>특별관계자</t>
        </is>
      </c>
      <c r="I88" s="4" t="inlineStr">
        <is>
          <t>장내매도(-)</t>
        </is>
      </c>
      <c r="J88" s="13" t="n">
        <v>-7700</v>
      </c>
      <c r="K88" s="7" t="n">
        <v>30410</v>
      </c>
      <c r="L88" s="13" t="n">
        <v>-234157000</v>
      </c>
      <c r="M88" s="7" t="n">
        <v>6671320</v>
      </c>
      <c r="N88" s="12" t="n">
        <v>58.07</v>
      </c>
      <c r="O88" s="7" t="n">
        <v>4000</v>
      </c>
      <c r="P88" s="12" t="n">
        <v>57.28</v>
      </c>
      <c r="Q88" s="2" t="inlineStr">
        <is>
          <t>20231107000273</t>
        </is>
      </c>
      <c r="R88" s="3">
        <f>HYPERLINK("https://dart.fss.or.kr/dsaf001/main.do?rcpNo=20231107000273", "공시열람")</f>
        <v/>
      </c>
    </row>
    <row r="89">
      <c r="A89" s="2" t="inlineStr">
        <is>
          <t>2023-11-07</t>
        </is>
      </c>
      <c r="B89" s="4" t="inlineStr">
        <is>
          <t>가온칩스</t>
        </is>
      </c>
      <c r="C89" s="2" t="inlineStr">
        <is>
          <t>399720</t>
        </is>
      </c>
      <c r="D89" s="2" t="inlineStr">
        <is>
          <t>대량보유</t>
        </is>
      </c>
      <c r="E89" s="2" t="inlineStr">
        <is>
          <t>2022-08-16</t>
        </is>
      </c>
      <c r="F89" s="2" t="inlineStr">
        <is>
          <t>2022-08-16</t>
        </is>
      </c>
      <c r="G89" s="4" t="inlineStr">
        <is>
          <t>윤형석</t>
        </is>
      </c>
      <c r="H89" s="4" t="inlineStr">
        <is>
          <t>특별관계자</t>
        </is>
      </c>
      <c r="I89" s="4" t="inlineStr">
        <is>
          <t>장내매수(+)</t>
        </is>
      </c>
      <c r="J89" s="14" t="n">
        <v>11</v>
      </c>
      <c r="K89" s="7" t="n">
        <v>26600</v>
      </c>
      <c r="L89" s="14" t="n">
        <v>292600</v>
      </c>
      <c r="M89" s="7" t="n">
        <v>6671320</v>
      </c>
      <c r="N89" s="12" t="n">
        <v>58.07</v>
      </c>
      <c r="O89" s="7" t="n">
        <v>167611</v>
      </c>
      <c r="P89" s="12" t="n">
        <v>57.28</v>
      </c>
      <c r="Q89" s="2" t="inlineStr">
        <is>
          <t>20231107000273</t>
        </is>
      </c>
      <c r="R89" s="3">
        <f>HYPERLINK("https://dart.fss.or.kr/dsaf001/main.do?rcpNo=20231107000273", "공시열람")</f>
        <v/>
      </c>
    </row>
    <row r="90">
      <c r="A90" s="2" t="inlineStr">
        <is>
          <t>2023-11-07</t>
        </is>
      </c>
      <c r="B90" s="4" t="inlineStr">
        <is>
          <t>가온칩스</t>
        </is>
      </c>
      <c r="C90" s="2" t="inlineStr">
        <is>
          <t>399720</t>
        </is>
      </c>
      <c r="D90" s="2" t="inlineStr">
        <is>
          <t>대량보유</t>
        </is>
      </c>
      <c r="E90" s="2" t="inlineStr">
        <is>
          <t>2023-07-14</t>
        </is>
      </c>
      <c r="F90" s="2" t="inlineStr">
        <is>
          <t>2023-07-14</t>
        </is>
      </c>
      <c r="G90" s="4" t="inlineStr">
        <is>
          <t>최진열</t>
        </is>
      </c>
      <c r="H90" s="4" t="inlineStr">
        <is>
          <t>특별관계자</t>
        </is>
      </c>
      <c r="I90" s="4" t="inlineStr">
        <is>
          <t>장내매도(-)</t>
        </is>
      </c>
      <c r="J90" s="13" t="n">
        <v>-10000</v>
      </c>
      <c r="K90" s="7" t="n">
        <v>36946</v>
      </c>
      <c r="L90" s="13" t="n">
        <v>-369460000</v>
      </c>
      <c r="M90" s="7" t="n">
        <v>6671320</v>
      </c>
      <c r="N90" s="12" t="n">
        <v>58.07</v>
      </c>
      <c r="O90" s="7" t="n">
        <v>30000</v>
      </c>
      <c r="P90" s="12" t="n">
        <v>57.28</v>
      </c>
      <c r="Q90" s="2" t="inlineStr">
        <is>
          <t>20231107000273</t>
        </is>
      </c>
      <c r="R90" s="3">
        <f>HYPERLINK("https://dart.fss.or.kr/dsaf001/main.do?rcpNo=20231107000273", "공시열람")</f>
        <v/>
      </c>
    </row>
    <row r="91">
      <c r="A91" s="2" t="inlineStr">
        <is>
          <t>2023-11-07</t>
        </is>
      </c>
      <c r="B91" s="4" t="inlineStr">
        <is>
          <t>가온칩스</t>
        </is>
      </c>
      <c r="C91" s="2" t="inlineStr">
        <is>
          <t>399720</t>
        </is>
      </c>
      <c r="D91" s="2" t="inlineStr">
        <is>
          <t>대량보유</t>
        </is>
      </c>
      <c r="E91" s="2" t="inlineStr">
        <is>
          <t>2023-07-17</t>
        </is>
      </c>
      <c r="F91" s="2" t="inlineStr">
        <is>
          <t>2023-07-17</t>
        </is>
      </c>
      <c r="G91" s="4" t="inlineStr">
        <is>
          <t>박영근</t>
        </is>
      </c>
      <c r="H91" s="4" t="inlineStr">
        <is>
          <t>특별관계자</t>
        </is>
      </c>
      <c r="I91" s="4" t="inlineStr">
        <is>
          <t>장내매도(-)</t>
        </is>
      </c>
      <c r="J91" s="13" t="n">
        <v>-15000</v>
      </c>
      <c r="K91" s="7" t="n">
        <v>46000</v>
      </c>
      <c r="L91" s="13" t="n">
        <v>-690000000</v>
      </c>
      <c r="M91" s="7" t="n">
        <v>6671320</v>
      </c>
      <c r="N91" s="12" t="n">
        <v>58.07</v>
      </c>
      <c r="O91" s="7" t="n">
        <v>4000</v>
      </c>
      <c r="P91" s="12" t="n">
        <v>57.28</v>
      </c>
      <c r="Q91" s="2" t="inlineStr">
        <is>
          <t>20231107000273</t>
        </is>
      </c>
      <c r="R91" s="3">
        <f>HYPERLINK("https://dart.fss.or.kr/dsaf001/main.do?rcpNo=20231107000273", "공시열람")</f>
        <v/>
      </c>
    </row>
    <row r="92">
      <c r="A92" s="2" t="inlineStr">
        <is>
          <t>2023-11-07</t>
        </is>
      </c>
      <c r="B92" s="4" t="inlineStr">
        <is>
          <t>가온칩스</t>
        </is>
      </c>
      <c r="C92" s="2" t="inlineStr">
        <is>
          <t>399720</t>
        </is>
      </c>
      <c r="D92" s="2" t="inlineStr">
        <is>
          <t>대량보유</t>
        </is>
      </c>
      <c r="E92" s="2" t="inlineStr"/>
      <c r="F92" s="2" t="inlineStr"/>
      <c r="G92" s="4" t="inlineStr">
        <is>
          <t>정규동</t>
        </is>
      </c>
      <c r="H92" s="4" t="inlineStr">
        <is>
          <t>최대주주</t>
        </is>
      </c>
      <c r="I92" s="4" t="inlineStr">
        <is>
          <t>신규 담보계약 체결</t>
        </is>
      </c>
      <c r="J92" s="7" t="inlineStr"/>
      <c r="K92" s="7" t="inlineStr"/>
      <c r="L92" s="7" t="inlineStr"/>
      <c r="M92" s="7" t="n">
        <v>6580531</v>
      </c>
      <c r="N92" s="12" t="n">
        <v>57.28</v>
      </c>
      <c r="O92" s="7" t="n">
        <v>6580531</v>
      </c>
      <c r="P92" s="12" t="n">
        <v>57.28</v>
      </c>
      <c r="Q92" s="2" t="inlineStr">
        <is>
          <t>20231106000353</t>
        </is>
      </c>
      <c r="R92" s="3">
        <f>HYPERLINK("https://dart.fss.or.kr/dsaf001/main.do?rcpNo=20231106000353", "공시열람")</f>
        <v/>
      </c>
    </row>
    <row r="93">
      <c r="A93" s="2" t="inlineStr">
        <is>
          <t>2023-11-07</t>
        </is>
      </c>
      <c r="B93" s="4" t="inlineStr">
        <is>
          <t>가온칩스</t>
        </is>
      </c>
      <c r="C93" s="2" t="inlineStr">
        <is>
          <t>399720</t>
        </is>
      </c>
      <c r="D93" s="2" t="inlineStr">
        <is>
          <t>대량보유</t>
        </is>
      </c>
      <c r="E93" s="2" t="inlineStr">
        <is>
          <t>2023-07-07</t>
        </is>
      </c>
      <c r="F93" s="2" t="inlineStr">
        <is>
          <t>2023-07-14</t>
        </is>
      </c>
      <c r="G93" s="4" t="inlineStr">
        <is>
          <t>윤형석</t>
        </is>
      </c>
      <c r="H93" s="4" t="inlineStr">
        <is>
          <t>특별관계자</t>
        </is>
      </c>
      <c r="I93" s="4" t="inlineStr">
        <is>
          <t>장내매도(-)</t>
        </is>
      </c>
      <c r="J93" s="13" t="n">
        <v>-39600</v>
      </c>
      <c r="K93" s="7" t="n">
        <v>40643</v>
      </c>
      <c r="L93" s="13" t="n">
        <v>-1609462800</v>
      </c>
      <c r="M93" s="7" t="n">
        <v>6671320</v>
      </c>
      <c r="N93" s="12" t="n">
        <v>58.07</v>
      </c>
      <c r="O93" s="7" t="n">
        <v>128011</v>
      </c>
      <c r="P93" s="12" t="n">
        <v>57.28</v>
      </c>
      <c r="Q93" s="2" t="inlineStr">
        <is>
          <t>20231107000273</t>
        </is>
      </c>
      <c r="R93" s="3">
        <f>HYPERLINK("https://dart.fss.or.kr/dsaf001/main.do?rcpNo=20231107000273", "공시열람")</f>
        <v/>
      </c>
    </row>
    <row r="94">
      <c r="A94" s="2" t="inlineStr">
        <is>
          <t>2023-09-07</t>
        </is>
      </c>
      <c r="B94" s="4" t="inlineStr">
        <is>
          <t>가온칩스</t>
        </is>
      </c>
      <c r="C94" s="2" t="inlineStr">
        <is>
          <t>399720</t>
        </is>
      </c>
      <c r="D94" s="2" t="inlineStr">
        <is>
          <t>대량보유</t>
        </is>
      </c>
      <c r="E94" s="2" t="inlineStr">
        <is>
          <t>2023-06-13</t>
        </is>
      </c>
      <c r="F94" s="2" t="inlineStr">
        <is>
          <t>2023-06-13</t>
        </is>
      </c>
      <c r="G94" s="4" t="inlineStr">
        <is>
          <t>김순곤</t>
        </is>
      </c>
      <c r="H94" s="4" t="inlineStr">
        <is>
          <t>특별관계자</t>
        </is>
      </c>
      <c r="I94" s="4" t="inlineStr">
        <is>
          <t>주식매수선택권부여(+)</t>
        </is>
      </c>
      <c r="J94" s="14" t="n">
        <v>19000</v>
      </c>
      <c r="K94" s="7" t="n">
        <v>30950</v>
      </c>
      <c r="L94" s="14" t="n">
        <v>588050000</v>
      </c>
      <c r="M94" s="7" t="n">
        <v>6671320</v>
      </c>
      <c r="N94" s="12" t="n">
        <v>58.07</v>
      </c>
      <c r="O94" s="7" t="n">
        <v>19000</v>
      </c>
      <c r="P94" s="12" t="n">
        <v>57.28</v>
      </c>
      <c r="Q94" s="2" t="inlineStr">
        <is>
          <t>20230907000343</t>
        </is>
      </c>
      <c r="R94" s="3">
        <f>HYPERLINK("https://dart.fss.or.kr/dsaf001/main.do?rcpNo=20230907000343", "공시열람")</f>
        <v/>
      </c>
    </row>
    <row r="95">
      <c r="A95" s="2" t="inlineStr">
        <is>
          <t>2023-09-07</t>
        </is>
      </c>
      <c r="B95" s="4" t="inlineStr">
        <is>
          <t>가온칩스</t>
        </is>
      </c>
      <c r="C95" s="2" t="inlineStr">
        <is>
          <t>399720</t>
        </is>
      </c>
      <c r="D95" s="2" t="inlineStr">
        <is>
          <t>대량보유</t>
        </is>
      </c>
      <c r="E95" s="2" t="inlineStr">
        <is>
          <t>2023-03-21</t>
        </is>
      </c>
      <c r="F95" s="2" t="inlineStr">
        <is>
          <t>2023-03-22</t>
        </is>
      </c>
      <c r="G95" s="4" t="inlineStr">
        <is>
          <t>위지호</t>
        </is>
      </c>
      <c r="H95" s="4" t="inlineStr">
        <is>
          <t>특별관계자</t>
        </is>
      </c>
      <c r="I95" s="4" t="inlineStr">
        <is>
          <t>장내매도(-)</t>
        </is>
      </c>
      <c r="J95" s="13" t="n">
        <v>-7700</v>
      </c>
      <c r="K95" s="7" t="n">
        <v>30410</v>
      </c>
      <c r="L95" s="13" t="n">
        <v>-234157000</v>
      </c>
      <c r="M95" s="7" t="n">
        <v>6671320</v>
      </c>
      <c r="N95" s="12" t="n">
        <v>58.07</v>
      </c>
      <c r="O95" s="7" t="n">
        <v>4000</v>
      </c>
      <c r="P95" s="12" t="n">
        <v>57.28</v>
      </c>
      <c r="Q95" s="2" t="inlineStr">
        <is>
          <t>20230907000343</t>
        </is>
      </c>
      <c r="R95" s="3">
        <f>HYPERLINK("https://dart.fss.or.kr/dsaf001/main.do?rcpNo=20230907000343", "공시열람")</f>
        <v/>
      </c>
    </row>
    <row r="96">
      <c r="A96" s="2" t="inlineStr">
        <is>
          <t>2023-09-07</t>
        </is>
      </c>
      <c r="B96" s="4" t="inlineStr">
        <is>
          <t>가온칩스</t>
        </is>
      </c>
      <c r="C96" s="2" t="inlineStr">
        <is>
          <t>399720</t>
        </is>
      </c>
      <c r="D96" s="2" t="inlineStr">
        <is>
          <t>대량보유</t>
        </is>
      </c>
      <c r="E96" s="2" t="inlineStr">
        <is>
          <t>2023-03-22</t>
        </is>
      </c>
      <c r="F96" s="2" t="inlineStr">
        <is>
          <t>2023-03-22</t>
        </is>
      </c>
      <c r="G96" s="4" t="inlineStr">
        <is>
          <t>김효철</t>
        </is>
      </c>
      <c r="H96" s="4" t="inlineStr">
        <is>
          <t>특별관계자</t>
        </is>
      </c>
      <c r="I96" s="4" t="inlineStr">
        <is>
          <t>장내매도(-)</t>
        </is>
      </c>
      <c r="J96" s="13" t="n">
        <v>-20000</v>
      </c>
      <c r="K96" s="7" t="n">
        <v>32850</v>
      </c>
      <c r="L96" s="13" t="n">
        <v>-657000000</v>
      </c>
      <c r="M96" s="7" t="n">
        <v>6671320</v>
      </c>
      <c r="N96" s="12" t="n">
        <v>58.07</v>
      </c>
      <c r="O96" s="7" t="n">
        <v>32000</v>
      </c>
      <c r="P96" s="12" t="n">
        <v>57.28</v>
      </c>
      <c r="Q96" s="2" t="inlineStr">
        <is>
          <t>20230907000343</t>
        </is>
      </c>
      <c r="R96" s="3">
        <f>HYPERLINK("https://dart.fss.or.kr/dsaf001/main.do?rcpNo=20230907000343", "공시열람")</f>
        <v/>
      </c>
    </row>
    <row r="97">
      <c r="A97" s="2" t="inlineStr">
        <is>
          <t>2023-09-07</t>
        </is>
      </c>
      <c r="B97" s="4" t="inlineStr">
        <is>
          <t>가온칩스</t>
        </is>
      </c>
      <c r="C97" s="2" t="inlineStr">
        <is>
          <t>399720</t>
        </is>
      </c>
      <c r="D97" s="2" t="inlineStr">
        <is>
          <t>대량보유</t>
        </is>
      </c>
      <c r="E97" s="2" t="inlineStr">
        <is>
          <t>2023-03-22</t>
        </is>
      </c>
      <c r="F97" s="2" t="inlineStr">
        <is>
          <t>2023-03-22</t>
        </is>
      </c>
      <c r="G97" s="4" t="inlineStr">
        <is>
          <t>이은희</t>
        </is>
      </c>
      <c r="H97" s="4" t="inlineStr">
        <is>
          <t>특별관계자</t>
        </is>
      </c>
      <c r="I97" s="4" t="inlineStr">
        <is>
          <t>장내매도(-)</t>
        </is>
      </c>
      <c r="J97" s="13" t="n">
        <v>-9500</v>
      </c>
      <c r="K97" s="7" t="n">
        <v>32942</v>
      </c>
      <c r="L97" s="13" t="n">
        <v>-312949000</v>
      </c>
      <c r="M97" s="7" t="n">
        <v>6671320</v>
      </c>
      <c r="N97" s="12" t="n">
        <v>58.07</v>
      </c>
      <c r="O97" s="7" t="n">
        <v>11500</v>
      </c>
      <c r="P97" s="12" t="n">
        <v>57.28</v>
      </c>
      <c r="Q97" s="2" t="inlineStr">
        <is>
          <t>20230907000343</t>
        </is>
      </c>
      <c r="R97" s="3">
        <f>HYPERLINK("https://dart.fss.or.kr/dsaf001/main.do?rcpNo=20230907000343", "공시열람")</f>
        <v/>
      </c>
    </row>
    <row r="98">
      <c r="A98" s="2" t="inlineStr">
        <is>
          <t>2023-09-07</t>
        </is>
      </c>
      <c r="B98" s="4" t="inlineStr">
        <is>
          <t>가온칩스</t>
        </is>
      </c>
      <c r="C98" s="2" t="inlineStr">
        <is>
          <t>399720</t>
        </is>
      </c>
      <c r="D98" s="2" t="inlineStr">
        <is>
          <t>대량보유</t>
        </is>
      </c>
      <c r="E98" s="2" t="inlineStr">
        <is>
          <t>2023-03-31</t>
        </is>
      </c>
      <c r="F98" s="2" t="inlineStr">
        <is>
          <t>2023-03-31</t>
        </is>
      </c>
      <c r="G98" s="4" t="inlineStr">
        <is>
          <t>감태오</t>
        </is>
      </c>
      <c r="H98" s="4" t="inlineStr">
        <is>
          <t>특별관계자</t>
        </is>
      </c>
      <c r="I98" s="4" t="inlineStr">
        <is>
          <t>임원퇴임(-)</t>
        </is>
      </c>
      <c r="J98" s="13" t="n">
        <v>-22000</v>
      </c>
      <c r="K98" s="7" t="n">
        <v>33050</v>
      </c>
      <c r="L98" s="13" t="n">
        <v>-727100000</v>
      </c>
      <c r="M98" s="7" t="n">
        <v>6671320</v>
      </c>
      <c r="N98" s="12" t="n">
        <v>58.07</v>
      </c>
      <c r="O98" s="7" t="inlineStr"/>
      <c r="P98" s="12" t="n">
        <v>57.28</v>
      </c>
      <c r="Q98" s="2" t="inlineStr">
        <is>
          <t>20230907000343</t>
        </is>
      </c>
      <c r="R98" s="3">
        <f>HYPERLINK("https://dart.fss.or.kr/dsaf001/main.do?rcpNo=20230907000343", "공시열람")</f>
        <v/>
      </c>
    </row>
    <row r="99">
      <c r="A99" s="2" t="inlineStr">
        <is>
          <t>2023-09-07</t>
        </is>
      </c>
      <c r="B99" s="4" t="inlineStr">
        <is>
          <t>가온칩스</t>
        </is>
      </c>
      <c r="C99" s="2" t="inlineStr">
        <is>
          <t>399720</t>
        </is>
      </c>
      <c r="D99" s="2" t="inlineStr">
        <is>
          <t>대량보유</t>
        </is>
      </c>
      <c r="E99" s="2" t="inlineStr">
        <is>
          <t>2023-03-31</t>
        </is>
      </c>
      <c r="F99" s="2" t="inlineStr">
        <is>
          <t>2023-03-31</t>
        </is>
      </c>
      <c r="G99" s="4" t="inlineStr">
        <is>
          <t>감태오</t>
        </is>
      </c>
      <c r="H99" s="4" t="inlineStr">
        <is>
          <t>특별관계자</t>
        </is>
      </c>
      <c r="I99" s="4" t="inlineStr">
        <is>
          <t>주식매수선택권부여취소(-)</t>
        </is>
      </c>
      <c r="J99" s="13" t="n">
        <v>-5000</v>
      </c>
      <c r="K99" s="7" t="n">
        <v>33050</v>
      </c>
      <c r="L99" s="13" t="n">
        <v>-165250000</v>
      </c>
      <c r="M99" s="7" t="n">
        <v>6671320</v>
      </c>
      <c r="N99" s="12" t="n">
        <v>58.07</v>
      </c>
      <c r="O99" s="7" t="inlineStr"/>
      <c r="P99" s="12" t="n">
        <v>57.28</v>
      </c>
      <c r="Q99" s="2" t="inlineStr">
        <is>
          <t>20230907000343</t>
        </is>
      </c>
      <c r="R99" s="3">
        <f>HYPERLINK("https://dart.fss.or.kr/dsaf001/main.do?rcpNo=20230907000343", "공시열람")</f>
        <v/>
      </c>
    </row>
    <row r="100">
      <c r="A100" s="2" t="inlineStr">
        <is>
          <t>2023-09-07</t>
        </is>
      </c>
      <c r="B100" s="4" t="inlineStr">
        <is>
          <t>가온칩스</t>
        </is>
      </c>
      <c r="C100" s="2" t="inlineStr">
        <is>
          <t>399720</t>
        </is>
      </c>
      <c r="D100" s="2" t="inlineStr">
        <is>
          <t>대량보유</t>
        </is>
      </c>
      <c r="E100" s="2" t="inlineStr">
        <is>
          <t>2023-06-13</t>
        </is>
      </c>
      <c r="F100" s="2" t="inlineStr">
        <is>
          <t>2023-06-13</t>
        </is>
      </c>
      <c r="G100" s="4" t="inlineStr">
        <is>
          <t>전순현</t>
        </is>
      </c>
      <c r="H100" s="4" t="inlineStr">
        <is>
          <t>특별관계자</t>
        </is>
      </c>
      <c r="I100" s="4" t="inlineStr">
        <is>
          <t>주식매수선택권부여(+)</t>
        </is>
      </c>
      <c r="J100" s="14" t="n">
        <v>19000</v>
      </c>
      <c r="K100" s="7" t="n">
        <v>30950</v>
      </c>
      <c r="L100" s="14" t="n">
        <v>588050000</v>
      </c>
      <c r="M100" s="7" t="n">
        <v>6671320</v>
      </c>
      <c r="N100" s="12" t="n">
        <v>58.07</v>
      </c>
      <c r="O100" s="7" t="n">
        <v>19000</v>
      </c>
      <c r="P100" s="12" t="n">
        <v>57.28</v>
      </c>
      <c r="Q100" s="2" t="inlineStr">
        <is>
          <t>20230907000343</t>
        </is>
      </c>
      <c r="R100" s="3">
        <f>HYPERLINK("https://dart.fss.or.kr/dsaf001/main.do?rcpNo=20230907000343", "공시열람")</f>
        <v/>
      </c>
    </row>
    <row r="101">
      <c r="A101" s="2" t="inlineStr">
        <is>
          <t>2023-09-07</t>
        </is>
      </c>
      <c r="B101" s="4" t="inlineStr">
        <is>
          <t>가온칩스</t>
        </is>
      </c>
      <c r="C101" s="2" t="inlineStr">
        <is>
          <t>399720</t>
        </is>
      </c>
      <c r="D101" s="2" t="inlineStr">
        <is>
          <t>대량보유</t>
        </is>
      </c>
      <c r="E101" s="2" t="inlineStr">
        <is>
          <t>2022-08-16</t>
        </is>
      </c>
      <c r="F101" s="2" t="inlineStr">
        <is>
          <t>2022-08-16</t>
        </is>
      </c>
      <c r="G101" s="4" t="inlineStr">
        <is>
          <t>윤형석</t>
        </is>
      </c>
      <c r="H101" s="4" t="inlineStr">
        <is>
          <t>특별관계자</t>
        </is>
      </c>
      <c r="I101" s="4" t="inlineStr">
        <is>
          <t>장내매수(+)</t>
        </is>
      </c>
      <c r="J101" s="14" t="n">
        <v>11</v>
      </c>
      <c r="K101" s="7" t="n">
        <v>26600</v>
      </c>
      <c r="L101" s="14" t="n">
        <v>292600</v>
      </c>
      <c r="M101" s="7" t="n">
        <v>6671320</v>
      </c>
      <c r="N101" s="12" t="n">
        <v>58.07</v>
      </c>
      <c r="O101" s="7" t="n">
        <v>167611</v>
      </c>
      <c r="P101" s="12" t="n">
        <v>57.28</v>
      </c>
      <c r="Q101" s="2" t="inlineStr">
        <is>
          <t>20230907000343</t>
        </is>
      </c>
      <c r="R101" s="3">
        <f>HYPERLINK("https://dart.fss.or.kr/dsaf001/main.do?rcpNo=20230907000343", "공시열람")</f>
        <v/>
      </c>
    </row>
    <row r="102">
      <c r="A102" s="2" t="inlineStr">
        <is>
          <t>2023-09-07</t>
        </is>
      </c>
      <c r="B102" s="4" t="inlineStr">
        <is>
          <t>가온칩스</t>
        </is>
      </c>
      <c r="C102" s="2" t="inlineStr">
        <is>
          <t>399720</t>
        </is>
      </c>
      <c r="D102" s="2" t="inlineStr">
        <is>
          <t>대량보유</t>
        </is>
      </c>
      <c r="E102" s="2" t="inlineStr">
        <is>
          <t>2023-07-07</t>
        </is>
      </c>
      <c r="F102" s="2" t="inlineStr">
        <is>
          <t>2023-07-14</t>
        </is>
      </c>
      <c r="G102" s="4" t="inlineStr">
        <is>
          <t>윤형석</t>
        </is>
      </c>
      <c r="H102" s="4" t="inlineStr">
        <is>
          <t>특별관계자</t>
        </is>
      </c>
      <c r="I102" s="4" t="inlineStr">
        <is>
          <t>장내매도(-)</t>
        </is>
      </c>
      <c r="J102" s="13" t="n">
        <v>-39600</v>
      </c>
      <c r="K102" s="7" t="n">
        <v>40643</v>
      </c>
      <c r="L102" s="13" t="n">
        <v>-1609462800</v>
      </c>
      <c r="M102" s="7" t="n">
        <v>6671320</v>
      </c>
      <c r="N102" s="12" t="n">
        <v>58.07</v>
      </c>
      <c r="O102" s="7" t="n">
        <v>128011</v>
      </c>
      <c r="P102" s="12" t="n">
        <v>57.28</v>
      </c>
      <c r="Q102" s="2" t="inlineStr">
        <is>
          <t>20230907000343</t>
        </is>
      </c>
      <c r="R102" s="3">
        <f>HYPERLINK("https://dart.fss.or.kr/dsaf001/main.do?rcpNo=20230907000343", "공시열람")</f>
        <v/>
      </c>
    </row>
    <row r="103">
      <c r="A103" s="2" t="inlineStr">
        <is>
          <t>2023-09-07</t>
        </is>
      </c>
      <c r="B103" s="4" t="inlineStr">
        <is>
          <t>가온칩스</t>
        </is>
      </c>
      <c r="C103" s="2" t="inlineStr">
        <is>
          <t>399720</t>
        </is>
      </c>
      <c r="D103" s="2" t="inlineStr">
        <is>
          <t>대량보유</t>
        </is>
      </c>
      <c r="E103" s="2" t="inlineStr">
        <is>
          <t>2023-07-14</t>
        </is>
      </c>
      <c r="F103" s="2" t="inlineStr">
        <is>
          <t>2023-07-14</t>
        </is>
      </c>
      <c r="G103" s="4" t="inlineStr">
        <is>
          <t>최진열</t>
        </is>
      </c>
      <c r="H103" s="4" t="inlineStr">
        <is>
          <t>특별관계자</t>
        </is>
      </c>
      <c r="I103" s="4" t="inlineStr">
        <is>
          <t>장내매도(-)</t>
        </is>
      </c>
      <c r="J103" s="13" t="n">
        <v>-10000</v>
      </c>
      <c r="K103" s="7" t="n">
        <v>36946</v>
      </c>
      <c r="L103" s="13" t="n">
        <v>-369460000</v>
      </c>
      <c r="M103" s="7" t="n">
        <v>6671320</v>
      </c>
      <c r="N103" s="12" t="n">
        <v>58.07</v>
      </c>
      <c r="O103" s="7" t="n">
        <v>30000</v>
      </c>
      <c r="P103" s="12" t="n">
        <v>57.28</v>
      </c>
      <c r="Q103" s="2" t="inlineStr">
        <is>
          <t>20230907000343</t>
        </is>
      </c>
      <c r="R103" s="3">
        <f>HYPERLINK("https://dart.fss.or.kr/dsaf001/main.do?rcpNo=20230907000343", "공시열람")</f>
        <v/>
      </c>
    </row>
    <row r="104">
      <c r="A104" s="2" t="inlineStr">
        <is>
          <t>2023-09-07</t>
        </is>
      </c>
      <c r="B104" s="4" t="inlineStr">
        <is>
          <t>가온칩스</t>
        </is>
      </c>
      <c r="C104" s="2" t="inlineStr">
        <is>
          <t>399720</t>
        </is>
      </c>
      <c r="D104" s="2" t="inlineStr">
        <is>
          <t>대량보유</t>
        </is>
      </c>
      <c r="E104" s="2" t="inlineStr">
        <is>
          <t>2023-07-17</t>
        </is>
      </c>
      <c r="F104" s="2" t="inlineStr">
        <is>
          <t>2023-07-17</t>
        </is>
      </c>
      <c r="G104" s="4" t="inlineStr">
        <is>
          <t>박영근</t>
        </is>
      </c>
      <c r="H104" s="4" t="inlineStr">
        <is>
          <t>특별관계자</t>
        </is>
      </c>
      <c r="I104" s="4" t="inlineStr">
        <is>
          <t>장내매도(-)</t>
        </is>
      </c>
      <c r="J104" s="13" t="n">
        <v>-15000</v>
      </c>
      <c r="K104" s="7" t="n">
        <v>46000</v>
      </c>
      <c r="L104" s="13" t="n">
        <v>-690000000</v>
      </c>
      <c r="M104" s="7" t="n">
        <v>6671320</v>
      </c>
      <c r="N104" s="12" t="n">
        <v>58.07</v>
      </c>
      <c r="O104" s="7" t="n">
        <v>4000</v>
      </c>
      <c r="P104" s="12" t="n">
        <v>57.28</v>
      </c>
      <c r="Q104" s="2" t="inlineStr">
        <is>
          <t>20230907000343</t>
        </is>
      </c>
      <c r="R104" s="3">
        <f>HYPERLINK("https://dart.fss.or.kr/dsaf001/main.do?rcpNo=20230907000343", "공시열람")</f>
        <v/>
      </c>
    </row>
    <row r="105">
      <c r="A105" s="2" t="inlineStr">
        <is>
          <t>2023-07-21</t>
        </is>
      </c>
      <c r="B105" s="4" t="inlineStr">
        <is>
          <t>가온칩스</t>
        </is>
      </c>
      <c r="C105" s="2" t="inlineStr">
        <is>
          <t>399720</t>
        </is>
      </c>
      <c r="D105" s="2" t="inlineStr">
        <is>
          <t>임원보고</t>
        </is>
      </c>
      <c r="E105" s="2" t="inlineStr">
        <is>
          <t>2023-07-14</t>
        </is>
      </c>
      <c r="F105" s="2" t="inlineStr">
        <is>
          <t>2023-07-14</t>
        </is>
      </c>
      <c r="G105" s="4" t="inlineStr">
        <is>
          <t>최진열</t>
        </is>
      </c>
      <c r="H105" s="4" t="inlineStr">
        <is>
          <t>비등기임원 이사</t>
        </is>
      </c>
      <c r="I105" s="4" t="inlineStr">
        <is>
          <t>장내매도(-)</t>
        </is>
      </c>
      <c r="J105" s="13" t="n">
        <v>-10000</v>
      </c>
      <c r="K105" s="7" t="n">
        <v>36946</v>
      </c>
      <c r="L105" s="13" t="n">
        <v>-369460000</v>
      </c>
      <c r="M105" s="7" t="inlineStr"/>
      <c r="N105" s="15" t="inlineStr"/>
      <c r="O105" s="7" t="n">
        <v>30000</v>
      </c>
      <c r="P105" s="12" t="n">
        <v>0.26</v>
      </c>
      <c r="Q105" s="2" t="inlineStr">
        <is>
          <t>20230721000423</t>
        </is>
      </c>
      <c r="R105" s="3">
        <f>HYPERLINK("https://dart.fss.or.kr/dsaf001/main.do?rcpNo=20230721000423", "공시열람")</f>
        <v/>
      </c>
    </row>
    <row r="106">
      <c r="A106" s="2" t="inlineStr">
        <is>
          <t>2023-07-21</t>
        </is>
      </c>
      <c r="B106" s="4" t="inlineStr">
        <is>
          <t>가온칩스</t>
        </is>
      </c>
      <c r="C106" s="2" t="inlineStr">
        <is>
          <t>399720</t>
        </is>
      </c>
      <c r="D106" s="2" t="inlineStr">
        <is>
          <t>임원보고</t>
        </is>
      </c>
      <c r="E106" s="2" t="inlineStr">
        <is>
          <t>2023-07-19</t>
        </is>
      </c>
      <c r="F106" s="2" t="inlineStr">
        <is>
          <t>2023-07-19</t>
        </is>
      </c>
      <c r="G106" s="4" t="inlineStr">
        <is>
          <t>박영근</t>
        </is>
      </c>
      <c r="H106" s="4" t="inlineStr">
        <is>
          <t>비등기임원 이사</t>
        </is>
      </c>
      <c r="I106" s="4" t="inlineStr">
        <is>
          <t>장내매도(-)</t>
        </is>
      </c>
      <c r="J106" s="13" t="n">
        <v>-15000</v>
      </c>
      <c r="K106" s="7" t="n">
        <v>46000</v>
      </c>
      <c r="L106" s="13" t="n">
        <v>-690000000</v>
      </c>
      <c r="M106" s="7" t="inlineStr"/>
      <c r="N106" s="15" t="inlineStr"/>
      <c r="O106" s="7" t="inlineStr"/>
      <c r="P106" s="15" t="inlineStr"/>
      <c r="Q106" s="2" t="inlineStr">
        <is>
          <t>20230721000428</t>
        </is>
      </c>
      <c r="R106" s="3">
        <f>HYPERLINK("https://dart.fss.or.kr/dsaf001/main.do?rcpNo=20230721000428", "공시열람")</f>
        <v/>
      </c>
    </row>
    <row r="107">
      <c r="A107" s="2" t="inlineStr">
        <is>
          <t>2023-07-14</t>
        </is>
      </c>
      <c r="B107" s="4" t="inlineStr">
        <is>
          <t>가온칩스</t>
        </is>
      </c>
      <c r="C107" s="2" t="inlineStr">
        <is>
          <t>399720</t>
        </is>
      </c>
      <c r="D107" s="2" t="inlineStr">
        <is>
          <t>임원보고</t>
        </is>
      </c>
      <c r="E107" s="2" t="inlineStr">
        <is>
          <t>2023-07-07</t>
        </is>
      </c>
      <c r="F107" s="2" t="inlineStr">
        <is>
          <t>2023-07-14</t>
        </is>
      </c>
      <c r="G107" s="4" t="inlineStr">
        <is>
          <t>윤형석</t>
        </is>
      </c>
      <c r="H107" s="4" t="inlineStr">
        <is>
          <t>비등기임원 이사</t>
        </is>
      </c>
      <c r="I107" s="4" t="inlineStr">
        <is>
          <t>장내매도(-)</t>
        </is>
      </c>
      <c r="J107" s="13" t="n">
        <v>-39600</v>
      </c>
      <c r="K107" s="7" t="n">
        <v>40643</v>
      </c>
      <c r="L107" s="13" t="n">
        <v>-1609462800</v>
      </c>
      <c r="M107" s="7" t="inlineStr"/>
      <c r="N107" s="15" t="inlineStr"/>
      <c r="O107" s="7" t="n">
        <v>128011</v>
      </c>
      <c r="P107" s="12" t="n">
        <v>1.11</v>
      </c>
      <c r="Q107" s="2" t="inlineStr">
        <is>
          <t>20230714000540</t>
        </is>
      </c>
      <c r="R107" s="3">
        <f>HYPERLINK("https://dart.fss.or.kr/dsaf001/main.do?rcpNo=20230714000540", "공시열람")</f>
        <v/>
      </c>
    </row>
    <row r="108">
      <c r="A108" s="2" t="inlineStr">
        <is>
          <t>2023-07-14</t>
        </is>
      </c>
      <c r="B108" s="4" t="inlineStr">
        <is>
          <t>가온칩스</t>
        </is>
      </c>
      <c r="C108" s="2" t="inlineStr">
        <is>
          <t>399720</t>
        </is>
      </c>
      <c r="D108" s="2" t="inlineStr">
        <is>
          <t>임원보고</t>
        </is>
      </c>
      <c r="E108" s="2" t="inlineStr">
        <is>
          <t>2022-08-16</t>
        </is>
      </c>
      <c r="F108" s="2" t="inlineStr">
        <is>
          <t>2022-08-16</t>
        </is>
      </c>
      <c r="G108" s="4" t="inlineStr">
        <is>
          <t>윤형석</t>
        </is>
      </c>
      <c r="H108" s="4" t="inlineStr">
        <is>
          <t>비등기임원 이사</t>
        </is>
      </c>
      <c r="I108" s="4" t="inlineStr">
        <is>
          <t>장내매수(+)</t>
        </is>
      </c>
      <c r="J108" s="14" t="n">
        <v>11</v>
      </c>
      <c r="K108" s="7" t="n">
        <v>26600</v>
      </c>
      <c r="L108" s="14" t="n">
        <v>292600</v>
      </c>
      <c r="M108" s="7" t="inlineStr"/>
      <c r="N108" s="15" t="inlineStr"/>
      <c r="O108" s="7" t="n">
        <v>167611</v>
      </c>
      <c r="P108" s="12" t="n">
        <v>1.11</v>
      </c>
      <c r="Q108" s="2" t="inlineStr">
        <is>
          <t>20230714000540</t>
        </is>
      </c>
      <c r="R108" s="3">
        <f>HYPERLINK("https://dart.fss.or.kr/dsaf001/main.do?rcpNo=20230714000540", "공시열람")</f>
        <v/>
      </c>
    </row>
    <row r="109">
      <c r="A109" s="2" t="inlineStr">
        <is>
          <t>2023-04-04</t>
        </is>
      </c>
      <c r="B109" s="4" t="inlineStr">
        <is>
          <t>가온칩스</t>
        </is>
      </c>
      <c r="C109" s="2" t="inlineStr">
        <is>
          <t>399720</t>
        </is>
      </c>
      <c r="D109" s="2" t="inlineStr">
        <is>
          <t>임원보고</t>
        </is>
      </c>
      <c r="E109" s="2" t="inlineStr">
        <is>
          <t>2023-03-31</t>
        </is>
      </c>
      <c r="F109" s="2" t="inlineStr">
        <is>
          <t>2023-03-31</t>
        </is>
      </c>
      <c r="G109" s="4" t="inlineStr">
        <is>
          <t>감태오</t>
        </is>
      </c>
      <c r="H109" s="4" t="inlineStr">
        <is>
          <t>비등기임원 이사</t>
        </is>
      </c>
      <c r="I109" s="4" t="inlineStr">
        <is>
          <t>임원퇴임(-)</t>
        </is>
      </c>
      <c r="J109" s="13" t="n">
        <v>-22000</v>
      </c>
      <c r="K109" s="7" t="n">
        <v>33050</v>
      </c>
      <c r="L109" s="13" t="n">
        <v>-727100000</v>
      </c>
      <c r="M109" s="7" t="inlineStr"/>
      <c r="N109" s="15" t="inlineStr"/>
      <c r="O109" s="7" t="inlineStr"/>
      <c r="P109" s="15" t="inlineStr"/>
      <c r="Q109" s="2" t="inlineStr">
        <is>
          <t>20230404002696</t>
        </is>
      </c>
      <c r="R109" s="3">
        <f>HYPERLINK("https://dart.fss.or.kr/dsaf001/main.do?rcpNo=20230404002696", "공시열람")</f>
        <v/>
      </c>
    </row>
    <row r="110">
      <c r="A110" s="2" t="inlineStr">
        <is>
          <t>2023-03-29</t>
        </is>
      </c>
      <c r="B110" s="4" t="inlineStr">
        <is>
          <t>가온칩스</t>
        </is>
      </c>
      <c r="C110" s="2" t="inlineStr">
        <is>
          <t>399720</t>
        </is>
      </c>
      <c r="D110" s="2" t="inlineStr">
        <is>
          <t>임원보고</t>
        </is>
      </c>
      <c r="E110" s="2" t="inlineStr">
        <is>
          <t>2023-03-22</t>
        </is>
      </c>
      <c r="F110" s="2" t="inlineStr">
        <is>
          <t>2023-03-22</t>
        </is>
      </c>
      <c r="G110" s="4" t="inlineStr">
        <is>
          <t>이은희</t>
        </is>
      </c>
      <c r="H110" s="4" t="inlineStr">
        <is>
          <t>비등기임원 이사</t>
        </is>
      </c>
      <c r="I110" s="4" t="inlineStr">
        <is>
          <t>장내매도(-)</t>
        </is>
      </c>
      <c r="J110" s="13" t="n">
        <v>-9500</v>
      </c>
      <c r="K110" s="7" t="n">
        <v>32942</v>
      </c>
      <c r="L110" s="13" t="n">
        <v>-312949000</v>
      </c>
      <c r="M110" s="7" t="inlineStr"/>
      <c r="N110" s="15" t="inlineStr"/>
      <c r="O110" s="7" t="n">
        <v>10500</v>
      </c>
      <c r="P110" s="12" t="n">
        <v>0.09</v>
      </c>
      <c r="Q110" s="2" t="inlineStr">
        <is>
          <t>20230329000981</t>
        </is>
      </c>
      <c r="R110" s="3">
        <f>HYPERLINK("https://dart.fss.or.kr/dsaf001/main.do?rcpNo=20230329000981", "공시열람")</f>
        <v/>
      </c>
    </row>
    <row r="111">
      <c r="A111" s="2" t="inlineStr">
        <is>
          <t>2023-03-28</t>
        </is>
      </c>
      <c r="B111" s="4" t="inlineStr">
        <is>
          <t>가온칩스</t>
        </is>
      </c>
      <c r="C111" s="2" t="inlineStr">
        <is>
          <t>399720</t>
        </is>
      </c>
      <c r="D111" s="2" t="inlineStr">
        <is>
          <t>임원보고</t>
        </is>
      </c>
      <c r="E111" s="2" t="inlineStr">
        <is>
          <t>2022-12-08</t>
        </is>
      </c>
      <c r="F111" s="2" t="inlineStr">
        <is>
          <t>2022-12-08</t>
        </is>
      </c>
      <c r="G111" s="4" t="inlineStr">
        <is>
          <t>이은희</t>
        </is>
      </c>
      <c r="H111" s="4" t="inlineStr">
        <is>
          <t>비등기임원 이사</t>
        </is>
      </c>
      <c r="I111" s="4" t="inlineStr">
        <is>
          <t>장내매도(-)</t>
        </is>
      </c>
      <c r="J111" s="13" t="n">
        <v>-9500</v>
      </c>
      <c r="K111" s="7" t="n">
        <v>32942</v>
      </c>
      <c r="L111" s="13" t="n">
        <v>-312949000</v>
      </c>
      <c r="M111" s="7" t="inlineStr"/>
      <c r="N111" s="15" t="inlineStr"/>
      <c r="O111" s="7" t="n">
        <v>10500</v>
      </c>
      <c r="P111" s="12" t="n">
        <v>0.09</v>
      </c>
      <c r="Q111" s="2" t="inlineStr">
        <is>
          <t>20230328001085</t>
        </is>
      </c>
      <c r="R111" s="3">
        <f>HYPERLINK("https://dart.fss.or.kr/dsaf001/main.do?rcpNo=20230328001085", "공시열람")</f>
        <v/>
      </c>
    </row>
    <row r="112">
      <c r="A112" s="2" t="inlineStr">
        <is>
          <t>2023-03-28</t>
        </is>
      </c>
      <c r="B112" s="4" t="inlineStr">
        <is>
          <t>가온칩스</t>
        </is>
      </c>
      <c r="C112" s="2" t="inlineStr">
        <is>
          <t>399720</t>
        </is>
      </c>
      <c r="D112" s="2" t="inlineStr">
        <is>
          <t>임원보고</t>
        </is>
      </c>
      <c r="E112" s="2" t="inlineStr">
        <is>
          <t>2023-03-22</t>
        </is>
      </c>
      <c r="F112" s="2" t="inlineStr">
        <is>
          <t>2023-03-22</t>
        </is>
      </c>
      <c r="G112" s="4" t="inlineStr">
        <is>
          <t>김효철</t>
        </is>
      </c>
      <c r="H112" s="4" t="inlineStr">
        <is>
          <t>비등기임원 상무</t>
        </is>
      </c>
      <c r="I112" s="4" t="inlineStr">
        <is>
          <t>장내매도(-)</t>
        </is>
      </c>
      <c r="J112" s="13" t="n">
        <v>-20000</v>
      </c>
      <c r="K112" s="7" t="n">
        <v>32850</v>
      </c>
      <c r="L112" s="13" t="n">
        <v>-657000000</v>
      </c>
      <c r="M112" s="7" t="inlineStr"/>
      <c r="N112" s="15" t="inlineStr"/>
      <c r="O112" s="7" t="n">
        <v>30000</v>
      </c>
      <c r="P112" s="12" t="n">
        <v>0.26</v>
      </c>
      <c r="Q112" s="2" t="inlineStr">
        <is>
          <t>20230328001086</t>
        </is>
      </c>
      <c r="R112" s="3">
        <f>HYPERLINK("https://dart.fss.or.kr/dsaf001/main.do?rcpNo=20230328001086", "공시열람")</f>
        <v/>
      </c>
    </row>
    <row r="113">
      <c r="A113" s="2" t="inlineStr">
        <is>
          <t>2023-03-28</t>
        </is>
      </c>
      <c r="B113" s="4" t="inlineStr">
        <is>
          <t>가온칩스</t>
        </is>
      </c>
      <c r="C113" s="2" t="inlineStr">
        <is>
          <t>399720</t>
        </is>
      </c>
      <c r="D113" s="2" t="inlineStr">
        <is>
          <t>임원보고</t>
        </is>
      </c>
      <c r="E113" s="2" t="inlineStr">
        <is>
          <t>2023-03-21</t>
        </is>
      </c>
      <c r="F113" s="2" t="inlineStr">
        <is>
          <t>2023-03-22</t>
        </is>
      </c>
      <c r="G113" s="4" t="inlineStr">
        <is>
          <t>위지호</t>
        </is>
      </c>
      <c r="H113" s="4" t="inlineStr">
        <is>
          <t>비등기임원 이사</t>
        </is>
      </c>
      <c r="I113" s="4" t="inlineStr">
        <is>
          <t>장내매도(-)</t>
        </is>
      </c>
      <c r="J113" s="13" t="n">
        <v>-7700</v>
      </c>
      <c r="K113" s="7" t="n">
        <v>30410</v>
      </c>
      <c r="L113" s="13" t="n">
        <v>-234157000</v>
      </c>
      <c r="M113" s="7" t="inlineStr"/>
      <c r="N113" s="15" t="inlineStr"/>
      <c r="O113" s="7" t="n">
        <v>5700</v>
      </c>
      <c r="P113" s="15" t="inlineStr"/>
      <c r="Q113" s="2" t="inlineStr">
        <is>
          <t>20230328001081</t>
        </is>
      </c>
      <c r="R113" s="3">
        <f>HYPERLINK("https://dart.fss.or.kr/dsaf001/main.do?rcpNo=20230328001081", "공시열람")</f>
        <v/>
      </c>
    </row>
    <row r="114">
      <c r="A114" s="2" t="inlineStr">
        <is>
          <t>2023-02-21</t>
        </is>
      </c>
      <c r="B114" s="4" t="inlineStr">
        <is>
          <t>가온칩스</t>
        </is>
      </c>
      <c r="C114" s="2" t="inlineStr">
        <is>
          <t>399720</t>
        </is>
      </c>
      <c r="D114" s="2" t="inlineStr">
        <is>
          <t>대량보유</t>
        </is>
      </c>
      <c r="E114" s="2" t="inlineStr">
        <is>
          <t>2023-02-14</t>
        </is>
      </c>
      <c r="F114" s="2" t="inlineStr">
        <is>
          <t>2023-02-17</t>
        </is>
      </c>
      <c r="G114" s="4" t="inlineStr">
        <is>
          <t>서정욱</t>
        </is>
      </c>
      <c r="H114" s="4" t="inlineStr">
        <is>
          <t>특별관계자</t>
        </is>
      </c>
      <c r="I114" s="4" t="inlineStr">
        <is>
          <t>장내매도(-)</t>
        </is>
      </c>
      <c r="J114" s="13" t="n">
        <v>-22000</v>
      </c>
      <c r="K114" s="7" t="n">
        <v>24268</v>
      </c>
      <c r="L114" s="13" t="n">
        <v>-533896000</v>
      </c>
      <c r="M114" s="7" t="n">
        <v>6801120</v>
      </c>
      <c r="N114" s="12" t="n">
        <v>59.2</v>
      </c>
      <c r="O114" s="7" t="n">
        <v>2000</v>
      </c>
      <c r="P114" s="12" t="n">
        <v>58.07</v>
      </c>
      <c r="Q114" s="2" t="inlineStr">
        <is>
          <t>20230221002331</t>
        </is>
      </c>
      <c r="R114" s="3">
        <f>HYPERLINK("https://dart.fss.or.kr/dsaf001/main.do?rcpNo=20230221002331", "공시열람")</f>
        <v/>
      </c>
    </row>
    <row r="115">
      <c r="A115" s="2" t="inlineStr">
        <is>
          <t>2023-02-21</t>
        </is>
      </c>
      <c r="B115" s="4" t="inlineStr">
        <is>
          <t>가온칩스</t>
        </is>
      </c>
      <c r="C115" s="2" t="inlineStr">
        <is>
          <t>399720</t>
        </is>
      </c>
      <c r="D115" s="2" t="inlineStr">
        <is>
          <t>대량보유</t>
        </is>
      </c>
      <c r="E115" s="2" t="inlineStr">
        <is>
          <t>2023-02-10</t>
        </is>
      </c>
      <c r="F115" s="2" t="inlineStr">
        <is>
          <t>2023-02-10</t>
        </is>
      </c>
      <c r="G115" s="4" t="inlineStr">
        <is>
          <t>윤형석</t>
        </is>
      </c>
      <c r="H115" s="4" t="inlineStr">
        <is>
          <t>특별관계자</t>
        </is>
      </c>
      <c r="I115" s="4" t="inlineStr">
        <is>
          <t>증여(-)</t>
        </is>
      </c>
      <c r="J115" s="13" t="n">
        <v>-22000</v>
      </c>
      <c r="K115" s="7" t="n">
        <v>23100</v>
      </c>
      <c r="L115" s="13" t="n">
        <v>-508200000</v>
      </c>
      <c r="M115" s="7" t="n">
        <v>6801120</v>
      </c>
      <c r="N115" s="12" t="n">
        <v>59.2</v>
      </c>
      <c r="O115" s="7" t="n">
        <v>167600</v>
      </c>
      <c r="P115" s="12" t="n">
        <v>58.07</v>
      </c>
      <c r="Q115" s="2" t="inlineStr">
        <is>
          <t>20230221002331</t>
        </is>
      </c>
      <c r="R115" s="3">
        <f>HYPERLINK("https://dart.fss.or.kr/dsaf001/main.do?rcpNo=20230221002331", "공시열람")</f>
        <v/>
      </c>
    </row>
    <row r="116">
      <c r="A116" s="2" t="inlineStr">
        <is>
          <t>2023-02-21</t>
        </is>
      </c>
      <c r="B116" s="4" t="inlineStr">
        <is>
          <t>가온칩스</t>
        </is>
      </c>
      <c r="C116" s="2" t="inlineStr">
        <is>
          <t>399720</t>
        </is>
      </c>
      <c r="D116" s="2" t="inlineStr">
        <is>
          <t>대량보유</t>
        </is>
      </c>
      <c r="E116" s="2" t="inlineStr">
        <is>
          <t>2023-02-08</t>
        </is>
      </c>
      <c r="F116" s="2" t="inlineStr">
        <is>
          <t>2023-02-09</t>
        </is>
      </c>
      <c r="G116" s="4" t="inlineStr">
        <is>
          <t>윤형석</t>
        </is>
      </c>
      <c r="H116" s="4" t="inlineStr">
        <is>
          <t>특별관계자</t>
        </is>
      </c>
      <c r="I116" s="4" t="inlineStr">
        <is>
          <t>장내매도(-)</t>
        </is>
      </c>
      <c r="J116" s="13" t="n">
        <v>-8400</v>
      </c>
      <c r="K116" s="7" t="n">
        <v>24654</v>
      </c>
      <c r="L116" s="13" t="n">
        <v>-207093600</v>
      </c>
      <c r="M116" s="7" t="n">
        <v>6801120</v>
      </c>
      <c r="N116" s="12" t="n">
        <v>59.2</v>
      </c>
      <c r="O116" s="7" t="n">
        <v>189600</v>
      </c>
      <c r="P116" s="12" t="n">
        <v>58.07</v>
      </c>
      <c r="Q116" s="2" t="inlineStr">
        <is>
          <t>20230221002331</t>
        </is>
      </c>
      <c r="R116" s="3">
        <f>HYPERLINK("https://dart.fss.or.kr/dsaf001/main.do?rcpNo=20230221002331", "공시열람")</f>
        <v/>
      </c>
    </row>
    <row r="117">
      <c r="A117" s="2" t="inlineStr">
        <is>
          <t>2023-02-21</t>
        </is>
      </c>
      <c r="B117" s="4" t="inlineStr">
        <is>
          <t>가온칩스</t>
        </is>
      </c>
      <c r="C117" s="2" t="inlineStr">
        <is>
          <t>399720</t>
        </is>
      </c>
      <c r="D117" s="2" t="inlineStr">
        <is>
          <t>대량보유</t>
        </is>
      </c>
      <c r="E117" s="2" t="inlineStr">
        <is>
          <t>2023-02-02</t>
        </is>
      </c>
      <c r="F117" s="2" t="inlineStr">
        <is>
          <t>2023-02-09</t>
        </is>
      </c>
      <c r="G117" s="4" t="inlineStr">
        <is>
          <t>박대남</t>
        </is>
      </c>
      <c r="H117" s="4" t="inlineStr">
        <is>
          <t>특별관계자</t>
        </is>
      </c>
      <c r="I117" s="4" t="inlineStr">
        <is>
          <t>장내매도(-)</t>
        </is>
      </c>
      <c r="J117" s="13" t="n">
        <v>-70000</v>
      </c>
      <c r="K117" s="7" t="n">
        <v>21860</v>
      </c>
      <c r="L117" s="13" t="n">
        <v>-1530200000</v>
      </c>
      <c r="M117" s="7" t="n">
        <v>6801120</v>
      </c>
      <c r="N117" s="12" t="n">
        <v>59.2</v>
      </c>
      <c r="O117" s="7" t="n">
        <v>255600</v>
      </c>
      <c r="P117" s="12" t="n">
        <v>58.07</v>
      </c>
      <c r="Q117" s="2" t="inlineStr">
        <is>
          <t>20230221002331</t>
        </is>
      </c>
      <c r="R117" s="3">
        <f>HYPERLINK("https://dart.fss.or.kr/dsaf001/main.do?rcpNo=20230221002331", "공시열람")</f>
        <v/>
      </c>
    </row>
    <row r="118">
      <c r="A118" s="2" t="inlineStr">
        <is>
          <t>2023-02-21</t>
        </is>
      </c>
      <c r="B118" s="4" t="inlineStr">
        <is>
          <t>가온칩스</t>
        </is>
      </c>
      <c r="C118" s="2" t="inlineStr">
        <is>
          <t>399720</t>
        </is>
      </c>
      <c r="D118" s="2" t="inlineStr">
        <is>
          <t>대량보유</t>
        </is>
      </c>
      <c r="E118" s="2" t="inlineStr">
        <is>
          <t>2023-02-01</t>
        </is>
      </c>
      <c r="F118" s="2" t="inlineStr">
        <is>
          <t>2023-02-01</t>
        </is>
      </c>
      <c r="G118" s="4" t="inlineStr">
        <is>
          <t>박대남</t>
        </is>
      </c>
      <c r="H118" s="4" t="inlineStr">
        <is>
          <t>특별관계자</t>
        </is>
      </c>
      <c r="I118" s="4" t="inlineStr">
        <is>
          <t>증여(-)</t>
        </is>
      </c>
      <c r="J118" s="13" t="n">
        <v>-26400</v>
      </c>
      <c r="K118" s="7" t="n">
        <v>19410</v>
      </c>
      <c r="L118" s="13" t="n">
        <v>-512424000</v>
      </c>
      <c r="M118" s="7" t="n">
        <v>6801120</v>
      </c>
      <c r="N118" s="12" t="n">
        <v>59.2</v>
      </c>
      <c r="O118" s="7" t="n">
        <v>325600</v>
      </c>
      <c r="P118" s="12" t="n">
        <v>58.07</v>
      </c>
      <c r="Q118" s="2" t="inlineStr">
        <is>
          <t>20230221002331</t>
        </is>
      </c>
      <c r="R118" s="3">
        <f>HYPERLINK("https://dart.fss.or.kr/dsaf001/main.do?rcpNo=20230221002331", "공시열람")</f>
        <v/>
      </c>
    </row>
    <row r="119">
      <c r="A119" s="2" t="inlineStr">
        <is>
          <t>2023-02-21</t>
        </is>
      </c>
      <c r="B119" s="4" t="inlineStr">
        <is>
          <t>가온칩스</t>
        </is>
      </c>
      <c r="C119" s="2" t="inlineStr">
        <is>
          <t>399720</t>
        </is>
      </c>
      <c r="D119" s="2" t="inlineStr">
        <is>
          <t>대량보유</t>
        </is>
      </c>
      <c r="E119" s="2" t="inlineStr">
        <is>
          <t>2023-01-02</t>
        </is>
      </c>
      <c r="F119" s="2" t="inlineStr">
        <is>
          <t>2023-01-02</t>
        </is>
      </c>
      <c r="G119" s="4" t="inlineStr">
        <is>
          <t>박영근</t>
        </is>
      </c>
      <c r="H119" s="4" t="inlineStr">
        <is>
          <t>특별관계자</t>
        </is>
      </c>
      <c r="I119" s="4" t="inlineStr">
        <is>
          <t>주식매수선택권부여(+)</t>
        </is>
      </c>
      <c r="J119" s="14" t="n">
        <v>4000</v>
      </c>
      <c r="K119" s="7" t="n">
        <v>13500</v>
      </c>
      <c r="L119" s="14" t="n">
        <v>54000000</v>
      </c>
      <c r="M119" s="7" t="n">
        <v>6801120</v>
      </c>
      <c r="N119" s="12" t="n">
        <v>59.2</v>
      </c>
      <c r="O119" s="7" t="n">
        <v>4000</v>
      </c>
      <c r="P119" s="12" t="n">
        <v>58.07</v>
      </c>
      <c r="Q119" s="2" t="inlineStr">
        <is>
          <t>20230221002331</t>
        </is>
      </c>
      <c r="R119" s="3">
        <f>HYPERLINK("https://dart.fss.or.kr/dsaf001/main.do?rcpNo=20230221002331", "공시열람")</f>
        <v/>
      </c>
    </row>
    <row r="120">
      <c r="A120" s="2" t="inlineStr">
        <is>
          <t>2023-02-21</t>
        </is>
      </c>
      <c r="B120" s="4" t="inlineStr">
        <is>
          <t>가온칩스</t>
        </is>
      </c>
      <c r="C120" s="2" t="inlineStr">
        <is>
          <t>399720</t>
        </is>
      </c>
      <c r="D120" s="2" t="inlineStr">
        <is>
          <t>대량보유</t>
        </is>
      </c>
      <c r="E120" s="2" t="inlineStr">
        <is>
          <t>2023-01-02</t>
        </is>
      </c>
      <c r="F120" s="2" t="inlineStr">
        <is>
          <t>2023-01-02</t>
        </is>
      </c>
      <c r="G120" s="4" t="inlineStr">
        <is>
          <t>박영근</t>
        </is>
      </c>
      <c r="H120" s="4" t="inlineStr">
        <is>
          <t>특별관계자</t>
        </is>
      </c>
      <c r="I120" s="4" t="inlineStr">
        <is>
          <t>신규상장(무상취득)(+)</t>
        </is>
      </c>
      <c r="J120" s="14" t="n">
        <v>15000</v>
      </c>
      <c r="K120" s="7" t="n">
        <v>13500</v>
      </c>
      <c r="L120" s="14" t="n">
        <v>202500000</v>
      </c>
      <c r="M120" s="7" t="n">
        <v>6801120</v>
      </c>
      <c r="N120" s="12" t="n">
        <v>59.2</v>
      </c>
      <c r="O120" s="7" t="n">
        <v>15000</v>
      </c>
      <c r="P120" s="12" t="n">
        <v>58.07</v>
      </c>
      <c r="Q120" s="2" t="inlineStr">
        <is>
          <t>20230221002331</t>
        </is>
      </c>
      <c r="R120" s="3">
        <f>HYPERLINK("https://dart.fss.or.kr/dsaf001/main.do?rcpNo=20230221002331", "공시열람")</f>
        <v/>
      </c>
    </row>
    <row r="121">
      <c r="A121" s="2" t="inlineStr">
        <is>
          <t>2023-02-21</t>
        </is>
      </c>
      <c r="B121" s="4" t="inlineStr">
        <is>
          <t>가온칩스</t>
        </is>
      </c>
      <c r="C121" s="2" t="inlineStr">
        <is>
          <t>399720</t>
        </is>
      </c>
      <c r="D121" s="2" t="inlineStr">
        <is>
          <t>임원보고</t>
        </is>
      </c>
      <c r="E121" s="2" t="inlineStr">
        <is>
          <t>2023-02-14</t>
        </is>
      </c>
      <c r="F121" s="2" t="inlineStr">
        <is>
          <t>2023-02-17</t>
        </is>
      </c>
      <c r="G121" s="4" t="inlineStr">
        <is>
          <t>서정욱</t>
        </is>
      </c>
      <c r="H121" s="4" t="inlineStr">
        <is>
          <t>비등기임원 이사</t>
        </is>
      </c>
      <c r="I121" s="4" t="inlineStr">
        <is>
          <t>장내매도(-)</t>
        </is>
      </c>
      <c r="J121" s="13" t="n">
        <v>-22000</v>
      </c>
      <c r="K121" s="7" t="n">
        <v>24268</v>
      </c>
      <c r="L121" s="13" t="n">
        <v>-533896000</v>
      </c>
      <c r="M121" s="7" t="inlineStr"/>
      <c r="N121" s="15" t="inlineStr"/>
      <c r="O121" s="7" t="n">
        <v>2000</v>
      </c>
      <c r="P121" s="15" t="inlineStr"/>
      <c r="Q121" s="2" t="inlineStr">
        <is>
          <t>20230221002277</t>
        </is>
      </c>
      <c r="R121" s="3">
        <f>HYPERLINK("https://dart.fss.or.kr/dsaf001/main.do?rcpNo=20230221002277", "공시열람")</f>
        <v/>
      </c>
    </row>
    <row r="122">
      <c r="A122" s="2" t="inlineStr">
        <is>
          <t>2023-02-15</t>
        </is>
      </c>
      <c r="B122" s="4" t="inlineStr">
        <is>
          <t>가온칩스</t>
        </is>
      </c>
      <c r="C122" s="2" t="inlineStr">
        <is>
          <t>399720</t>
        </is>
      </c>
      <c r="D122" s="2" t="inlineStr">
        <is>
          <t>임원보고</t>
        </is>
      </c>
      <c r="E122" s="2" t="inlineStr">
        <is>
          <t>2023-02-10</t>
        </is>
      </c>
      <c r="F122" s="2" t="inlineStr">
        <is>
          <t>2023-02-10</t>
        </is>
      </c>
      <c r="G122" s="4" t="inlineStr">
        <is>
          <t>윤형석</t>
        </is>
      </c>
      <c r="H122" s="4" t="inlineStr">
        <is>
          <t>비등기임원 이사</t>
        </is>
      </c>
      <c r="I122" s="4" t="inlineStr">
        <is>
          <t>증여(-)</t>
        </is>
      </c>
      <c r="J122" s="13" t="n">
        <v>-22000</v>
      </c>
      <c r="K122" s="7" t="n">
        <v>23100</v>
      </c>
      <c r="L122" s="13" t="n">
        <v>-508200000</v>
      </c>
      <c r="M122" s="7" t="inlineStr"/>
      <c r="N122" s="15" t="inlineStr"/>
      <c r="O122" s="7" t="n">
        <v>167600</v>
      </c>
      <c r="P122" s="12" t="n">
        <v>1.46</v>
      </c>
      <c r="Q122" s="2" t="inlineStr">
        <is>
          <t>20230215001257</t>
        </is>
      </c>
      <c r="R122" s="3">
        <f>HYPERLINK("https://dart.fss.or.kr/dsaf001/main.do?rcpNo=20230215001257", "공시열람")</f>
        <v/>
      </c>
    </row>
    <row r="123">
      <c r="A123" s="2" t="inlineStr">
        <is>
          <t>2023-02-15</t>
        </is>
      </c>
      <c r="B123" s="4" t="inlineStr">
        <is>
          <t>가온칩스</t>
        </is>
      </c>
      <c r="C123" s="2" t="inlineStr">
        <is>
          <t>399720</t>
        </is>
      </c>
      <c r="D123" s="2" t="inlineStr">
        <is>
          <t>임원보고</t>
        </is>
      </c>
      <c r="E123" s="2" t="inlineStr">
        <is>
          <t>2023-02-08</t>
        </is>
      </c>
      <c r="F123" s="2" t="inlineStr">
        <is>
          <t>2023-02-09</t>
        </is>
      </c>
      <c r="G123" s="4" t="inlineStr">
        <is>
          <t>윤형석</t>
        </is>
      </c>
      <c r="H123" s="4" t="inlineStr">
        <is>
          <t>비등기임원 이사</t>
        </is>
      </c>
      <c r="I123" s="4" t="inlineStr">
        <is>
          <t>장내매도(-)</t>
        </is>
      </c>
      <c r="J123" s="13" t="n">
        <v>-8400</v>
      </c>
      <c r="K123" s="7" t="n">
        <v>24654</v>
      </c>
      <c r="L123" s="13" t="n">
        <v>-207093600</v>
      </c>
      <c r="M123" s="7" t="inlineStr"/>
      <c r="N123" s="15" t="inlineStr"/>
      <c r="O123" s="7" t="n">
        <v>189600</v>
      </c>
      <c r="P123" s="12" t="n">
        <v>1.46</v>
      </c>
      <c r="Q123" s="2" t="inlineStr">
        <is>
          <t>20230215001257</t>
        </is>
      </c>
      <c r="R123" s="3">
        <f>HYPERLINK("https://dart.fss.or.kr/dsaf001/main.do?rcpNo=20230215001257", "공시열람")</f>
        <v/>
      </c>
    </row>
    <row r="124">
      <c r="A124" s="2" t="inlineStr">
        <is>
          <t>2023-02-15</t>
        </is>
      </c>
      <c r="B124" s="4" t="inlineStr">
        <is>
          <t>가온칩스</t>
        </is>
      </c>
      <c r="C124" s="2" t="inlineStr">
        <is>
          <t>399720</t>
        </is>
      </c>
      <c r="D124" s="2" t="inlineStr">
        <is>
          <t>임원보고</t>
        </is>
      </c>
      <c r="E124" s="2" t="inlineStr">
        <is>
          <t>2023-02-09</t>
        </is>
      </c>
      <c r="F124" s="2" t="inlineStr">
        <is>
          <t>2023-02-09</t>
        </is>
      </c>
      <c r="G124" s="4" t="inlineStr">
        <is>
          <t>박대남</t>
        </is>
      </c>
      <c r="H124" s="4" t="inlineStr">
        <is>
          <t>비등기임원 상무</t>
        </is>
      </c>
      <c r="I124" s="4" t="inlineStr">
        <is>
          <t>장내매도(-)</t>
        </is>
      </c>
      <c r="J124" s="13" t="n">
        <v>-20000</v>
      </c>
      <c r="K124" s="7" t="n">
        <v>25075</v>
      </c>
      <c r="L124" s="13" t="n">
        <v>-501500000</v>
      </c>
      <c r="M124" s="7" t="inlineStr"/>
      <c r="N124" s="15" t="inlineStr"/>
      <c r="O124" s="7" t="n">
        <v>255600</v>
      </c>
      <c r="P124" s="12" t="n">
        <v>2.22</v>
      </c>
      <c r="Q124" s="2" t="inlineStr">
        <is>
          <t>20230215001268</t>
        </is>
      </c>
      <c r="R124" s="3">
        <f>HYPERLINK("https://dart.fss.or.kr/dsaf001/main.do?rcpNo=20230215001268", "공시열람")</f>
        <v/>
      </c>
    </row>
    <row r="125">
      <c r="A125" s="2" t="inlineStr">
        <is>
          <t>2023-02-08</t>
        </is>
      </c>
      <c r="B125" s="4" t="inlineStr">
        <is>
          <t>가온칩스</t>
        </is>
      </c>
      <c r="C125" s="2" t="inlineStr">
        <is>
          <t>399720</t>
        </is>
      </c>
      <c r="D125" s="2" t="inlineStr">
        <is>
          <t>임원보고</t>
        </is>
      </c>
      <c r="E125" s="2" t="inlineStr">
        <is>
          <t>2023-02-02</t>
        </is>
      </c>
      <c r="F125" s="2" t="inlineStr">
        <is>
          <t>2023-02-03</t>
        </is>
      </c>
      <c r="G125" s="4" t="inlineStr">
        <is>
          <t>박대남</t>
        </is>
      </c>
      <c r="H125" s="4" t="inlineStr">
        <is>
          <t>비등기임원 상무</t>
        </is>
      </c>
      <c r="I125" s="4" t="inlineStr">
        <is>
          <t>장내매도(-)</t>
        </is>
      </c>
      <c r="J125" s="13" t="n">
        <v>-50000</v>
      </c>
      <c r="K125" s="7" t="n">
        <v>20574</v>
      </c>
      <c r="L125" s="13" t="n">
        <v>-1028700000</v>
      </c>
      <c r="M125" s="7" t="inlineStr"/>
      <c r="N125" s="15" t="inlineStr"/>
      <c r="O125" s="7" t="n">
        <v>275600</v>
      </c>
      <c r="P125" s="12" t="n">
        <v>2.4</v>
      </c>
      <c r="Q125" s="2" t="inlineStr">
        <is>
          <t>20230208000558</t>
        </is>
      </c>
      <c r="R125" s="3">
        <f>HYPERLINK("https://dart.fss.or.kr/dsaf001/main.do?rcpNo=20230208000558", "공시열람")</f>
        <v/>
      </c>
    </row>
    <row r="126">
      <c r="A126" s="2" t="inlineStr">
        <is>
          <t>2023-02-08</t>
        </is>
      </c>
      <c r="B126" s="4" t="inlineStr">
        <is>
          <t>가온칩스</t>
        </is>
      </c>
      <c r="C126" s="2" t="inlineStr">
        <is>
          <t>399720</t>
        </is>
      </c>
      <c r="D126" s="2" t="inlineStr">
        <is>
          <t>임원보고</t>
        </is>
      </c>
      <c r="E126" s="2" t="inlineStr">
        <is>
          <t>2023-02-01</t>
        </is>
      </c>
      <c r="F126" s="2" t="inlineStr">
        <is>
          <t>2023-02-01</t>
        </is>
      </c>
      <c r="G126" s="4" t="inlineStr">
        <is>
          <t>박대남</t>
        </is>
      </c>
      <c r="H126" s="4" t="inlineStr">
        <is>
          <t>비등기임원 상무</t>
        </is>
      </c>
      <c r="I126" s="4" t="inlineStr">
        <is>
          <t>증여(-)</t>
        </is>
      </c>
      <c r="J126" s="13" t="n">
        <v>-26400</v>
      </c>
      <c r="K126" s="7" t="n">
        <v>19410</v>
      </c>
      <c r="L126" s="13" t="n">
        <v>-512424000</v>
      </c>
      <c r="M126" s="7" t="inlineStr"/>
      <c r="N126" s="15" t="inlineStr"/>
      <c r="O126" s="7" t="n">
        <v>325600</v>
      </c>
      <c r="P126" s="12" t="n">
        <v>2.4</v>
      </c>
      <c r="Q126" s="2" t="inlineStr">
        <is>
          <t>20230208000558</t>
        </is>
      </c>
      <c r="R126" s="3">
        <f>HYPERLINK("https://dart.fss.or.kr/dsaf001/main.do?rcpNo=20230208000558", "공시열람")</f>
        <v/>
      </c>
    </row>
    <row r="127">
      <c r="A127" s="2" t="inlineStr">
        <is>
          <t>2023-01-09</t>
        </is>
      </c>
      <c r="B127" s="4" t="inlineStr">
        <is>
          <t>가온칩스</t>
        </is>
      </c>
      <c r="C127" s="2" t="inlineStr">
        <is>
          <t>399720</t>
        </is>
      </c>
      <c r="D127" s="2" t="inlineStr">
        <is>
          <t>임원보고</t>
        </is>
      </c>
      <c r="E127" s="2" t="inlineStr">
        <is>
          <t>2023-01-02</t>
        </is>
      </c>
      <c r="F127" s="2" t="inlineStr">
        <is>
          <t>2023-01-02</t>
        </is>
      </c>
      <c r="G127" s="4" t="inlineStr">
        <is>
          <t>박영근</t>
        </is>
      </c>
      <c r="H127" s="4" t="inlineStr">
        <is>
          <t>비등기임원 이사</t>
        </is>
      </c>
      <c r="I127" s="4" t="inlineStr">
        <is>
          <t>신규선임(+)</t>
        </is>
      </c>
      <c r="J127" s="14" t="n">
        <v>15000</v>
      </c>
      <c r="K127" s="7" t="n">
        <v>13500</v>
      </c>
      <c r="L127" s="14" t="n">
        <v>202500000</v>
      </c>
      <c r="M127" s="7" t="inlineStr"/>
      <c r="N127" s="15" t="inlineStr"/>
      <c r="O127" s="7" t="n">
        <v>15000</v>
      </c>
      <c r="P127" s="12" t="n">
        <v>0.13</v>
      </c>
      <c r="Q127" s="2" t="inlineStr">
        <is>
          <t>20230109000258</t>
        </is>
      </c>
      <c r="R127" s="3">
        <f>HYPERLINK("https://dart.fss.or.kr/dsaf001/main.do?rcpNo=20230109000258", "공시열람")</f>
        <v/>
      </c>
    </row>
    <row r="128">
      <c r="A128" s="2" t="inlineStr">
        <is>
          <t>2022-12-14</t>
        </is>
      </c>
      <c r="B128" s="4" t="inlineStr">
        <is>
          <t>가온칩스</t>
        </is>
      </c>
      <c r="C128" s="2" t="inlineStr">
        <is>
          <t>399720</t>
        </is>
      </c>
      <c r="D128" s="2" t="inlineStr">
        <is>
          <t>임원보고</t>
        </is>
      </c>
      <c r="E128" s="2" t="inlineStr">
        <is>
          <t>2022-12-07</t>
        </is>
      </c>
      <c r="F128" s="2" t="inlineStr">
        <is>
          <t>2022-12-08</t>
        </is>
      </c>
      <c r="G128" s="4" t="inlineStr">
        <is>
          <t>최진열</t>
        </is>
      </c>
      <c r="H128" s="4" t="inlineStr">
        <is>
          <t>비등기임원 이사</t>
        </is>
      </c>
      <c r="I128" s="4" t="inlineStr">
        <is>
          <t>장내매도(-)</t>
        </is>
      </c>
      <c r="J128" s="13" t="n">
        <v>-68900</v>
      </c>
      <c r="K128" s="7" t="n">
        <v>18935</v>
      </c>
      <c r="L128" s="13" t="n">
        <v>-1304621500</v>
      </c>
      <c r="M128" s="7" t="inlineStr"/>
      <c r="N128" s="15" t="inlineStr"/>
      <c r="O128" s="7" t="n">
        <v>40000</v>
      </c>
      <c r="P128" s="12" t="n">
        <v>0.35</v>
      </c>
      <c r="Q128" s="2" t="inlineStr">
        <is>
          <t>20221214000363</t>
        </is>
      </c>
      <c r="R128" s="3">
        <f>HYPERLINK("https://dart.fss.or.kr/dsaf001/main.do?rcpNo=20221214000363", "공시열람")</f>
        <v/>
      </c>
    </row>
    <row r="129">
      <c r="A129" s="2" t="inlineStr">
        <is>
          <t>2022-12-14</t>
        </is>
      </c>
      <c r="B129" s="4" t="inlineStr">
        <is>
          <t>가온칩스</t>
        </is>
      </c>
      <c r="C129" s="2" t="inlineStr">
        <is>
          <t>399720</t>
        </is>
      </c>
      <c r="D129" s="2" t="inlineStr">
        <is>
          <t>임원보고</t>
        </is>
      </c>
      <c r="E129" s="2" t="inlineStr">
        <is>
          <t>2022-12-13</t>
        </is>
      </c>
      <c r="F129" s="2" t="inlineStr">
        <is>
          <t>2022-12-13</t>
        </is>
      </c>
      <c r="G129" s="4" t="inlineStr">
        <is>
          <t>김효철</t>
        </is>
      </c>
      <c r="H129" s="4" t="inlineStr">
        <is>
          <t>비등기임원 이사</t>
        </is>
      </c>
      <c r="I129" s="4" t="inlineStr">
        <is>
          <t>장내매도(-)</t>
        </is>
      </c>
      <c r="J129" s="13" t="n">
        <v>-44600</v>
      </c>
      <c r="K129" s="7" t="n">
        <v>17739</v>
      </c>
      <c r="L129" s="13" t="n">
        <v>-791159400</v>
      </c>
      <c r="M129" s="7" t="inlineStr"/>
      <c r="N129" s="15" t="inlineStr"/>
      <c r="O129" s="7" t="n">
        <v>50000</v>
      </c>
      <c r="P129" s="12" t="n">
        <v>0.44</v>
      </c>
      <c r="Q129" s="2" t="inlineStr">
        <is>
          <t>20221214000367</t>
        </is>
      </c>
      <c r="R129" s="3">
        <f>HYPERLINK("https://dart.fss.or.kr/dsaf001/main.do?rcpNo=20221214000367", "공시열람")</f>
        <v/>
      </c>
    </row>
    <row r="130">
      <c r="A130" s="2" t="inlineStr">
        <is>
          <t>2022-12-14</t>
        </is>
      </c>
      <c r="B130" s="4" t="inlineStr">
        <is>
          <t>가온칩스</t>
        </is>
      </c>
      <c r="C130" s="2" t="inlineStr">
        <is>
          <t>399720</t>
        </is>
      </c>
      <c r="D130" s="2" t="inlineStr">
        <is>
          <t>임원보고</t>
        </is>
      </c>
      <c r="E130" s="2" t="inlineStr">
        <is>
          <t>2022-12-08</t>
        </is>
      </c>
      <c r="F130" s="2" t="inlineStr">
        <is>
          <t>2022-12-14</t>
        </is>
      </c>
      <c r="G130" s="4" t="inlineStr">
        <is>
          <t>이은희</t>
        </is>
      </c>
      <c r="H130" s="4" t="inlineStr">
        <is>
          <t>비등기임원 이사</t>
        </is>
      </c>
      <c r="I130" s="4" t="inlineStr">
        <is>
          <t>장내매도(-)</t>
        </is>
      </c>
      <c r="J130" s="13" t="n">
        <v>-13000</v>
      </c>
      <c r="K130" s="7" t="n">
        <v>18199</v>
      </c>
      <c r="L130" s="13" t="n">
        <v>-236587000</v>
      </c>
      <c r="M130" s="7" t="inlineStr"/>
      <c r="N130" s="15" t="inlineStr"/>
      <c r="O130" s="7" t="n">
        <v>20000</v>
      </c>
      <c r="P130" s="12" t="n">
        <v>0.17</v>
      </c>
      <c r="Q130" s="2" t="inlineStr">
        <is>
          <t>20221214000371</t>
        </is>
      </c>
      <c r="R130" s="3">
        <f>HYPERLINK("https://dart.fss.or.kr/dsaf001/main.do?rcpNo=20221214000371", "공시열람")</f>
        <v/>
      </c>
    </row>
    <row r="131">
      <c r="A131" s="2" t="inlineStr">
        <is>
          <t>2022-12-14</t>
        </is>
      </c>
      <c r="B131" s="4" t="inlineStr">
        <is>
          <t>가온칩스</t>
        </is>
      </c>
      <c r="C131" s="2" t="inlineStr">
        <is>
          <t>399720</t>
        </is>
      </c>
      <c r="D131" s="2" t="inlineStr">
        <is>
          <t>대량보유</t>
        </is>
      </c>
      <c r="E131" s="2" t="inlineStr">
        <is>
          <t>2022-12-13</t>
        </is>
      </c>
      <c r="F131" s="2" t="inlineStr">
        <is>
          <t>2022-12-13</t>
        </is>
      </c>
      <c r="G131" s="4" t="inlineStr">
        <is>
          <t>김효철</t>
        </is>
      </c>
      <c r="H131" s="4" t="inlineStr">
        <is>
          <t>특별관계자</t>
        </is>
      </c>
      <c r="I131" s="4" t="inlineStr">
        <is>
          <t>장내매도(-)</t>
        </is>
      </c>
      <c r="J131" s="13" t="n">
        <v>-44600</v>
      </c>
      <c r="K131" s="7" t="n">
        <v>17739</v>
      </c>
      <c r="L131" s="13" t="n">
        <v>-791159400</v>
      </c>
      <c r="M131" s="7" t="n">
        <v>6927620</v>
      </c>
      <c r="N131" s="12" t="n">
        <v>60.3</v>
      </c>
      <c r="O131" s="7" t="n">
        <v>52000</v>
      </c>
      <c r="P131" s="12" t="n">
        <v>59.2</v>
      </c>
      <c r="Q131" s="2" t="inlineStr">
        <is>
          <t>20221214000386</t>
        </is>
      </c>
      <c r="R131" s="3">
        <f>HYPERLINK("https://dart.fss.or.kr/dsaf001/main.do?rcpNo=20221214000386", "공시열람")</f>
        <v/>
      </c>
    </row>
    <row r="132">
      <c r="A132" s="2" t="inlineStr">
        <is>
          <t>2022-12-14</t>
        </is>
      </c>
      <c r="B132" s="4" t="inlineStr">
        <is>
          <t>가온칩스</t>
        </is>
      </c>
      <c r="C132" s="2" t="inlineStr">
        <is>
          <t>399720</t>
        </is>
      </c>
      <c r="D132" s="2" t="inlineStr">
        <is>
          <t>대량보유</t>
        </is>
      </c>
      <c r="E132" s="2" t="inlineStr">
        <is>
          <t>2022-12-06</t>
        </is>
      </c>
      <c r="F132" s="2" t="inlineStr">
        <is>
          <t>2022-12-14</t>
        </is>
      </c>
      <c r="G132" s="4" t="inlineStr">
        <is>
          <t>이은희</t>
        </is>
      </c>
      <c r="H132" s="4" t="inlineStr">
        <is>
          <t>특별관계자</t>
        </is>
      </c>
      <c r="I132" s="4" t="inlineStr">
        <is>
          <t>장내매도(-)</t>
        </is>
      </c>
      <c r="J132" s="13" t="n">
        <v>-13000</v>
      </c>
      <c r="K132" s="7" t="n">
        <v>18199</v>
      </c>
      <c r="L132" s="13" t="n">
        <v>-236587000</v>
      </c>
      <c r="M132" s="7" t="n">
        <v>6927620</v>
      </c>
      <c r="N132" s="12" t="n">
        <v>60.3</v>
      </c>
      <c r="O132" s="7" t="n">
        <v>21000</v>
      </c>
      <c r="P132" s="12" t="n">
        <v>59.2</v>
      </c>
      <c r="Q132" s="2" t="inlineStr">
        <is>
          <t>20221214000386</t>
        </is>
      </c>
      <c r="R132" s="3">
        <f>HYPERLINK("https://dart.fss.or.kr/dsaf001/main.do?rcpNo=20221214000386", "공시열람")</f>
        <v/>
      </c>
    </row>
    <row r="133">
      <c r="A133" s="2" t="inlineStr">
        <is>
          <t>2022-12-14</t>
        </is>
      </c>
      <c r="B133" s="4" t="inlineStr">
        <is>
          <t>가온칩스</t>
        </is>
      </c>
      <c r="C133" s="2" t="inlineStr">
        <is>
          <t>399720</t>
        </is>
      </c>
      <c r="D133" s="2" t="inlineStr">
        <is>
          <t>대량보유</t>
        </is>
      </c>
      <c r="E133" s="2" t="inlineStr">
        <is>
          <t>2022-12-05</t>
        </is>
      </c>
      <c r="F133" s="2" t="inlineStr">
        <is>
          <t>2022-12-06</t>
        </is>
      </c>
      <c r="G133" s="4" t="inlineStr">
        <is>
          <t>최진열</t>
        </is>
      </c>
      <c r="H133" s="4" t="inlineStr">
        <is>
          <t>특별관계자</t>
        </is>
      </c>
      <c r="I133" s="4" t="inlineStr">
        <is>
          <t>장내매도(-)</t>
        </is>
      </c>
      <c r="J133" s="13" t="n">
        <v>-68900</v>
      </c>
      <c r="K133" s="7" t="n">
        <v>18935</v>
      </c>
      <c r="L133" s="13" t="n">
        <v>-1304621500</v>
      </c>
      <c r="M133" s="7" t="n">
        <v>6927620</v>
      </c>
      <c r="N133" s="12" t="n">
        <v>60.3</v>
      </c>
      <c r="O133" s="7" t="n">
        <v>40000</v>
      </c>
      <c r="P133" s="12" t="n">
        <v>59.2</v>
      </c>
      <c r="Q133" s="2" t="inlineStr">
        <is>
          <t>20221214000386</t>
        </is>
      </c>
      <c r="R133" s="3">
        <f>HYPERLINK("https://dart.fss.or.kr/dsaf001/main.do?rcpNo=20221214000386", "공시열람")</f>
        <v/>
      </c>
    </row>
    <row r="134">
      <c r="A134" s="2" t="inlineStr">
        <is>
          <t>2022-06-22</t>
        </is>
      </c>
      <c r="B134" s="4" t="inlineStr">
        <is>
          <t>가온칩스</t>
        </is>
      </c>
      <c r="C134" s="2" t="inlineStr">
        <is>
          <t>399720</t>
        </is>
      </c>
      <c r="D134" s="2" t="inlineStr">
        <is>
          <t>대량보유</t>
        </is>
      </c>
      <c r="E134" s="2" t="inlineStr"/>
      <c r="F134" s="2" t="inlineStr"/>
      <c r="G134" s="4" t="inlineStr">
        <is>
          <t>김원한</t>
        </is>
      </c>
      <c r="H134" s="4" t="inlineStr">
        <is>
          <t>주주</t>
        </is>
      </c>
      <c r="I134" s="4" t="inlineStr">
        <is>
          <t>1% 이상 변동 사유</t>
        </is>
      </c>
      <c r="J134" s="7" t="inlineStr"/>
      <c r="K134" s="7" t="inlineStr"/>
      <c r="L134" s="7" t="inlineStr"/>
      <c r="M134" s="7" t="n">
        <v>632500</v>
      </c>
      <c r="N134" s="12" t="n">
        <v>5.51</v>
      </c>
      <c r="O134" s="7" t="n">
        <v>460000</v>
      </c>
      <c r="P134" s="12" t="n">
        <v>4</v>
      </c>
      <c r="Q134" s="2" t="inlineStr">
        <is>
          <t>20220622000450</t>
        </is>
      </c>
      <c r="R134" s="3">
        <f>HYPERLINK("https://dart.fss.or.kr/dsaf001/main.do?rcpNo=20220622000450", "공시열람")</f>
        <v/>
      </c>
    </row>
    <row r="135">
      <c r="A135" s="2" t="inlineStr">
        <is>
          <t>2022-05-26</t>
        </is>
      </c>
      <c r="B135" s="4" t="inlineStr">
        <is>
          <t>가온칩스</t>
        </is>
      </c>
      <c r="C135" s="2" t="inlineStr">
        <is>
          <t>399720</t>
        </is>
      </c>
      <c r="D135" s="2" t="inlineStr">
        <is>
          <t>대량보유</t>
        </is>
      </c>
      <c r="E135" s="2" t="inlineStr"/>
      <c r="F135" s="2" t="inlineStr"/>
      <c r="G135" s="4" t="inlineStr">
        <is>
          <t>김원한</t>
        </is>
      </c>
      <c r="H135" s="4" t="inlineStr">
        <is>
          <t>주주</t>
        </is>
      </c>
      <c r="I135" s="4" t="inlineStr">
        <is>
          <t>주권의 코스닥시장 상장에 따른 신규보고</t>
        </is>
      </c>
      <c r="J135" s="7" t="inlineStr"/>
      <c r="K135" s="7" t="inlineStr"/>
      <c r="L135" s="7" t="inlineStr"/>
      <c r="M135" s="7" t="inlineStr"/>
      <c r="N135" s="15" t="inlineStr"/>
      <c r="O135" s="7" t="n">
        <v>632500</v>
      </c>
      <c r="P135" s="12" t="n">
        <v>5.51</v>
      </c>
      <c r="Q135" s="2" t="inlineStr">
        <is>
          <t>20220526000288</t>
        </is>
      </c>
      <c r="R135" s="3">
        <f>HYPERLINK("https://dart.fss.or.kr/dsaf001/main.do?rcpNo=20220526000288", "공시열람")</f>
        <v/>
      </c>
    </row>
    <row r="136">
      <c r="A136" s="2" t="inlineStr">
        <is>
          <t>2022-05-24</t>
        </is>
      </c>
      <c r="B136" s="4" t="inlineStr">
        <is>
          <t>가온칩스</t>
        </is>
      </c>
      <c r="C136" s="2" t="inlineStr">
        <is>
          <t>399720</t>
        </is>
      </c>
      <c r="D136" s="2" t="inlineStr">
        <is>
          <t>임원보고</t>
        </is>
      </c>
      <c r="E136" s="2" t="inlineStr">
        <is>
          <t>2022-05-20</t>
        </is>
      </c>
      <c r="F136" s="2" t="inlineStr">
        <is>
          <t>2022-05-20</t>
        </is>
      </c>
      <c r="G136" s="4" t="inlineStr">
        <is>
          <t>김효철</t>
        </is>
      </c>
      <c r="H136" s="4" t="inlineStr">
        <is>
          <t>비등기임원 이사</t>
        </is>
      </c>
      <c r="I136" s="4" t="inlineStr">
        <is>
          <t>신규상장(+)</t>
        </is>
      </c>
      <c r="J136" s="14" t="n">
        <v>94600</v>
      </c>
      <c r="K136" s="7" t="n">
        <v>27100</v>
      </c>
      <c r="L136" s="14" t="n">
        <v>2563660000</v>
      </c>
      <c r="M136" s="7" t="inlineStr"/>
      <c r="N136" s="15" t="inlineStr"/>
      <c r="O136" s="7" t="n">
        <v>94600</v>
      </c>
      <c r="P136" s="12" t="n">
        <v>0.82</v>
      </c>
      <c r="Q136" s="2" t="inlineStr">
        <is>
          <t>20220524000514</t>
        </is>
      </c>
      <c r="R136" s="3">
        <f>HYPERLINK("https://dart.fss.or.kr/dsaf001/main.do?rcpNo=20220524000514", "공시열람")</f>
        <v/>
      </c>
    </row>
    <row r="137">
      <c r="A137" s="2" t="inlineStr">
        <is>
          <t>2022-05-24</t>
        </is>
      </c>
      <c r="B137" s="4" t="inlineStr">
        <is>
          <t>가온칩스</t>
        </is>
      </c>
      <c r="C137" s="2" t="inlineStr">
        <is>
          <t>399720</t>
        </is>
      </c>
      <c r="D137" s="2" t="inlineStr">
        <is>
          <t>임원보고</t>
        </is>
      </c>
      <c r="E137" s="2" t="inlineStr">
        <is>
          <t>2022-05-20</t>
        </is>
      </c>
      <c r="F137" s="2" t="inlineStr">
        <is>
          <t>2022-05-20</t>
        </is>
      </c>
      <c r="G137" s="4" t="inlineStr">
        <is>
          <t>최진열</t>
        </is>
      </c>
      <c r="H137" s="4" t="inlineStr">
        <is>
          <t>비등기임원 이사</t>
        </is>
      </c>
      <c r="I137" s="4" t="inlineStr">
        <is>
          <t>신규상장(+)</t>
        </is>
      </c>
      <c r="J137" s="14" t="n">
        <v>108900</v>
      </c>
      <c r="K137" s="7" t="n">
        <v>27100</v>
      </c>
      <c r="L137" s="14" t="n">
        <v>2951190000</v>
      </c>
      <c r="M137" s="7" t="inlineStr"/>
      <c r="N137" s="15" t="inlineStr"/>
      <c r="O137" s="7" t="n">
        <v>108900</v>
      </c>
      <c r="P137" s="12" t="n">
        <v>0.95</v>
      </c>
      <c r="Q137" s="2" t="inlineStr">
        <is>
          <t>20220524000508</t>
        </is>
      </c>
      <c r="R137" s="3">
        <f>HYPERLINK("https://dart.fss.or.kr/dsaf001/main.do?rcpNo=20220524000508", "공시열람")</f>
        <v/>
      </c>
    </row>
    <row r="138">
      <c r="A138" s="2" t="inlineStr">
        <is>
          <t>2022-05-24</t>
        </is>
      </c>
      <c r="B138" s="4" t="inlineStr">
        <is>
          <t>가온칩스</t>
        </is>
      </c>
      <c r="C138" s="2" t="inlineStr">
        <is>
          <t>399720</t>
        </is>
      </c>
      <c r="D138" s="2" t="inlineStr">
        <is>
          <t>임원보고</t>
        </is>
      </c>
      <c r="E138" s="2" t="inlineStr">
        <is>
          <t>2022-05-20</t>
        </is>
      </c>
      <c r="F138" s="2" t="inlineStr">
        <is>
          <t>2022-05-20</t>
        </is>
      </c>
      <c r="G138" s="4" t="inlineStr">
        <is>
          <t>박대남</t>
        </is>
      </c>
      <c r="H138" s="4" t="inlineStr">
        <is>
          <t>비등기임원 상무</t>
        </is>
      </c>
      <c r="I138" s="4" t="inlineStr">
        <is>
          <t>신규상장(+)</t>
        </is>
      </c>
      <c r="J138" s="14" t="n">
        <v>352000</v>
      </c>
      <c r="K138" s="7" t="n">
        <v>27100</v>
      </c>
      <c r="L138" s="14" t="n">
        <v>9539200000</v>
      </c>
      <c r="M138" s="7" t="inlineStr"/>
      <c r="N138" s="15" t="inlineStr"/>
      <c r="O138" s="7" t="n">
        <v>352000</v>
      </c>
      <c r="P138" s="12" t="n">
        <v>3.06</v>
      </c>
      <c r="Q138" s="2" t="inlineStr">
        <is>
          <t>20220524000496</t>
        </is>
      </c>
      <c r="R138" s="3">
        <f>HYPERLINK("https://dart.fss.or.kr/dsaf001/main.do?rcpNo=20220524000496", "공시열람")</f>
        <v/>
      </c>
    </row>
    <row r="139">
      <c r="A139" s="2" t="inlineStr">
        <is>
          <t>2022-05-24</t>
        </is>
      </c>
      <c r="B139" s="4" t="inlineStr">
        <is>
          <t>가온칩스</t>
        </is>
      </c>
      <c r="C139" s="2" t="inlineStr">
        <is>
          <t>399720</t>
        </is>
      </c>
      <c r="D139" s="2" t="inlineStr">
        <is>
          <t>임원보고</t>
        </is>
      </c>
      <c r="E139" s="2" t="inlineStr">
        <is>
          <t>2022-05-20</t>
        </is>
      </c>
      <c r="F139" s="2" t="inlineStr">
        <is>
          <t>2022-05-20</t>
        </is>
      </c>
      <c r="G139" s="4" t="inlineStr">
        <is>
          <t>감태오</t>
        </is>
      </c>
      <c r="H139" s="4" t="inlineStr">
        <is>
          <t>비등기임원 이사</t>
        </is>
      </c>
      <c r="I139" s="4" t="inlineStr">
        <is>
          <t>신규상장(+)</t>
        </is>
      </c>
      <c r="J139" s="14" t="n">
        <v>22000</v>
      </c>
      <c r="K139" s="7" t="n">
        <v>27100</v>
      </c>
      <c r="L139" s="14" t="n">
        <v>596200000</v>
      </c>
      <c r="M139" s="7" t="inlineStr"/>
      <c r="N139" s="15" t="inlineStr"/>
      <c r="O139" s="7" t="n">
        <v>22000</v>
      </c>
      <c r="P139" s="12" t="n">
        <v>0.19</v>
      </c>
      <c r="Q139" s="2" t="inlineStr">
        <is>
          <t>20220524000517</t>
        </is>
      </c>
      <c r="R139" s="3">
        <f>HYPERLINK("https://dart.fss.or.kr/dsaf001/main.do?rcpNo=20220524000517", "공시열람")</f>
        <v/>
      </c>
    </row>
    <row r="140">
      <c r="A140" s="2" t="inlineStr">
        <is>
          <t>2022-05-24</t>
        </is>
      </c>
      <c r="B140" s="4" t="inlineStr">
        <is>
          <t>가온칩스</t>
        </is>
      </c>
      <c r="C140" s="2" t="inlineStr">
        <is>
          <t>399720</t>
        </is>
      </c>
      <c r="D140" s="2" t="inlineStr">
        <is>
          <t>임원보고</t>
        </is>
      </c>
      <c r="E140" s="2" t="inlineStr">
        <is>
          <t>2022-05-20</t>
        </is>
      </c>
      <c r="F140" s="2" t="inlineStr">
        <is>
          <t>2022-05-20</t>
        </is>
      </c>
      <c r="G140" s="4" t="inlineStr">
        <is>
          <t>위지호</t>
        </is>
      </c>
      <c r="H140" s="4" t="inlineStr">
        <is>
          <t>비등기임원 이사</t>
        </is>
      </c>
      <c r="I140" s="4" t="inlineStr">
        <is>
          <t>신규상장(+)</t>
        </is>
      </c>
      <c r="J140" s="14" t="n">
        <v>7700</v>
      </c>
      <c r="K140" s="7" t="n">
        <v>27100</v>
      </c>
      <c r="L140" s="14" t="n">
        <v>208670000</v>
      </c>
      <c r="M140" s="7" t="inlineStr"/>
      <c r="N140" s="15" t="inlineStr"/>
      <c r="O140" s="7" t="n">
        <v>7700</v>
      </c>
      <c r="P140" s="12" t="n">
        <v>0.07000000000000001</v>
      </c>
      <c r="Q140" s="2" t="inlineStr">
        <is>
          <t>20220524000523</t>
        </is>
      </c>
      <c r="R140" s="3">
        <f>HYPERLINK("https://dart.fss.or.kr/dsaf001/main.do?rcpNo=20220524000523", "공시열람")</f>
        <v/>
      </c>
    </row>
    <row r="141">
      <c r="A141" s="2" t="inlineStr">
        <is>
          <t>2022-05-24</t>
        </is>
      </c>
      <c r="B141" s="4" t="inlineStr">
        <is>
          <t>가온칩스</t>
        </is>
      </c>
      <c r="C141" s="2" t="inlineStr">
        <is>
          <t>399720</t>
        </is>
      </c>
      <c r="D141" s="2" t="inlineStr">
        <is>
          <t>임원보고</t>
        </is>
      </c>
      <c r="E141" s="2" t="inlineStr">
        <is>
          <t>2022-05-20</t>
        </is>
      </c>
      <c r="F141" s="2" t="inlineStr">
        <is>
          <t>2022-05-20</t>
        </is>
      </c>
      <c r="G141" s="4" t="inlineStr">
        <is>
          <t>윤형석</t>
        </is>
      </c>
      <c r="H141" s="4" t="inlineStr">
        <is>
          <t>비등기임원 이사</t>
        </is>
      </c>
      <c r="I141" s="4" t="inlineStr">
        <is>
          <t>신규상장(+)</t>
        </is>
      </c>
      <c r="J141" s="14" t="n">
        <v>198000</v>
      </c>
      <c r="K141" s="7" t="n">
        <v>27100</v>
      </c>
      <c r="L141" s="14" t="n">
        <v>5365800000</v>
      </c>
      <c r="M141" s="7" t="inlineStr"/>
      <c r="N141" s="15" t="inlineStr"/>
      <c r="O141" s="7" t="n">
        <v>198000</v>
      </c>
      <c r="P141" s="12" t="n">
        <v>1.72</v>
      </c>
      <c r="Q141" s="2" t="inlineStr">
        <is>
          <t>20220524000502</t>
        </is>
      </c>
      <c r="R141" s="3">
        <f>HYPERLINK("https://dart.fss.or.kr/dsaf001/main.do?rcpNo=20220524000502", "공시열람")</f>
        <v/>
      </c>
    </row>
    <row r="142">
      <c r="A142" s="2" t="inlineStr">
        <is>
          <t>2022-05-24</t>
        </is>
      </c>
      <c r="B142" s="4" t="inlineStr">
        <is>
          <t>가온칩스</t>
        </is>
      </c>
      <c r="C142" s="2" t="inlineStr">
        <is>
          <t>399720</t>
        </is>
      </c>
      <c r="D142" s="2" t="inlineStr">
        <is>
          <t>임원보고</t>
        </is>
      </c>
      <c r="E142" s="2" t="inlineStr">
        <is>
          <t>2022-05-20</t>
        </is>
      </c>
      <c r="F142" s="2" t="inlineStr">
        <is>
          <t>2022-05-20</t>
        </is>
      </c>
      <c r="G142" s="4" t="inlineStr">
        <is>
          <t>서정욱</t>
        </is>
      </c>
      <c r="H142" s="4" t="inlineStr">
        <is>
          <t>비등기임원 이사</t>
        </is>
      </c>
      <c r="I142" s="4" t="inlineStr">
        <is>
          <t>신규상장(+)</t>
        </is>
      </c>
      <c r="J142" s="14" t="n">
        <v>22000</v>
      </c>
      <c r="K142" s="7" t="n">
        <v>27100</v>
      </c>
      <c r="L142" s="14" t="n">
        <v>596200000</v>
      </c>
      <c r="M142" s="7" t="inlineStr"/>
      <c r="N142" s="15" t="inlineStr"/>
      <c r="O142" s="7" t="n">
        <v>22000</v>
      </c>
      <c r="P142" s="12" t="n">
        <v>0.19</v>
      </c>
      <c r="Q142" s="2" t="inlineStr">
        <is>
          <t>20220524000530</t>
        </is>
      </c>
      <c r="R142" s="3">
        <f>HYPERLINK("https://dart.fss.or.kr/dsaf001/main.do?rcpNo=20220524000530", "공시열람")</f>
        <v/>
      </c>
    </row>
    <row r="143">
      <c r="A143" s="2" t="inlineStr">
        <is>
          <t>2022-05-24</t>
        </is>
      </c>
      <c r="B143" s="4" t="inlineStr">
        <is>
          <t>가온칩스</t>
        </is>
      </c>
      <c r="C143" s="2" t="inlineStr">
        <is>
          <t>399720</t>
        </is>
      </c>
      <c r="D143" s="2" t="inlineStr">
        <is>
          <t>임원보고</t>
        </is>
      </c>
      <c r="E143" s="2" t="inlineStr">
        <is>
          <t>2022-05-20</t>
        </is>
      </c>
      <c r="F143" s="2" t="inlineStr">
        <is>
          <t>2022-05-20</t>
        </is>
      </c>
      <c r="G143" s="4" t="inlineStr">
        <is>
          <t>이상배</t>
        </is>
      </c>
      <c r="H143" s="4" t="inlineStr">
        <is>
          <t>등기임원 사내이사</t>
        </is>
      </c>
      <c r="I143" s="4" t="inlineStr">
        <is>
          <t>신규상장(+)</t>
        </is>
      </c>
      <c r="J143" s="14" t="n">
        <v>869880</v>
      </c>
      <c r="K143" s="7" t="n">
        <v>27100</v>
      </c>
      <c r="L143" s="14" t="n">
        <v>23573748000</v>
      </c>
      <c r="M143" s="7" t="inlineStr"/>
      <c r="N143" s="15" t="inlineStr"/>
      <c r="O143" s="7" t="n">
        <v>869880</v>
      </c>
      <c r="P143" s="12" t="n">
        <v>7.57</v>
      </c>
      <c r="Q143" s="2" t="inlineStr">
        <is>
          <t>20220524000493</t>
        </is>
      </c>
      <c r="R143" s="3">
        <f>HYPERLINK("https://dart.fss.or.kr/dsaf001/main.do?rcpNo=20220524000493", "공시열람")</f>
        <v/>
      </c>
    </row>
    <row r="144">
      <c r="A144" s="2" t="inlineStr">
        <is>
          <t>2022-05-24</t>
        </is>
      </c>
      <c r="B144" s="4" t="inlineStr">
        <is>
          <t>가온칩스</t>
        </is>
      </c>
      <c r="C144" s="2" t="inlineStr">
        <is>
          <t>399720</t>
        </is>
      </c>
      <c r="D144" s="2" t="inlineStr">
        <is>
          <t>임원보고</t>
        </is>
      </c>
      <c r="E144" s="2" t="inlineStr">
        <is>
          <t>2022-05-20</t>
        </is>
      </c>
      <c r="F144" s="2" t="inlineStr">
        <is>
          <t>2022-05-20</t>
        </is>
      </c>
      <c r="G144" s="4" t="inlineStr">
        <is>
          <t>심진섭</t>
        </is>
      </c>
      <c r="H144" s="4" t="inlineStr">
        <is>
          <t>등기임원 사내이사</t>
        </is>
      </c>
      <c r="I144" s="4" t="inlineStr">
        <is>
          <t>신규상장(+)</t>
        </is>
      </c>
      <c r="J144" s="14" t="n">
        <v>877690</v>
      </c>
      <c r="K144" s="7" t="n">
        <v>27100</v>
      </c>
      <c r="L144" s="14" t="n">
        <v>23785399000</v>
      </c>
      <c r="M144" s="7" t="inlineStr"/>
      <c r="N144" s="15" t="inlineStr"/>
      <c r="O144" s="7" t="n">
        <v>877690</v>
      </c>
      <c r="P144" s="12" t="n">
        <v>7.64</v>
      </c>
      <c r="Q144" s="2" t="inlineStr">
        <is>
          <t>20220524000488</t>
        </is>
      </c>
      <c r="R144" s="3">
        <f>HYPERLINK("https://dart.fss.or.kr/dsaf001/main.do?rcpNo=20220524000488", "공시열람")</f>
        <v/>
      </c>
    </row>
    <row r="145">
      <c r="A145" s="2" t="inlineStr">
        <is>
          <t>2022-05-24</t>
        </is>
      </c>
      <c r="B145" s="4" t="inlineStr">
        <is>
          <t>가온칩스</t>
        </is>
      </c>
      <c r="C145" s="2" t="inlineStr">
        <is>
          <t>399720</t>
        </is>
      </c>
      <c r="D145" s="2" t="inlineStr">
        <is>
          <t>임원보고</t>
        </is>
      </c>
      <c r="E145" s="2" t="inlineStr">
        <is>
          <t>2022-05-20</t>
        </is>
      </c>
      <c r="F145" s="2" t="inlineStr">
        <is>
          <t>2022-05-20</t>
        </is>
      </c>
      <c r="G145" s="4" t="inlineStr">
        <is>
          <t>김재성</t>
        </is>
      </c>
      <c r="H145" s="4" t="inlineStr">
        <is>
          <t>등기임원 사내이사</t>
        </is>
      </c>
      <c r="I145" s="4" t="inlineStr">
        <is>
          <t>신규상장(+)</t>
        </is>
      </c>
      <c r="J145" s="14" t="n">
        <v>877690</v>
      </c>
      <c r="K145" s="7" t="n">
        <v>27100</v>
      </c>
      <c r="L145" s="14" t="n">
        <v>23785399000</v>
      </c>
      <c r="M145" s="7" t="inlineStr"/>
      <c r="N145" s="15" t="inlineStr"/>
      <c r="O145" s="7" t="n">
        <v>877690</v>
      </c>
      <c r="P145" s="12" t="n">
        <v>7.64</v>
      </c>
      <c r="Q145" s="2" t="inlineStr">
        <is>
          <t>20220524000484</t>
        </is>
      </c>
      <c r="R145" s="3">
        <f>HYPERLINK("https://dart.fss.or.kr/dsaf001/main.do?rcpNo=20220524000484", "공시열람")</f>
        <v/>
      </c>
    </row>
    <row r="146">
      <c r="A146" s="2" t="inlineStr">
        <is>
          <t>2022-05-24</t>
        </is>
      </c>
      <c r="B146" s="4" t="inlineStr">
        <is>
          <t>가온칩스</t>
        </is>
      </c>
      <c r="C146" s="2" t="inlineStr">
        <is>
          <t>399720</t>
        </is>
      </c>
      <c r="D146" s="2" t="inlineStr">
        <is>
          <t>임원보고</t>
        </is>
      </c>
      <c r="E146" s="2" t="inlineStr">
        <is>
          <t>2022-05-20</t>
        </is>
      </c>
      <c r="F146" s="2" t="inlineStr">
        <is>
          <t>2022-05-20</t>
        </is>
      </c>
      <c r="G146" s="4" t="inlineStr">
        <is>
          <t>정규동</t>
        </is>
      </c>
      <c r="H146" s="4" t="inlineStr">
        <is>
          <t>등기임원 대표이사, 10%이상주주</t>
        </is>
      </c>
      <c r="I146" s="4" t="inlineStr">
        <is>
          <t>신규상장(+)</t>
        </is>
      </c>
      <c r="J146" s="14" t="n">
        <v>3372160</v>
      </c>
      <c r="K146" s="7" t="n">
        <v>27100</v>
      </c>
      <c r="L146" s="14" t="n">
        <v>91385536000</v>
      </c>
      <c r="M146" s="7" t="inlineStr"/>
      <c r="N146" s="15" t="inlineStr"/>
      <c r="O146" s="7" t="n">
        <v>3372160</v>
      </c>
      <c r="P146" s="12" t="n">
        <v>29.35</v>
      </c>
      <c r="Q146" s="2" t="inlineStr">
        <is>
          <t>20220524000475</t>
        </is>
      </c>
      <c r="R146" s="3">
        <f>HYPERLINK("https://dart.fss.or.kr/dsaf001/main.do?rcpNo=20220524000475", "공시열람")</f>
        <v/>
      </c>
    </row>
    <row r="147">
      <c r="A147" s="2" t="inlineStr">
        <is>
          <t>2022-05-24</t>
        </is>
      </c>
      <c r="B147" s="4" t="inlineStr">
        <is>
          <t>가온칩스</t>
        </is>
      </c>
      <c r="C147" s="2" t="inlineStr">
        <is>
          <t>399720</t>
        </is>
      </c>
      <c r="D147" s="2" t="inlineStr">
        <is>
          <t>대량보유</t>
        </is>
      </c>
      <c r="E147" s="2" t="inlineStr"/>
      <c r="F147" s="2" t="inlineStr"/>
      <c r="G147" s="4" t="inlineStr">
        <is>
          <t>정규동</t>
        </is>
      </c>
      <c r="H147" s="4" t="inlineStr">
        <is>
          <t>최대주주</t>
        </is>
      </c>
      <c r="I147" s="4" t="inlineStr">
        <is>
          <t>주권의 코스닥시장 상장에 따른 신규보고</t>
        </is>
      </c>
      <c r="J147" s="7" t="inlineStr"/>
      <c r="K147" s="7" t="inlineStr"/>
      <c r="L147" s="7" t="inlineStr"/>
      <c r="M147" s="7" t="inlineStr"/>
      <c r="N147" s="15" t="inlineStr"/>
      <c r="O147" s="7" t="n">
        <v>6927620</v>
      </c>
      <c r="P147" s="12" t="n">
        <v>60.3</v>
      </c>
      <c r="Q147" s="2" t="inlineStr">
        <is>
          <t>20220524000470</t>
        </is>
      </c>
      <c r="R147" s="3">
        <f>HYPERLINK("https://dart.fss.or.kr/dsaf001/main.do?rcpNo=20220524000470", "공시열람")</f>
        <v/>
      </c>
    </row>
    <row r="148">
      <c r="A148" s="2" t="inlineStr">
        <is>
          <t>2022-05-24</t>
        </is>
      </c>
      <c r="B148" s="4" t="inlineStr">
        <is>
          <t>가온칩스</t>
        </is>
      </c>
      <c r="C148" s="2" t="inlineStr">
        <is>
          <t>399720</t>
        </is>
      </c>
      <c r="D148" s="2" t="inlineStr">
        <is>
          <t>임원보고</t>
        </is>
      </c>
      <c r="E148" s="2" t="inlineStr">
        <is>
          <t>2022-05-20</t>
        </is>
      </c>
      <c r="F148" s="2" t="inlineStr">
        <is>
          <t>2022-05-20</t>
        </is>
      </c>
      <c r="G148" s="4" t="inlineStr">
        <is>
          <t>이은희</t>
        </is>
      </c>
      <c r="H148" s="4" t="inlineStr">
        <is>
          <t>비등기임원 이사</t>
        </is>
      </c>
      <c r="I148" s="4" t="inlineStr">
        <is>
          <t>신규상장(+)</t>
        </is>
      </c>
      <c r="J148" s="14" t="n">
        <v>33000</v>
      </c>
      <c r="K148" s="7" t="n">
        <v>27100</v>
      </c>
      <c r="L148" s="14" t="n">
        <v>894300000</v>
      </c>
      <c r="M148" s="7" t="inlineStr"/>
      <c r="N148" s="15" t="inlineStr"/>
      <c r="O148" s="7" t="n">
        <v>33000</v>
      </c>
      <c r="P148" s="12" t="n">
        <v>0.29</v>
      </c>
      <c r="Q148" s="2" t="inlineStr">
        <is>
          <t>20220524000533</t>
        </is>
      </c>
      <c r="R148" s="3">
        <f>HYPERLINK("https://dart.fss.or.kr/dsaf001/main.do?rcpNo=20220524000533", "공시열람")</f>
        <v/>
      </c>
    </row>
  </sheetData>
  <autoFilter ref="A1:R14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hidden="1" width="10" customWidth="1" min="3" max="3"/>
    <col hidden="1" width="10" customWidth="1" min="4" max="4"/>
    <col width="25" customWidth="1" min="5" max="5"/>
    <col width="11.6" customWidth="1" min="6" max="6"/>
    <col width="14" customWidth="1" min="7" max="7"/>
    <col width="10" customWidth="1" min="8" max="8"/>
    <col width="10.4" customWidth="1" min="9" max="9"/>
    <col width="10" customWidth="1" min="10" max="10"/>
    <col width="14" customWidth="1" min="11" max="11"/>
    <col width="14" customWidth="1" min="12" max="12"/>
    <col width="10" customWidth="1" min="13" max="13"/>
    <col width="20" customWidth="1" min="14" max="14"/>
    <col width="25" customWidth="1" min="15" max="15"/>
    <col width="18.8" customWidth="1" min="16" max="16"/>
    <col width="10" customWidth="1" min="17" max="17"/>
  </cols>
  <sheetData>
    <row r="1" ht="25" customHeight="1">
      <c r="A1" s="1" t="inlineStr">
        <is>
          <t>접수일자</t>
        </is>
      </c>
      <c r="B1" s="1" t="inlineStr">
        <is>
          <t>회사명</t>
        </is>
      </c>
      <c r="C1" s="1" t="inlineStr">
        <is>
          <t>시장구분</t>
        </is>
      </c>
      <c r="D1" s="1" t="inlineStr">
        <is>
          <t>종목코드</t>
        </is>
      </c>
      <c r="E1" s="1" t="inlineStr">
        <is>
          <t>공시명</t>
        </is>
      </c>
      <c r="F1" s="1" t="inlineStr">
        <is>
          <t>유형</t>
        </is>
      </c>
      <c r="G1" s="1" t="inlineStr">
        <is>
          <t>예정금액</t>
        </is>
      </c>
      <c r="H1" s="1" t="inlineStr">
        <is>
          <t>예정주식수</t>
        </is>
      </c>
      <c r="I1" s="1" t="inlineStr">
        <is>
          <t>소각비율(%)</t>
        </is>
      </c>
      <c r="J1" s="1" t="inlineStr">
        <is>
          <t>취득방법</t>
        </is>
      </c>
      <c r="K1" s="1" t="inlineStr">
        <is>
          <t>시작일</t>
        </is>
      </c>
      <c r="L1" s="1" t="inlineStr">
        <is>
          <t>종료일</t>
        </is>
      </c>
      <c r="M1" s="1" t="inlineStr">
        <is>
          <t>소각예정일</t>
        </is>
      </c>
      <c r="N1" s="1" t="inlineStr">
        <is>
          <t>위탁투자업자/수탁기관</t>
        </is>
      </c>
      <c r="O1" s="1" t="inlineStr">
        <is>
          <t>목적</t>
        </is>
      </c>
      <c r="P1" s="1" t="inlineStr">
        <is>
          <t>접수번호</t>
        </is>
      </c>
      <c r="Q1" s="1" t="inlineStr">
        <is>
          <t>DART링크</t>
        </is>
      </c>
    </row>
    <row r="2" ht="36" customHeight="1">
      <c r="A2" s="2" t="inlineStr">
        <is>
          <t>2026-09-03</t>
        </is>
      </c>
      <c r="B2" s="4" t="inlineStr">
        <is>
          <t>가온칩스</t>
        </is>
      </c>
      <c r="C2" s="2" t="inlineStr">
        <is>
          <t>코스닥</t>
        </is>
      </c>
      <c r="D2" s="2" t="inlineStr">
        <is>
          <t>399720</t>
        </is>
      </c>
      <c r="E2" s="9" t="inlineStr">
        <is>
          <t>주요사항보고서(자기주식취득신탁계약체결결정)</t>
        </is>
      </c>
      <c r="F2" s="2" t="inlineStr">
        <is>
          <t>신탁계약체결결정</t>
        </is>
      </c>
      <c r="G2" s="6" t="n">
        <v>1300000000</v>
      </c>
      <c r="H2" s="7" t="n">
        <v>31400</v>
      </c>
      <c r="I2" s="15" t="inlineStr"/>
      <c r="J2" s="4" t="inlineStr">
        <is>
          <t>비고</t>
        </is>
      </c>
      <c r="K2" s="2" t="inlineStr">
        <is>
          <t>2026-09-07</t>
        </is>
      </c>
      <c r="L2" s="2" t="inlineStr">
        <is>
          <t>2027-03-07</t>
        </is>
      </c>
      <c r="M2" s="2" t="inlineStr">
        <is>
          <t>-</t>
        </is>
      </c>
      <c r="N2" s="9" t="inlineStr">
        <is>
          <t>삼성증권(Samsung Securities Co., Ltd.)</t>
        </is>
      </c>
      <c r="O2" s="9" t="inlineStr">
        <is>
          <t>주주가치 제고 및 임직원 보상</t>
        </is>
      </c>
      <c r="P2" s="2" t="inlineStr">
        <is>
          <t>20260903000301</t>
        </is>
      </c>
      <c r="Q2" s="3">
        <f>HYPERLINK("https://dart.fss.or.kr/dsaf001/main.do?rcpNo=20260903000301", "공시열람")</f>
        <v/>
      </c>
    </row>
  </sheetData>
  <autoFilter ref="A1:Q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hidden="1" width="10" customWidth="1" min="3" max="3"/>
    <col hidden="1" width="10" customWidth="1" min="4" max="4"/>
    <col width="34.4" customWidth="1" min="5" max="5"/>
    <col width="10" customWidth="1" min="6" max="6"/>
    <col width="18.8" customWidth="1" min="7" max="7"/>
    <col width="10" customWidth="1" min="8" max="8"/>
  </cols>
  <sheetData>
    <row r="1">
      <c r="A1" s="16" t="inlineStr">
        <is>
          <t>접수일자</t>
        </is>
      </c>
      <c r="B1" s="16" t="inlineStr">
        <is>
          <t>회사명</t>
        </is>
      </c>
      <c r="C1" s="16" t="inlineStr">
        <is>
          <t>시장구분</t>
        </is>
      </c>
      <c r="D1" s="16" t="inlineStr">
        <is>
          <t>종목코드</t>
        </is>
      </c>
      <c r="E1" s="16" t="inlineStr">
        <is>
          <t>공시명</t>
        </is>
      </c>
      <c r="F1" s="16" t="inlineStr">
        <is>
          <t>제출인</t>
        </is>
      </c>
      <c r="G1" s="16" t="inlineStr">
        <is>
          <t>접수번호</t>
        </is>
      </c>
      <c r="H1" s="16" t="inlineStr">
        <is>
          <t>DART링크</t>
        </is>
      </c>
    </row>
    <row r="2">
      <c r="A2" s="2" t="inlineStr">
        <is>
          <t>2026-03-27</t>
        </is>
      </c>
      <c r="B2" s="4" t="inlineStr">
        <is>
          <t>가온칩스</t>
        </is>
      </c>
      <c r="C2" s="2" t="inlineStr">
        <is>
          <t>코스닥</t>
        </is>
      </c>
      <c r="D2" s="2" t="inlineStr">
        <is>
          <t>399720</t>
        </is>
      </c>
      <c r="E2" s="4" t="inlineStr">
        <is>
          <t xml:space="preserve">정기주주총회결과              </t>
        </is>
      </c>
      <c r="F2" s="4" t="inlineStr">
        <is>
          <t>가온칩스</t>
        </is>
      </c>
      <c r="G2" s="2" t="inlineStr">
        <is>
          <t>20260327901801</t>
        </is>
      </c>
      <c r="H2" s="3">
        <f>HYPERLINK("https://dart.fss.or.kr/dsaf001/main.do?rcpNo=20260327901801", "공시열람")</f>
        <v/>
      </c>
    </row>
    <row r="3">
      <c r="A3" s="2" t="inlineStr">
        <is>
          <t>2026-03-12</t>
        </is>
      </c>
      <c r="B3" s="4" t="inlineStr">
        <is>
          <t>가온칩스</t>
        </is>
      </c>
      <c r="C3" s="2" t="inlineStr">
        <is>
          <t>코스닥</t>
        </is>
      </c>
      <c r="D3" s="2" t="inlineStr">
        <is>
          <t>399720</t>
        </is>
      </c>
      <c r="E3" s="4" t="inlineStr">
        <is>
          <t xml:space="preserve">주주총회집중일개최사유신고              </t>
        </is>
      </c>
      <c r="F3" s="4" t="inlineStr">
        <is>
          <t>가온칩스</t>
        </is>
      </c>
      <c r="G3" s="2" t="inlineStr">
        <is>
          <t>20260312901214</t>
        </is>
      </c>
      <c r="H3" s="3">
        <f>HYPERLINK("https://dart.fss.or.kr/dsaf001/main.do?rcpNo=20260312901214", "공시열람")</f>
        <v/>
      </c>
    </row>
    <row r="4">
      <c r="A4" s="2" t="inlineStr">
        <is>
          <t>2026-03-12</t>
        </is>
      </c>
      <c r="B4" s="4" t="inlineStr">
        <is>
          <t>가온칩스</t>
        </is>
      </c>
      <c r="C4" s="2" t="inlineStr">
        <is>
          <t>코스닥</t>
        </is>
      </c>
      <c r="D4" s="2" t="inlineStr">
        <is>
          <t>399720</t>
        </is>
      </c>
      <c r="E4" s="4" t="inlineStr">
        <is>
          <t>주주총회소집공고</t>
        </is>
      </c>
      <c r="F4" s="4" t="inlineStr">
        <is>
          <t>가온칩스</t>
        </is>
      </c>
      <c r="G4" s="2" t="inlineStr">
        <is>
          <t>20260312000788</t>
        </is>
      </c>
      <c r="H4" s="3">
        <f>HYPERLINK("https://dart.fss.or.kr/dsaf001/main.do?rcpNo=20260312000788", "공시열람")</f>
        <v/>
      </c>
    </row>
    <row r="5">
      <c r="A5" s="2" t="inlineStr">
        <is>
          <t>2026-03-12</t>
        </is>
      </c>
      <c r="B5" s="4" t="inlineStr">
        <is>
          <t>가온칩스</t>
        </is>
      </c>
      <c r="C5" s="2" t="inlineStr">
        <is>
          <t>코스닥</t>
        </is>
      </c>
      <c r="D5" s="2" t="inlineStr">
        <is>
          <t>399720</t>
        </is>
      </c>
      <c r="E5" s="4" t="inlineStr">
        <is>
          <t xml:space="preserve">주주총회소집결의              </t>
        </is>
      </c>
      <c r="F5" s="4" t="inlineStr">
        <is>
          <t>가온칩스</t>
        </is>
      </c>
      <c r="G5" s="2" t="inlineStr">
        <is>
          <t>20260312900911</t>
        </is>
      </c>
      <c r="H5" s="3">
        <f>HYPERLINK("https://dart.fss.or.kr/dsaf001/main.do?rcpNo=20260312900911", "공시열람")</f>
        <v/>
      </c>
    </row>
    <row r="6">
      <c r="A6" s="2" t="inlineStr">
        <is>
          <t>2025-03-26</t>
        </is>
      </c>
      <c r="B6" s="4" t="inlineStr">
        <is>
          <t>가온칩스</t>
        </is>
      </c>
      <c r="C6" s="2" t="inlineStr">
        <is>
          <t>코스닥</t>
        </is>
      </c>
      <c r="D6" s="2" t="inlineStr">
        <is>
          <t>399720</t>
        </is>
      </c>
      <c r="E6" s="4" t="inlineStr">
        <is>
          <t xml:space="preserve">정기주주총회결과              </t>
        </is>
      </c>
      <c r="F6" s="4" t="inlineStr">
        <is>
          <t>가온칩스</t>
        </is>
      </c>
      <c r="G6" s="2" t="inlineStr">
        <is>
          <t>20250326900216</t>
        </is>
      </c>
      <c r="H6" s="3">
        <f>HYPERLINK("https://dart.fss.or.kr/dsaf001/main.do?rcpNo=20250326900216", "공시열람")</f>
        <v/>
      </c>
    </row>
    <row r="7">
      <c r="A7" s="2" t="inlineStr">
        <is>
          <t>2025-03-11</t>
        </is>
      </c>
      <c r="B7" s="4" t="inlineStr">
        <is>
          <t>가온칩스</t>
        </is>
      </c>
      <c r="C7" s="2" t="inlineStr">
        <is>
          <t>코스닥</t>
        </is>
      </c>
      <c r="D7" s="2" t="inlineStr">
        <is>
          <t>399720</t>
        </is>
      </c>
      <c r="E7" s="4" t="inlineStr">
        <is>
          <t>주주총회소집공고</t>
        </is>
      </c>
      <c r="F7" s="4" t="inlineStr">
        <is>
          <t>가온칩스</t>
        </is>
      </c>
      <c r="G7" s="2" t="inlineStr">
        <is>
          <t>20250311001103</t>
        </is>
      </c>
      <c r="H7" s="3">
        <f>HYPERLINK("https://dart.fss.or.kr/dsaf001/main.do?rcpNo=20250311001103", "공시열람")</f>
        <v/>
      </c>
    </row>
    <row r="8">
      <c r="A8" s="2" t="inlineStr">
        <is>
          <t>2025-03-11</t>
        </is>
      </c>
      <c r="B8" s="4" t="inlineStr">
        <is>
          <t>가온칩스</t>
        </is>
      </c>
      <c r="C8" s="2" t="inlineStr">
        <is>
          <t>코스닥</t>
        </is>
      </c>
      <c r="D8" s="2" t="inlineStr">
        <is>
          <t>399720</t>
        </is>
      </c>
      <c r="E8" s="4" t="inlineStr">
        <is>
          <t xml:space="preserve">주주총회소집결의              </t>
        </is>
      </c>
      <c r="F8" s="4" t="inlineStr">
        <is>
          <t>가온칩스</t>
        </is>
      </c>
      <c r="G8" s="2" t="inlineStr">
        <is>
          <t>20250311901521</t>
        </is>
      </c>
      <c r="H8" s="3">
        <f>HYPERLINK("https://dart.fss.or.kr/dsaf001/main.do?rcpNo=20250311901521", "공시열람")</f>
        <v/>
      </c>
    </row>
    <row r="9">
      <c r="A9" s="2" t="inlineStr">
        <is>
          <t>2024-03-26</t>
        </is>
      </c>
      <c r="B9" s="4" t="inlineStr">
        <is>
          <t>가온칩스</t>
        </is>
      </c>
      <c r="C9" s="2" t="inlineStr">
        <is>
          <t>코스닥</t>
        </is>
      </c>
      <c r="D9" s="2" t="inlineStr">
        <is>
          <t>399720</t>
        </is>
      </c>
      <c r="E9" s="4" t="inlineStr">
        <is>
          <t xml:space="preserve">정기주주총회결과              </t>
        </is>
      </c>
      <c r="F9" s="4" t="inlineStr">
        <is>
          <t>가온칩스</t>
        </is>
      </c>
      <c r="G9" s="2" t="inlineStr">
        <is>
          <t>20240326900862</t>
        </is>
      </c>
      <c r="H9" s="3">
        <f>HYPERLINK("https://dart.fss.or.kr/dsaf001/main.do?rcpNo=20240326900862", "공시열람")</f>
        <v/>
      </c>
    </row>
    <row r="10">
      <c r="A10" s="2" t="inlineStr">
        <is>
          <t>2024-03-15</t>
        </is>
      </c>
      <c r="B10" s="4" t="inlineStr">
        <is>
          <t>가온칩스</t>
        </is>
      </c>
      <c r="C10" s="2" t="inlineStr">
        <is>
          <t>코스닥</t>
        </is>
      </c>
      <c r="D10" s="2" t="inlineStr">
        <is>
          <t>399720</t>
        </is>
      </c>
      <c r="E10" s="4" t="inlineStr">
        <is>
          <t>[기재정정]주주총회소집공고</t>
        </is>
      </c>
      <c r="F10" s="4" t="inlineStr">
        <is>
          <t>가온칩스</t>
        </is>
      </c>
      <c r="G10" s="2" t="inlineStr">
        <is>
          <t>20240315000291</t>
        </is>
      </c>
      <c r="H10" s="3">
        <f>HYPERLINK("https://dart.fss.or.kr/dsaf001/main.do?rcpNo=20240315000291", "공시열람")</f>
        <v/>
      </c>
    </row>
    <row r="11">
      <c r="A11" s="2" t="inlineStr">
        <is>
          <t>2024-03-12</t>
        </is>
      </c>
      <c r="B11" s="4" t="inlineStr">
        <is>
          <t>가온칩스</t>
        </is>
      </c>
      <c r="C11" s="2" t="inlineStr">
        <is>
          <t>코스닥</t>
        </is>
      </c>
      <c r="D11" s="2" t="inlineStr">
        <is>
          <t>399720</t>
        </is>
      </c>
      <c r="E11" s="4" t="inlineStr">
        <is>
          <t>[기재정정]주주총회소집공고</t>
        </is>
      </c>
      <c r="F11" s="4" t="inlineStr">
        <is>
          <t>가온칩스</t>
        </is>
      </c>
      <c r="G11" s="2" t="inlineStr">
        <is>
          <t>20240312000965</t>
        </is>
      </c>
      <c r="H11" s="3">
        <f>HYPERLINK("https://dart.fss.or.kr/dsaf001/main.do?rcpNo=20240312000965", "공시열람")</f>
        <v/>
      </c>
    </row>
    <row r="12">
      <c r="A12" s="2" t="inlineStr">
        <is>
          <t>2024-03-11</t>
        </is>
      </c>
      <c r="B12" s="4" t="inlineStr">
        <is>
          <t>가온칩스</t>
        </is>
      </c>
      <c r="C12" s="2" t="inlineStr">
        <is>
          <t>코스닥</t>
        </is>
      </c>
      <c r="D12" s="2" t="inlineStr">
        <is>
          <t>399720</t>
        </is>
      </c>
      <c r="E12" s="4" t="inlineStr">
        <is>
          <t>주주총회소집공고</t>
        </is>
      </c>
      <c r="F12" s="4" t="inlineStr">
        <is>
          <t>가온칩스</t>
        </is>
      </c>
      <c r="G12" s="2" t="inlineStr">
        <is>
          <t>20240311000685</t>
        </is>
      </c>
      <c r="H12" s="3">
        <f>HYPERLINK("https://dart.fss.or.kr/dsaf001/main.do?rcpNo=20240311000685", "공시열람")</f>
        <v/>
      </c>
    </row>
    <row r="13">
      <c r="A13" s="2" t="inlineStr">
        <is>
          <t>2024-03-11</t>
        </is>
      </c>
      <c r="B13" s="4" t="inlineStr">
        <is>
          <t>가온칩스</t>
        </is>
      </c>
      <c r="C13" s="2" t="inlineStr">
        <is>
          <t>코스닥</t>
        </is>
      </c>
      <c r="D13" s="2" t="inlineStr">
        <is>
          <t>399720</t>
        </is>
      </c>
      <c r="E13" s="4" t="inlineStr">
        <is>
          <t xml:space="preserve">주주총회소집결의              </t>
        </is>
      </c>
      <c r="F13" s="4" t="inlineStr">
        <is>
          <t>가온칩스</t>
        </is>
      </c>
      <c r="G13" s="2" t="inlineStr">
        <is>
          <t>20240311900835</t>
        </is>
      </c>
      <c r="H13" s="3">
        <f>HYPERLINK("https://dart.fss.or.kr/dsaf001/main.do?rcpNo=20240311900835", "공시열람")</f>
        <v/>
      </c>
    </row>
    <row r="14">
      <c r="A14" s="2" t="inlineStr">
        <is>
          <t>2023-03-29</t>
        </is>
      </c>
      <c r="B14" s="4" t="inlineStr">
        <is>
          <t>가온칩스</t>
        </is>
      </c>
      <c r="C14" s="2" t="inlineStr">
        <is>
          <t>코스닥</t>
        </is>
      </c>
      <c r="D14" s="2" t="inlineStr">
        <is>
          <t>399720</t>
        </is>
      </c>
      <c r="E14" s="4" t="inlineStr">
        <is>
          <t>정기주주총회결과</t>
        </is>
      </c>
      <c r="F14" s="4" t="inlineStr">
        <is>
          <t>가온칩스</t>
        </is>
      </c>
      <c r="G14" s="2" t="inlineStr">
        <is>
          <t>20230329900249</t>
        </is>
      </c>
      <c r="H14" s="3">
        <f>HYPERLINK("https://dart.fss.or.kr/dsaf001/main.do?rcpNo=20230329900249", "공시열람")</f>
        <v/>
      </c>
    </row>
    <row r="15">
      <c r="A15" s="2" t="inlineStr">
        <is>
          <t>2023-03-13</t>
        </is>
      </c>
      <c r="B15" s="4" t="inlineStr">
        <is>
          <t>가온칩스</t>
        </is>
      </c>
      <c r="C15" s="2" t="inlineStr">
        <is>
          <t>코스닥</t>
        </is>
      </c>
      <c r="D15" s="2" t="inlineStr">
        <is>
          <t>399720</t>
        </is>
      </c>
      <c r="E15" s="4" t="inlineStr">
        <is>
          <t>주주총회소집공고</t>
        </is>
      </c>
      <c r="F15" s="4" t="inlineStr">
        <is>
          <t>가온칩스</t>
        </is>
      </c>
      <c r="G15" s="2" t="inlineStr">
        <is>
          <t>20230313000614</t>
        </is>
      </c>
      <c r="H15" s="3">
        <f>HYPERLINK("https://dart.fss.or.kr/dsaf001/main.do?rcpNo=20230313000614", "공시열람")</f>
        <v/>
      </c>
    </row>
    <row r="16">
      <c r="A16" s="2" t="inlineStr">
        <is>
          <t>2023-03-13</t>
        </is>
      </c>
      <c r="B16" s="4" t="inlineStr">
        <is>
          <t>가온칩스</t>
        </is>
      </c>
      <c r="C16" s="2" t="inlineStr">
        <is>
          <t>코스닥</t>
        </is>
      </c>
      <c r="D16" s="2" t="inlineStr">
        <is>
          <t>399720</t>
        </is>
      </c>
      <c r="E16" s="4" t="inlineStr">
        <is>
          <t>주주총회소집결의</t>
        </is>
      </c>
      <c r="F16" s="4" t="inlineStr">
        <is>
          <t>가온칩스</t>
        </is>
      </c>
      <c r="G16" s="2" t="inlineStr">
        <is>
          <t>20230313900767</t>
        </is>
      </c>
      <c r="H16" s="3">
        <f>HYPERLINK("https://dart.fss.or.kr/dsaf001/main.do?rcpNo=20230313900767", "공시열람")</f>
        <v/>
      </c>
    </row>
  </sheetData>
  <autoFilter ref="A1:H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hidden="1" width="10" customWidth="1" min="3" max="3"/>
    <col hidden="1" width="10" customWidth="1" min="4" max="4"/>
    <col width="35" customWidth="1" min="5" max="5"/>
    <col width="10.4" customWidth="1" min="6" max="6"/>
    <col width="18.8" customWidth="1" min="7" max="7"/>
    <col width="10" customWidth="1" min="8" max="8"/>
  </cols>
  <sheetData>
    <row r="1">
      <c r="A1" s="16" t="inlineStr">
        <is>
          <t>접수일자</t>
        </is>
      </c>
      <c r="B1" s="16" t="inlineStr">
        <is>
          <t>회사명</t>
        </is>
      </c>
      <c r="C1" s="16" t="inlineStr">
        <is>
          <t>시장구분</t>
        </is>
      </c>
      <c r="D1" s="16" t="inlineStr">
        <is>
          <t>종목코드</t>
        </is>
      </c>
      <c r="E1" s="16" t="inlineStr">
        <is>
          <t>공시명</t>
        </is>
      </c>
      <c r="F1" s="16" t="inlineStr">
        <is>
          <t>제출인</t>
        </is>
      </c>
      <c r="G1" s="16" t="inlineStr">
        <is>
          <t>접수번호</t>
        </is>
      </c>
      <c r="H1" s="16" t="inlineStr">
        <is>
          <t>DART링크</t>
        </is>
      </c>
    </row>
    <row r="2">
      <c r="A2" s="2" t="inlineStr">
        <is>
          <t>2026-07-07</t>
        </is>
      </c>
      <c r="B2" s="4" t="inlineStr">
        <is>
          <t>가온칩스</t>
        </is>
      </c>
      <c r="C2" s="2" t="inlineStr">
        <is>
          <t>코스닥</t>
        </is>
      </c>
      <c r="D2" s="2" t="inlineStr">
        <is>
          <t>399720</t>
        </is>
      </c>
      <c r="E2" s="4" t="inlineStr">
        <is>
          <t xml:space="preserve">주식매수선택권행사              </t>
        </is>
      </c>
      <c r="F2" s="4" t="inlineStr">
        <is>
          <t>가온칩스</t>
        </is>
      </c>
      <c r="G2" s="2" t="inlineStr">
        <is>
          <t>20260707900701</t>
        </is>
      </c>
      <c r="H2" s="3">
        <f>HYPERLINK("https://dart.fss.or.kr/dsaf001/main.do?rcpNo=20260707900701", "공시열람")</f>
        <v/>
      </c>
    </row>
    <row r="3">
      <c r="A3" s="2" t="inlineStr">
        <is>
          <t>2026-04-30</t>
        </is>
      </c>
      <c r="B3" s="4" t="inlineStr">
        <is>
          <t>가온칩스</t>
        </is>
      </c>
      <c r="C3" s="2" t="inlineStr">
        <is>
          <t>코스닥</t>
        </is>
      </c>
      <c r="D3" s="2" t="inlineStr">
        <is>
          <t>399720</t>
        </is>
      </c>
      <c r="E3" s="4" t="inlineStr">
        <is>
          <t xml:space="preserve">소속부변경              </t>
        </is>
      </c>
      <c r="F3" s="4" t="inlineStr">
        <is>
          <t>코스닥시장본부</t>
        </is>
      </c>
      <c r="G3" s="2" t="inlineStr">
        <is>
          <t>20260430901922</t>
        </is>
      </c>
      <c r="H3" s="3">
        <f>HYPERLINK("https://dart.fss.or.kr/dsaf001/main.do?rcpNo=20260430901922", "공시열람")</f>
        <v/>
      </c>
    </row>
    <row r="4">
      <c r="A4" s="2" t="inlineStr">
        <is>
          <t>2026-04-20</t>
        </is>
      </c>
      <c r="B4" s="4" t="inlineStr">
        <is>
          <t>가온칩스</t>
        </is>
      </c>
      <c r="C4" s="2" t="inlineStr">
        <is>
          <t>코스닥</t>
        </is>
      </c>
      <c r="D4" s="2" t="inlineStr">
        <is>
          <t>399720</t>
        </is>
      </c>
      <c r="E4" s="4" t="inlineStr">
        <is>
          <t xml:space="preserve">전환청구권행사              </t>
        </is>
      </c>
      <c r="F4" s="4" t="inlineStr">
        <is>
          <t>가온칩스</t>
        </is>
      </c>
      <c r="G4" s="2" t="inlineStr">
        <is>
          <t>20260420900435</t>
        </is>
      </c>
      <c r="H4" s="3">
        <f>HYPERLINK("https://dart.fss.or.kr/dsaf001/main.do?rcpNo=20260420900435", "공시열람")</f>
        <v/>
      </c>
    </row>
    <row r="5">
      <c r="A5" s="2" t="inlineStr">
        <is>
          <t>2026-03-27</t>
        </is>
      </c>
      <c r="B5" s="4" t="inlineStr">
        <is>
          <t>가온칩스</t>
        </is>
      </c>
      <c r="C5" s="2" t="inlineStr">
        <is>
          <t>코스닥</t>
        </is>
      </c>
      <c r="D5" s="2" t="inlineStr">
        <is>
          <t>399720</t>
        </is>
      </c>
      <c r="E5" s="4" t="inlineStr">
        <is>
          <t>사외이사의선임ㆍ해임또는중도퇴임에관한신고</t>
        </is>
      </c>
      <c r="F5" s="4" t="inlineStr">
        <is>
          <t>가온칩스</t>
        </is>
      </c>
      <c r="G5" s="2" t="inlineStr">
        <is>
          <t>20260327001458</t>
        </is>
      </c>
      <c r="H5" s="3">
        <f>HYPERLINK("https://dart.fss.or.kr/dsaf001/main.do?rcpNo=20260327001458", "공시열람")</f>
        <v/>
      </c>
    </row>
    <row r="6">
      <c r="A6" s="2" t="inlineStr">
        <is>
          <t>2026-03-19</t>
        </is>
      </c>
      <c r="B6" s="4" t="inlineStr">
        <is>
          <t>가온칩스</t>
        </is>
      </c>
      <c r="C6" s="2" t="inlineStr">
        <is>
          <t>코스닥</t>
        </is>
      </c>
      <c r="D6" s="2" t="inlineStr">
        <is>
          <t>399720</t>
        </is>
      </c>
      <c r="E6" s="4" t="inlineStr">
        <is>
          <t xml:space="preserve">감사보고서제출              </t>
        </is>
      </c>
      <c r="F6" s="4" t="inlineStr">
        <is>
          <t>가온칩스</t>
        </is>
      </c>
      <c r="G6" s="2" t="inlineStr">
        <is>
          <t>20260319901611</t>
        </is>
      </c>
      <c r="H6" s="3">
        <f>HYPERLINK("https://dart.fss.or.kr/dsaf001/main.do?rcpNo=20260319901611", "공시열람")</f>
        <v/>
      </c>
    </row>
    <row r="7">
      <c r="A7" s="2" t="inlineStr">
        <is>
          <t>2026-02-09</t>
        </is>
      </c>
      <c r="B7" s="4" t="inlineStr">
        <is>
          <t>가온칩스</t>
        </is>
      </c>
      <c r="C7" s="2" t="inlineStr">
        <is>
          <t>코스닥</t>
        </is>
      </c>
      <c r="D7" s="2" t="inlineStr">
        <is>
          <t>399720</t>
        </is>
      </c>
      <c r="E7" s="4" t="inlineStr">
        <is>
          <t xml:space="preserve">매출액또는손익구조30%(대규모법인은15%)이상변동              </t>
        </is>
      </c>
      <c r="F7" s="4" t="inlineStr">
        <is>
          <t>가온칩스</t>
        </is>
      </c>
      <c r="G7" s="2" t="inlineStr">
        <is>
          <t>20260209901090</t>
        </is>
      </c>
      <c r="H7" s="3">
        <f>HYPERLINK("https://dart.fss.or.kr/dsaf001/main.do?rcpNo=20260209901090", "공시열람")</f>
        <v/>
      </c>
    </row>
    <row r="8">
      <c r="A8" s="2" t="inlineStr">
        <is>
          <t>2025-12-15</t>
        </is>
      </c>
      <c r="B8" s="4" t="inlineStr">
        <is>
          <t>가온칩스</t>
        </is>
      </c>
      <c r="C8" s="2" t="inlineStr">
        <is>
          <t>코스닥</t>
        </is>
      </c>
      <c r="D8" s="2" t="inlineStr">
        <is>
          <t>399720</t>
        </is>
      </c>
      <c r="E8" s="4" t="inlineStr">
        <is>
          <t xml:space="preserve">주주명부폐쇄기간또는기준일설정              </t>
        </is>
      </c>
      <c r="F8" s="4" t="inlineStr">
        <is>
          <t>가온칩스</t>
        </is>
      </c>
      <c r="G8" s="2" t="inlineStr">
        <is>
          <t>20251215901383</t>
        </is>
      </c>
      <c r="H8" s="3">
        <f>HYPERLINK("https://dart.fss.or.kr/dsaf001/main.do?rcpNo=20251215901383", "공시열람")</f>
        <v/>
      </c>
    </row>
    <row r="9">
      <c r="A9" s="2" t="inlineStr">
        <is>
          <t>2025-08-19</t>
        </is>
      </c>
      <c r="B9" s="4" t="inlineStr">
        <is>
          <t>가온칩스</t>
        </is>
      </c>
      <c r="C9" s="2" t="inlineStr">
        <is>
          <t>코스닥</t>
        </is>
      </c>
      <c r="D9" s="2" t="inlineStr">
        <is>
          <t>399720</t>
        </is>
      </c>
      <c r="E9" s="4" t="inlineStr">
        <is>
          <t xml:space="preserve">기업설명회(IR)개최              </t>
        </is>
      </c>
      <c r="F9" s="4" t="inlineStr">
        <is>
          <t>가온칩스</t>
        </is>
      </c>
      <c r="G9" s="2" t="inlineStr">
        <is>
          <t>20250819900237</t>
        </is>
      </c>
      <c r="H9" s="3">
        <f>HYPERLINK("https://dart.fss.or.kr/dsaf001/main.do?rcpNo=20250819900237", "공시열람")</f>
        <v/>
      </c>
    </row>
    <row r="10">
      <c r="A10" s="2" t="inlineStr">
        <is>
          <t>2025-04-30</t>
        </is>
      </c>
      <c r="B10" s="4" t="inlineStr">
        <is>
          <t>가온칩스</t>
        </is>
      </c>
      <c r="C10" s="2" t="inlineStr">
        <is>
          <t>코스닥</t>
        </is>
      </c>
      <c r="D10" s="2" t="inlineStr">
        <is>
          <t>399720</t>
        </is>
      </c>
      <c r="E10" s="4" t="inlineStr">
        <is>
          <t xml:space="preserve">소속부변경              </t>
        </is>
      </c>
      <c r="F10" s="4" t="inlineStr">
        <is>
          <t>코스닥시장본부</t>
        </is>
      </c>
      <c r="G10" s="2" t="inlineStr">
        <is>
          <t>20250430901260</t>
        </is>
      </c>
      <c r="H10" s="3">
        <f>HYPERLINK("https://dart.fss.or.kr/dsaf001/main.do?rcpNo=20250430901260", "공시열람")</f>
        <v/>
      </c>
    </row>
    <row r="11">
      <c r="A11" s="2" t="inlineStr">
        <is>
          <t>2025-04-03</t>
        </is>
      </c>
      <c r="B11" s="4" t="inlineStr">
        <is>
          <t>가온칩스</t>
        </is>
      </c>
      <c r="C11" s="2" t="inlineStr">
        <is>
          <t>코스닥</t>
        </is>
      </c>
      <c r="D11" s="2" t="inlineStr">
        <is>
          <t>399720</t>
        </is>
      </c>
      <c r="E11" s="4" t="inlineStr">
        <is>
          <t>증권발행결과(자율공시)              (제1회차 CB)</t>
        </is>
      </c>
      <c r="F11" s="4" t="inlineStr">
        <is>
          <t>가온칩스</t>
        </is>
      </c>
      <c r="G11" s="2" t="inlineStr">
        <is>
          <t>20250403900579</t>
        </is>
      </c>
      <c r="H11" s="3">
        <f>HYPERLINK("https://dart.fss.or.kr/dsaf001/main.do?rcpNo=20250403900579", "공시열람")</f>
        <v/>
      </c>
    </row>
    <row r="12">
      <c r="A12" s="2" t="inlineStr">
        <is>
          <t>2025-03-26</t>
        </is>
      </c>
      <c r="B12" s="4" t="inlineStr">
        <is>
          <t>가온칩스</t>
        </is>
      </c>
      <c r="C12" s="2" t="inlineStr">
        <is>
          <t>코스닥</t>
        </is>
      </c>
      <c r="D12" s="2" t="inlineStr">
        <is>
          <t>399720</t>
        </is>
      </c>
      <c r="E12" s="4" t="inlineStr">
        <is>
          <t>사외이사의선임ㆍ해임또는중도퇴임에관한신고</t>
        </is>
      </c>
      <c r="F12" s="4" t="inlineStr">
        <is>
          <t>가온칩스</t>
        </is>
      </c>
      <c r="G12" s="2" t="inlineStr">
        <is>
          <t>20250326000243</t>
        </is>
      </c>
      <c r="H12" s="3">
        <f>HYPERLINK("https://dart.fss.or.kr/dsaf001/main.do?rcpNo=20250326000243", "공시열람")</f>
        <v/>
      </c>
    </row>
    <row r="13">
      <c r="A13" s="2" t="inlineStr">
        <is>
          <t>2025-03-18</t>
        </is>
      </c>
      <c r="B13" s="4" t="inlineStr">
        <is>
          <t>가온칩스</t>
        </is>
      </c>
      <c r="C13" s="2" t="inlineStr">
        <is>
          <t>코스닥</t>
        </is>
      </c>
      <c r="D13" s="2" t="inlineStr">
        <is>
          <t>399720</t>
        </is>
      </c>
      <c r="E13" s="4" t="inlineStr">
        <is>
          <t xml:space="preserve">감사보고서제출              </t>
        </is>
      </c>
      <c r="F13" s="4" t="inlineStr">
        <is>
          <t>가온칩스</t>
        </is>
      </c>
      <c r="G13" s="2" t="inlineStr">
        <is>
          <t>20250318901544</t>
        </is>
      </c>
      <c r="H13" s="3">
        <f>HYPERLINK("https://dart.fss.or.kr/dsaf001/main.do?rcpNo=20250318901544", "공시열람")</f>
        <v/>
      </c>
    </row>
    <row r="14">
      <c r="A14" s="2" t="inlineStr">
        <is>
          <t>2025-02-10</t>
        </is>
      </c>
      <c r="B14" s="4" t="inlineStr">
        <is>
          <t>가온칩스</t>
        </is>
      </c>
      <c r="C14" s="2" t="inlineStr">
        <is>
          <t>코스닥</t>
        </is>
      </c>
      <c r="D14" s="2" t="inlineStr">
        <is>
          <t>399720</t>
        </is>
      </c>
      <c r="E14" s="4" t="inlineStr">
        <is>
          <t xml:space="preserve">매출액또는손익구조30%(대규모법인은15%)이상변동              </t>
        </is>
      </c>
      <c r="F14" s="4" t="inlineStr">
        <is>
          <t>가온칩스</t>
        </is>
      </c>
      <c r="G14" s="2" t="inlineStr">
        <is>
          <t>20250210901101</t>
        </is>
      </c>
      <c r="H14" s="3">
        <f>HYPERLINK("https://dart.fss.or.kr/dsaf001/main.do?rcpNo=20250210901101", "공시열람")</f>
        <v/>
      </c>
    </row>
    <row r="15">
      <c r="A15" s="2" t="inlineStr">
        <is>
          <t>2024-12-13</t>
        </is>
      </c>
      <c r="B15" s="4" t="inlineStr">
        <is>
          <t>가온칩스</t>
        </is>
      </c>
      <c r="C15" s="2" t="inlineStr">
        <is>
          <t>코스닥</t>
        </is>
      </c>
      <c r="D15" s="2" t="inlineStr">
        <is>
          <t>399720</t>
        </is>
      </c>
      <c r="E15" s="4" t="inlineStr">
        <is>
          <t xml:space="preserve">주주명부폐쇄기간또는기준일설정              </t>
        </is>
      </c>
      <c r="F15" s="4" t="inlineStr">
        <is>
          <t>가온칩스</t>
        </is>
      </c>
      <c r="G15" s="2" t="inlineStr">
        <is>
          <t>20241213901311</t>
        </is>
      </c>
      <c r="H15" s="3">
        <f>HYPERLINK("https://dart.fss.or.kr/dsaf001/main.do?rcpNo=20241213901311", "공시열람")</f>
        <v/>
      </c>
    </row>
    <row r="16">
      <c r="A16" s="2" t="inlineStr">
        <is>
          <t>2024-11-15</t>
        </is>
      </c>
      <c r="B16" s="4" t="inlineStr">
        <is>
          <t>가온칩스</t>
        </is>
      </c>
      <c r="C16" s="2" t="inlineStr">
        <is>
          <t>코스닥</t>
        </is>
      </c>
      <c r="D16" s="2" t="inlineStr">
        <is>
          <t>399720</t>
        </is>
      </c>
      <c r="E16" s="4" t="inlineStr">
        <is>
          <t xml:space="preserve">[기재정정]기업설명회(IR)개최              </t>
        </is>
      </c>
      <c r="F16" s="4" t="inlineStr">
        <is>
          <t>가온칩스</t>
        </is>
      </c>
      <c r="G16" s="2" t="inlineStr">
        <is>
          <t>20241115900171</t>
        </is>
      </c>
      <c r="H16" s="3">
        <f>HYPERLINK("https://dart.fss.or.kr/dsaf001/main.do?rcpNo=20241115900171", "공시열람")</f>
        <v/>
      </c>
    </row>
    <row r="17">
      <c r="A17" s="2" t="inlineStr">
        <is>
          <t>2024-11-14</t>
        </is>
      </c>
      <c r="B17" s="4" t="inlineStr">
        <is>
          <t>가온칩스</t>
        </is>
      </c>
      <c r="C17" s="2" t="inlineStr">
        <is>
          <t>코스닥</t>
        </is>
      </c>
      <c r="D17" s="2" t="inlineStr">
        <is>
          <t>399720</t>
        </is>
      </c>
      <c r="E17" s="4" t="inlineStr">
        <is>
          <t xml:space="preserve">기업설명회(IR)개최              </t>
        </is>
      </c>
      <c r="F17" s="4" t="inlineStr">
        <is>
          <t>가온칩스</t>
        </is>
      </c>
      <c r="G17" s="2" t="inlineStr">
        <is>
          <t>20241114901213</t>
        </is>
      </c>
      <c r="H17" s="3">
        <f>HYPERLINK("https://dart.fss.or.kr/dsaf001/main.do?rcpNo=20241114901213", "공시열람")</f>
        <v/>
      </c>
    </row>
    <row r="18">
      <c r="A18" s="2" t="inlineStr">
        <is>
          <t>2024-11-14</t>
        </is>
      </c>
      <c r="B18" s="4" t="inlineStr">
        <is>
          <t>가온칩스</t>
        </is>
      </c>
      <c r="C18" s="2" t="inlineStr">
        <is>
          <t>코스닥</t>
        </is>
      </c>
      <c r="D18" s="2" t="inlineStr">
        <is>
          <t>399720</t>
        </is>
      </c>
      <c r="E18" s="4" t="inlineStr">
        <is>
          <t xml:space="preserve">기업설명회(IR)개최              </t>
        </is>
      </c>
      <c r="F18" s="4" t="inlineStr">
        <is>
          <t>가온칩스</t>
        </is>
      </c>
      <c r="G18" s="2" t="inlineStr">
        <is>
          <t>20241114901223</t>
        </is>
      </c>
      <c r="H18" s="3">
        <f>HYPERLINK("https://dart.fss.or.kr/dsaf001/main.do?rcpNo=20241114901223", "공시열람")</f>
        <v/>
      </c>
    </row>
    <row r="19">
      <c r="A19" s="2" t="inlineStr">
        <is>
          <t>2024-08-30</t>
        </is>
      </c>
      <c r="B19" s="4" t="inlineStr">
        <is>
          <t>가온칩스</t>
        </is>
      </c>
      <c r="C19" s="2" t="inlineStr">
        <is>
          <t>코스닥</t>
        </is>
      </c>
      <c r="D19" s="2" t="inlineStr">
        <is>
          <t>399720</t>
        </is>
      </c>
      <c r="E19" s="4" t="inlineStr">
        <is>
          <t xml:space="preserve">기업설명회(IR)개최              </t>
        </is>
      </c>
      <c r="F19" s="4" t="inlineStr">
        <is>
          <t>가온칩스</t>
        </is>
      </c>
      <c r="G19" s="2" t="inlineStr">
        <is>
          <t>20240830900338</t>
        </is>
      </c>
      <c r="H19" s="3">
        <f>HYPERLINK("https://dart.fss.or.kr/dsaf001/main.do?rcpNo=20240830900338", "공시열람")</f>
        <v/>
      </c>
    </row>
    <row r="20">
      <c r="A20" s="2" t="inlineStr">
        <is>
          <t>2024-03-18</t>
        </is>
      </c>
      <c r="B20" s="4" t="inlineStr">
        <is>
          <t>가온칩스</t>
        </is>
      </c>
      <c r="C20" s="2" t="inlineStr">
        <is>
          <t>코스닥</t>
        </is>
      </c>
      <c r="D20" s="2" t="inlineStr">
        <is>
          <t>399720</t>
        </is>
      </c>
      <c r="E20" s="4" t="inlineStr">
        <is>
          <t xml:space="preserve">감사보고서제출              </t>
        </is>
      </c>
      <c r="F20" s="4" t="inlineStr">
        <is>
          <t>가온칩스</t>
        </is>
      </c>
      <c r="G20" s="2" t="inlineStr">
        <is>
          <t>20240318901055</t>
        </is>
      </c>
      <c r="H20" s="3">
        <f>HYPERLINK("https://dart.fss.or.kr/dsaf001/main.do?rcpNo=20240318901055", "공시열람")</f>
        <v/>
      </c>
    </row>
    <row r="21">
      <c r="A21" s="2" t="inlineStr">
        <is>
          <t>2024-02-13</t>
        </is>
      </c>
      <c r="B21" s="4" t="inlineStr">
        <is>
          <t>가온칩스</t>
        </is>
      </c>
      <c r="C21" s="2" t="inlineStr">
        <is>
          <t>코스닥</t>
        </is>
      </c>
      <c r="D21" s="2" t="inlineStr">
        <is>
          <t>399720</t>
        </is>
      </c>
      <c r="E21" s="4" t="inlineStr">
        <is>
          <t xml:space="preserve">매출액또는손익구조30%(대규모법인은15%)이상변동              </t>
        </is>
      </c>
      <c r="F21" s="4" t="inlineStr">
        <is>
          <t>가온칩스</t>
        </is>
      </c>
      <c r="G21" s="2" t="inlineStr">
        <is>
          <t>20240213900576</t>
        </is>
      </c>
      <c r="H21" s="3">
        <f>HYPERLINK("https://dart.fss.or.kr/dsaf001/main.do?rcpNo=20240213900576", "공시열람")</f>
        <v/>
      </c>
    </row>
    <row r="22">
      <c r="A22" s="2" t="inlineStr">
        <is>
          <t>2023-12-14</t>
        </is>
      </c>
      <c r="B22" s="4" t="inlineStr">
        <is>
          <t>가온칩스</t>
        </is>
      </c>
      <c r="C22" s="2" t="inlineStr">
        <is>
          <t>코스닥</t>
        </is>
      </c>
      <c r="D22" s="2" t="inlineStr">
        <is>
          <t>399720</t>
        </is>
      </c>
      <c r="E22" s="4" t="inlineStr">
        <is>
          <t>주주명부폐쇄기간또는기준일설정</t>
        </is>
      </c>
      <c r="F22" s="4" t="inlineStr">
        <is>
          <t>가온칩스</t>
        </is>
      </c>
      <c r="G22" s="2" t="inlineStr">
        <is>
          <t>20231214900906</t>
        </is>
      </c>
      <c r="H22" s="3">
        <f>HYPERLINK("https://dart.fss.or.kr/dsaf001/main.do?rcpNo=20231214900906", "공시열람")</f>
        <v/>
      </c>
    </row>
    <row r="23">
      <c r="A23" s="2" t="inlineStr">
        <is>
          <t>2023-06-13</t>
        </is>
      </c>
      <c r="B23" s="4" t="inlineStr">
        <is>
          <t>가온칩스</t>
        </is>
      </c>
      <c r="C23" s="2" t="inlineStr">
        <is>
          <t>코스닥</t>
        </is>
      </c>
      <c r="D23" s="2" t="inlineStr">
        <is>
          <t>399720</t>
        </is>
      </c>
      <c r="E23" s="4" t="inlineStr">
        <is>
          <t>주식매수선택권부여에관한신고</t>
        </is>
      </c>
      <c r="F23" s="4" t="inlineStr">
        <is>
          <t>가온칩스</t>
        </is>
      </c>
      <c r="G23" s="2" t="inlineStr">
        <is>
          <t>20230613000426</t>
        </is>
      </c>
      <c r="H23" s="3">
        <f>HYPERLINK("https://dart.fss.or.kr/dsaf001/main.do?rcpNo=20230613000426", "공시열람")</f>
        <v/>
      </c>
    </row>
    <row r="24">
      <c r="A24" s="2" t="inlineStr">
        <is>
          <t>2023-03-21</t>
        </is>
      </c>
      <c r="B24" s="4" t="inlineStr">
        <is>
          <t>가온칩스</t>
        </is>
      </c>
      <c r="C24" s="2" t="inlineStr">
        <is>
          <t>코스닥</t>
        </is>
      </c>
      <c r="D24" s="2" t="inlineStr">
        <is>
          <t>399720</t>
        </is>
      </c>
      <c r="E24" s="4" t="inlineStr">
        <is>
          <t>감사보고서제출</t>
        </is>
      </c>
      <c r="F24" s="4" t="inlineStr">
        <is>
          <t>가온칩스</t>
        </is>
      </c>
      <c r="G24" s="2" t="inlineStr">
        <is>
          <t>20230321900693</t>
        </is>
      </c>
      <c r="H24" s="3">
        <f>HYPERLINK("https://dart.fss.or.kr/dsaf001/main.do?rcpNo=20230321900693", "공시열람")</f>
        <v/>
      </c>
    </row>
    <row r="25">
      <c r="A25" s="2" t="inlineStr">
        <is>
          <t>2023-02-13</t>
        </is>
      </c>
      <c r="B25" s="4" t="inlineStr">
        <is>
          <t>가온칩스</t>
        </is>
      </c>
      <c r="C25" s="2" t="inlineStr">
        <is>
          <t>코스닥</t>
        </is>
      </c>
      <c r="D25" s="2" t="inlineStr">
        <is>
          <t>399720</t>
        </is>
      </c>
      <c r="E25" s="4" t="inlineStr">
        <is>
          <t>매출액또는손익구조30%(대규모법인은15%)이상변동</t>
        </is>
      </c>
      <c r="F25" s="4" t="inlineStr">
        <is>
          <t>가온칩스</t>
        </is>
      </c>
      <c r="G25" s="2" t="inlineStr">
        <is>
          <t>20230213901193</t>
        </is>
      </c>
      <c r="H25" s="3">
        <f>HYPERLINK("https://dart.fss.or.kr/dsaf001/main.do?rcpNo=20230213901193", "공시열람")</f>
        <v/>
      </c>
    </row>
    <row r="26">
      <c r="A26" s="2" t="inlineStr">
        <is>
          <t>2023-01-02</t>
        </is>
      </c>
      <c r="B26" s="4" t="inlineStr">
        <is>
          <t>가온칩스</t>
        </is>
      </c>
      <c r="C26" s="2" t="inlineStr">
        <is>
          <t>코스닥</t>
        </is>
      </c>
      <c r="D26" s="2" t="inlineStr">
        <is>
          <t>399720</t>
        </is>
      </c>
      <c r="E26" s="4" t="inlineStr">
        <is>
          <t>본점소재지변경</t>
        </is>
      </c>
      <c r="F26" s="4" t="inlineStr">
        <is>
          <t>가온칩스</t>
        </is>
      </c>
      <c r="G26" s="2" t="inlineStr">
        <is>
          <t>20230102900617</t>
        </is>
      </c>
      <c r="H26" s="3">
        <f>HYPERLINK("https://dart.fss.or.kr/dsaf001/main.do?rcpNo=20230102900617", "공시열람")</f>
        <v/>
      </c>
    </row>
    <row r="27">
      <c r="A27" s="2" t="inlineStr">
        <is>
          <t>2022-12-12</t>
        </is>
      </c>
      <c r="B27" s="4" t="inlineStr">
        <is>
          <t>가온칩스</t>
        </is>
      </c>
      <c r="C27" s="2" t="inlineStr">
        <is>
          <t>코스닥</t>
        </is>
      </c>
      <c r="D27" s="2" t="inlineStr">
        <is>
          <t>399720</t>
        </is>
      </c>
      <c r="E27" s="4" t="inlineStr">
        <is>
          <t>주주명부폐쇄기간또는기준일설정</t>
        </is>
      </c>
      <c r="F27" s="4" t="inlineStr">
        <is>
          <t>가온칩스</t>
        </is>
      </c>
      <c r="G27" s="2" t="inlineStr">
        <is>
          <t>20221212900328</t>
        </is>
      </c>
      <c r="H27" s="3">
        <f>HYPERLINK("https://dart.fss.or.kr/dsaf001/main.do?rcpNo=20221212900328", "공시열람")</f>
        <v/>
      </c>
    </row>
    <row r="28">
      <c r="A28" s="2" t="inlineStr">
        <is>
          <t>2022-05-17</t>
        </is>
      </c>
      <c r="B28" s="4" t="inlineStr">
        <is>
          <t>가온칩스</t>
        </is>
      </c>
      <c r="C28" s="2" t="inlineStr">
        <is>
          <t>코스닥</t>
        </is>
      </c>
      <c r="D28" s="2" t="inlineStr">
        <is>
          <t>399720</t>
        </is>
      </c>
      <c r="E28" s="4" t="inlineStr">
        <is>
          <t>[기재정정]증권발행실적보고서</t>
        </is>
      </c>
      <c r="F28" s="4" t="inlineStr">
        <is>
          <t>가온칩스</t>
        </is>
      </c>
      <c r="G28" s="2" t="inlineStr">
        <is>
          <t>20220517000328</t>
        </is>
      </c>
      <c r="H28" s="3">
        <f>HYPERLINK("https://dart.fss.or.kr/dsaf001/main.do?rcpNo=20220517000328", "공시열람")</f>
        <v/>
      </c>
    </row>
    <row r="29">
      <c r="A29" s="2" t="inlineStr">
        <is>
          <t>2022-05-16</t>
        </is>
      </c>
      <c r="B29" s="4" t="inlineStr">
        <is>
          <t>가온칩스</t>
        </is>
      </c>
      <c r="C29" s="2" t="inlineStr">
        <is>
          <t>코스닥</t>
        </is>
      </c>
      <c r="D29" s="2" t="inlineStr">
        <is>
          <t>399720</t>
        </is>
      </c>
      <c r="E29" s="4" t="inlineStr">
        <is>
          <t>증권발행실적보고서</t>
        </is>
      </c>
      <c r="F29" s="4" t="inlineStr">
        <is>
          <t>가온칩스</t>
        </is>
      </c>
      <c r="G29" s="2" t="inlineStr">
        <is>
          <t>20220516001198</t>
        </is>
      </c>
      <c r="H29" s="3">
        <f>HYPERLINK("https://dart.fss.or.kr/dsaf001/main.do?rcpNo=20220516001198", "공시열람")</f>
        <v/>
      </c>
    </row>
    <row r="30">
      <c r="A30" s="2" t="inlineStr">
        <is>
          <t>2022-05-06</t>
        </is>
      </c>
      <c r="B30" s="4" t="inlineStr">
        <is>
          <t>가온칩스</t>
        </is>
      </c>
      <c r="C30" s="2" t="inlineStr">
        <is>
          <t>코스닥</t>
        </is>
      </c>
      <c r="D30" s="2" t="inlineStr">
        <is>
          <t>399720</t>
        </is>
      </c>
      <c r="E30" s="4" t="inlineStr">
        <is>
          <t>[발행조건확정]증권신고서(지분증권)</t>
        </is>
      </c>
      <c r="F30" s="4" t="inlineStr">
        <is>
          <t>가온칩스</t>
        </is>
      </c>
      <c r="G30" s="2" t="inlineStr">
        <is>
          <t>20220506000110</t>
        </is>
      </c>
      <c r="H30" s="3">
        <f>HYPERLINK("https://dart.fss.or.kr/dsaf001/main.do?rcpNo=20220506000110", "공시열람")</f>
        <v/>
      </c>
    </row>
    <row r="31">
      <c r="A31" s="2" t="inlineStr">
        <is>
          <t>2022-05-06</t>
        </is>
      </c>
      <c r="B31" s="4" t="inlineStr">
        <is>
          <t>가온칩스</t>
        </is>
      </c>
      <c r="C31" s="2" t="inlineStr">
        <is>
          <t>코스닥</t>
        </is>
      </c>
      <c r="D31" s="2" t="inlineStr">
        <is>
          <t>399720</t>
        </is>
      </c>
      <c r="E31" s="4" t="inlineStr">
        <is>
          <t>[기재정정]투자설명서</t>
        </is>
      </c>
      <c r="F31" s="4" t="inlineStr">
        <is>
          <t>가온칩스</t>
        </is>
      </c>
      <c r="G31" s="2" t="inlineStr">
        <is>
          <t>20220506000115</t>
        </is>
      </c>
      <c r="H31" s="3">
        <f>HYPERLINK("https://dart.fss.or.kr/dsaf001/main.do?rcpNo=20220506000115", "공시열람")</f>
        <v/>
      </c>
    </row>
    <row r="32">
      <c r="A32" s="2" t="inlineStr">
        <is>
          <t>2022-04-29</t>
        </is>
      </c>
      <c r="B32" s="4" t="inlineStr">
        <is>
          <t>가온칩스</t>
        </is>
      </c>
      <c r="C32" s="2" t="inlineStr">
        <is>
          <t>코스닥</t>
        </is>
      </c>
      <c r="D32" s="2" t="inlineStr">
        <is>
          <t>399720</t>
        </is>
      </c>
      <c r="E32" s="4" t="inlineStr">
        <is>
          <t>투자설명서</t>
        </is>
      </c>
      <c r="F32" s="4" t="inlineStr">
        <is>
          <t>가온칩스</t>
        </is>
      </c>
      <c r="G32" s="2" t="inlineStr">
        <is>
          <t>20220429000315</t>
        </is>
      </c>
      <c r="H32" s="3">
        <f>HYPERLINK("https://dart.fss.or.kr/dsaf001/main.do?rcpNo=20220429000315", "공시열람")</f>
        <v/>
      </c>
    </row>
    <row r="33">
      <c r="A33" s="2" t="inlineStr">
        <is>
          <t>2022-04-19</t>
        </is>
      </c>
      <c r="B33" s="4" t="inlineStr">
        <is>
          <t>가온칩스</t>
        </is>
      </c>
      <c r="C33" s="2" t="inlineStr">
        <is>
          <t>코스닥</t>
        </is>
      </c>
      <c r="D33" s="2" t="inlineStr">
        <is>
          <t>399720</t>
        </is>
      </c>
      <c r="E33" s="4" t="inlineStr">
        <is>
          <t>[기재정정]증권신고서(지분증권)</t>
        </is>
      </c>
      <c r="F33" s="4" t="inlineStr">
        <is>
          <t>가온칩스</t>
        </is>
      </c>
      <c r="G33" s="2" t="inlineStr">
        <is>
          <t>20220419000335</t>
        </is>
      </c>
      <c r="H33" s="3">
        <f>HYPERLINK("https://dart.fss.or.kr/dsaf001/main.do?rcpNo=20220419000335", "공시열람")</f>
        <v/>
      </c>
    </row>
    <row r="34">
      <c r="A34" s="2" t="inlineStr">
        <is>
          <t>2022-04-07</t>
        </is>
      </c>
      <c r="B34" s="4" t="inlineStr">
        <is>
          <t>가온칩스</t>
        </is>
      </c>
      <c r="C34" s="2" t="inlineStr">
        <is>
          <t>코스닥</t>
        </is>
      </c>
      <c r="D34" s="2" t="inlineStr">
        <is>
          <t>399720</t>
        </is>
      </c>
      <c r="E34" s="4" t="inlineStr">
        <is>
          <t>증권신고서(지분증권)</t>
        </is>
      </c>
      <c r="F34" s="4" t="inlineStr">
        <is>
          <t>가온칩스</t>
        </is>
      </c>
      <c r="G34" s="2" t="inlineStr">
        <is>
          <t>20220407002417</t>
        </is>
      </c>
      <c r="H34" s="3">
        <f>HYPERLINK("https://dart.fss.or.kr/dsaf001/main.do?rcpNo=20220407002417", "공시열람")</f>
        <v/>
      </c>
    </row>
    <row r="35">
      <c r="A35" s="2" t="inlineStr">
        <is>
          <t>2022-04-04</t>
        </is>
      </c>
      <c r="B35" s="4" t="inlineStr">
        <is>
          <t>가온칩스</t>
        </is>
      </c>
      <c r="C35" s="2" t="inlineStr">
        <is>
          <t>코스닥</t>
        </is>
      </c>
      <c r="D35" s="2" t="inlineStr">
        <is>
          <t>399720</t>
        </is>
      </c>
      <c r="E35" s="4" t="inlineStr">
        <is>
          <t>감사보고서 (2021.12)</t>
        </is>
      </c>
      <c r="F35" s="4" t="inlineStr">
        <is>
          <t>삼일회계법인</t>
        </is>
      </c>
      <c r="G35" s="2" t="inlineStr">
        <is>
          <t>20220404002812</t>
        </is>
      </c>
      <c r="H35" s="3">
        <f>HYPERLINK("https://dart.fss.or.kr/dsaf001/main.do?rcpNo=20220404002812", "공시열람")</f>
        <v/>
      </c>
    </row>
    <row r="36">
      <c r="A36" s="2" t="inlineStr">
        <is>
          <t>2021-12-20</t>
        </is>
      </c>
      <c r="B36" s="4" t="inlineStr">
        <is>
          <t>가온칩스</t>
        </is>
      </c>
      <c r="C36" s="2" t="inlineStr">
        <is>
          <t>코스닥</t>
        </is>
      </c>
      <c r="D36" s="2" t="inlineStr">
        <is>
          <t>399720</t>
        </is>
      </c>
      <c r="E36" s="4" t="inlineStr">
        <is>
          <t>[기재정정]감사보고서 (2020.12)</t>
        </is>
      </c>
      <c r="F36" s="4" t="inlineStr">
        <is>
          <t>성운회계법인</t>
        </is>
      </c>
      <c r="G36" s="2" t="inlineStr">
        <is>
          <t>20211220000351</t>
        </is>
      </c>
      <c r="H36" s="3">
        <f>HYPERLINK("https://dart.fss.or.kr/dsaf001/main.do?rcpNo=20211220000351", "공시열람")</f>
        <v/>
      </c>
    </row>
    <row r="37">
      <c r="A37" s="2" t="inlineStr">
        <is>
          <t>2021-04-12</t>
        </is>
      </c>
      <c r="B37" s="4" t="inlineStr">
        <is>
          <t>가온칩스</t>
        </is>
      </c>
      <c r="C37" s="2" t="inlineStr">
        <is>
          <t>코스닥</t>
        </is>
      </c>
      <c r="D37" s="2" t="inlineStr">
        <is>
          <t>399720</t>
        </is>
      </c>
      <c r="E37" s="4" t="inlineStr">
        <is>
          <t>감사보고서 (2020.12)</t>
        </is>
      </c>
      <c r="F37" s="4" t="inlineStr">
        <is>
          <t>성운회계법인</t>
        </is>
      </c>
      <c r="G37" s="2" t="inlineStr">
        <is>
          <t>20210412000801</t>
        </is>
      </c>
      <c r="H37" s="3">
        <f>HYPERLINK("https://dart.fss.or.kr/dsaf001/main.do?rcpNo=20210412000801", "공시열람")</f>
        <v/>
      </c>
    </row>
    <row r="38">
      <c r="A38" s="2" t="inlineStr">
        <is>
          <t>2020-04-10</t>
        </is>
      </c>
      <c r="B38" s="4" t="inlineStr">
        <is>
          <t>가온칩스</t>
        </is>
      </c>
      <c r="C38" s="2" t="inlineStr">
        <is>
          <t>코스닥</t>
        </is>
      </c>
      <c r="D38" s="2" t="inlineStr">
        <is>
          <t>399720</t>
        </is>
      </c>
      <c r="E38" s="4" t="inlineStr">
        <is>
          <t>감사보고서 (2019.12)</t>
        </is>
      </c>
      <c r="F38" s="4" t="inlineStr">
        <is>
          <t>성운회계법인</t>
        </is>
      </c>
      <c r="G38" s="2" t="inlineStr">
        <is>
          <t>20200410001964</t>
        </is>
      </c>
      <c r="H38" s="3">
        <f>HYPERLINK("https://dart.fss.or.kr/dsaf001/main.do?rcpNo=20200410001964", "공시열람")</f>
        <v/>
      </c>
    </row>
  </sheetData>
  <autoFilter ref="A1:H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2026-09-15T01:53:02Z</dcterms:created>
  <dcterms:modified xmlns:dcterms="http://purl.org/dc/terms/" xmlns:xsi="http://www.w3.org/2001/XMLSchema-instance" xsi:type="dcterms:W3CDTF">2026-09-15T01:53:14Z</dcterms:modified>
</cp:coreProperties>
</file>