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시목록(전체)" sheetId="1" state="visible" r:id="rId1"/>
    <sheet xmlns:r="http://schemas.openxmlformats.org/officeDocument/2006/relationships" name="실적(분기)" sheetId="2" state="visible" r:id="rId2"/>
    <sheet xmlns:r="http://schemas.openxmlformats.org/officeDocument/2006/relationships" name="품목별매출(정기보고서)" sheetId="3" state="visible" r:id="rId3"/>
    <sheet xmlns:r="http://schemas.openxmlformats.org/officeDocument/2006/relationships" name="자금조달_증자" sheetId="4" state="visible" r:id="rId4"/>
    <sheet xmlns:r="http://schemas.openxmlformats.org/officeDocument/2006/relationships" name="영업활동_계약" sheetId="5" state="visible" r:id="rId5"/>
    <sheet xmlns:r="http://schemas.openxmlformats.org/officeDocument/2006/relationships" name="자산_취득처분" sheetId="6" state="visible" r:id="rId6"/>
    <sheet xmlns:r="http://schemas.openxmlformats.org/officeDocument/2006/relationships" name="5%_임원보고" sheetId="7" state="visible" r:id="rId7"/>
    <sheet xmlns:r="http://schemas.openxmlformats.org/officeDocument/2006/relationships" name="5%_임원보고 원본" sheetId="8" state="visible" r:id="rId8"/>
    <sheet xmlns:r="http://schemas.openxmlformats.org/officeDocument/2006/relationships" name="재무_자기주식" sheetId="9" state="visible" r:id="rId9"/>
    <sheet xmlns:r="http://schemas.openxmlformats.org/officeDocument/2006/relationships" name="경영권_지배구조" sheetId="10" state="visible" r:id="rId10"/>
    <sheet xmlns:r="http://schemas.openxmlformats.org/officeDocument/2006/relationships" name="기타공시" sheetId="11" state="visible" r:id="rId11"/>
  </sheets>
  <definedNames>
    <definedName name="_xlnm._FilterDatabase" localSheetId="0" hidden="1">'공시목록(전체)'!$A$1:$H$520</definedName>
    <definedName name="_xlnm._FilterDatabase" localSheetId="3" hidden="1">'자금조달_증자'!$A$1:$T$9</definedName>
    <definedName name="_xlnm._FilterDatabase" localSheetId="4" hidden="1">'영업활동_계약'!$A$1:$P$109</definedName>
    <definedName name="_xlnm._FilterDatabase" localSheetId="5" hidden="1">'자산_취득처분'!$A$1:$T$4</definedName>
    <definedName name="_xlnm._FilterDatabase" localSheetId="6" hidden="1">'5%_임원보고'!$A$1:$R$121</definedName>
    <definedName name="_xlnm._FilterDatabase" localSheetId="7" hidden="1">'5%_임원보고 원본'!$A$1:$R$121</definedName>
    <definedName name="_xlnm._FilterDatabase" localSheetId="8" hidden="1">'재무_자기주식'!$A$1:$Q$8</definedName>
    <definedName name="_xlnm._FilterDatabase" localSheetId="9" hidden="1">'경영권_지배구조'!$A$1:$H$49</definedName>
    <definedName name="_xlnm._FilterDatabase" localSheetId="10" hidden="1">'기타공시'!$A$1:$H$171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"/>
    <numFmt numFmtId="165" formatCode="0.00&quot;%&quot;"/>
    <numFmt numFmtId="166" formatCode="#,##0;[Red]-#,##0"/>
  </numFmts>
  <fonts count="11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0000FF"/>
      <sz val="9"/>
      <u val="single"/>
    </font>
    <font>
      <name val="Malgun Gothic"/>
      <color rgb="00FF0000"/>
      <sz val="9"/>
    </font>
    <font>
      <name val="Malgun Gothic"/>
      <color rgb="000000FF"/>
      <sz val="9"/>
    </font>
    <font>
      <name val="맑은 고딕"/>
      <color rgb="000563C1"/>
      <sz val="10"/>
      <u val="single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333F48"/>
        <bgColor rgb="00333F48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wrapText="1"/>
    </xf>
    <xf numFmtId="166" fontId="9" fillId="0" borderId="3" applyAlignment="1" pivotButton="0" quotePrefix="0" xfId="0">
      <alignment vertical="center"/>
    </xf>
    <xf numFmtId="0" fontId="10" fillId="0" borderId="0" pivotButton="0" quotePrefix="0" xfId="0"/>
    <xf numFmtId="166" fontId="9" fillId="7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dataScout</author>
  </authors>
  <commentList>
    <comment ref="E11" authorId="0" shapeId="0">
      <text>
        <t>원문 표에 '103'으로 오기재 → 품목 합(15,000+85,111+3,362)=103,473으로 보정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rt.fss.or.kr/dsaf001/main.do?rcpNo=20260909900486" TargetMode="External" Id="rId1"/><Relationship Type="http://schemas.openxmlformats.org/officeDocument/2006/relationships/hyperlink" Target="https://dart.fss.or.kr/dsaf001/main.do?rcpNo=20260819900118" TargetMode="External" Id="rId2"/><Relationship Type="http://schemas.openxmlformats.org/officeDocument/2006/relationships/hyperlink" Target="https://dart.fss.or.kr/dsaf001/main.do?rcpNo=20260814002567" TargetMode="External" Id="rId3"/><Relationship Type="http://schemas.openxmlformats.org/officeDocument/2006/relationships/hyperlink" Target="https://dart.fss.or.kr/dsaf001/main.do?rcpNo=20260630901379" TargetMode="External" Id="rId4"/><Relationship Type="http://schemas.openxmlformats.org/officeDocument/2006/relationships/hyperlink" Target="https://dart.fss.or.kr/dsaf001/main.do?rcpNo=20260526900169" TargetMode="External" Id="rId5"/><Relationship Type="http://schemas.openxmlformats.org/officeDocument/2006/relationships/hyperlink" Target="https://dart.fss.or.kr/dsaf001/main.do?rcpNo=20260515003049" TargetMode="External" Id="rId6"/><Relationship Type="http://schemas.openxmlformats.org/officeDocument/2006/relationships/hyperlink" Target="https://dart.fss.or.kr/dsaf001/main.do?rcpNo=20260429900732" TargetMode="External" Id="rId7"/><Relationship Type="http://schemas.openxmlformats.org/officeDocument/2006/relationships/hyperlink" Target="https://dart.fss.or.kr/dsaf001/main.do?rcpNo=20260423000703" TargetMode="External" Id="rId8"/><Relationship Type="http://schemas.openxmlformats.org/officeDocument/2006/relationships/hyperlink" Target="https://dart.fss.or.kr/dsaf001/main.do?rcpNo=20260423000646" TargetMode="External" Id="rId9"/><Relationship Type="http://schemas.openxmlformats.org/officeDocument/2006/relationships/hyperlink" Target="https://dart.fss.or.kr/dsaf001/main.do?rcpNo=20260423000577" TargetMode="External" Id="rId10"/><Relationship Type="http://schemas.openxmlformats.org/officeDocument/2006/relationships/hyperlink" Target="https://dart.fss.or.kr/dsaf001/main.do?rcpNo=20260423000343" TargetMode="External" Id="rId11"/><Relationship Type="http://schemas.openxmlformats.org/officeDocument/2006/relationships/hyperlink" Target="https://dart.fss.or.kr/dsaf001/main.do?rcpNo=20260421000499" TargetMode="External" Id="rId12"/><Relationship Type="http://schemas.openxmlformats.org/officeDocument/2006/relationships/hyperlink" Target="https://dart.fss.or.kr/dsaf001/main.do?rcpNo=20260417900943" TargetMode="External" Id="rId13"/><Relationship Type="http://schemas.openxmlformats.org/officeDocument/2006/relationships/hyperlink" Target="https://dart.fss.or.kr/dsaf001/main.do?rcpNo=20260415900028" TargetMode="External" Id="rId14"/><Relationship Type="http://schemas.openxmlformats.org/officeDocument/2006/relationships/hyperlink" Target="https://dart.fss.or.kr/dsaf001/main.do?rcpNo=20260415900007" TargetMode="External" Id="rId15"/><Relationship Type="http://schemas.openxmlformats.org/officeDocument/2006/relationships/hyperlink" Target="https://dart.fss.or.kr/dsaf001/main.do?rcpNo=20260402003788" TargetMode="External" Id="rId16"/><Relationship Type="http://schemas.openxmlformats.org/officeDocument/2006/relationships/hyperlink" Target="https://dart.fss.or.kr/dsaf001/main.do?rcpNo=20260330901030" TargetMode="External" Id="rId17"/><Relationship Type="http://schemas.openxmlformats.org/officeDocument/2006/relationships/hyperlink" Target="https://dart.fss.or.kr/dsaf001/main.do?rcpNo=20260320901405" TargetMode="External" Id="rId18"/><Relationship Type="http://schemas.openxmlformats.org/officeDocument/2006/relationships/hyperlink" Target="https://dart.fss.or.kr/dsaf001/main.do?rcpNo=20260320001390" TargetMode="External" Id="rId19"/><Relationship Type="http://schemas.openxmlformats.org/officeDocument/2006/relationships/hyperlink" Target="https://dart.fss.or.kr/dsaf001/main.do?rcpNo=20260310900826" TargetMode="External" Id="rId20"/><Relationship Type="http://schemas.openxmlformats.org/officeDocument/2006/relationships/hyperlink" Target="https://dart.fss.or.kr/dsaf001/main.do?rcpNo=20260306901656" TargetMode="External" Id="rId21"/><Relationship Type="http://schemas.openxmlformats.org/officeDocument/2006/relationships/hyperlink" Target="https://dart.fss.or.kr/dsaf001/main.do?rcpNo=20260306901622" TargetMode="External" Id="rId22"/><Relationship Type="http://schemas.openxmlformats.org/officeDocument/2006/relationships/hyperlink" Target="https://dart.fss.or.kr/dsaf001/main.do?rcpNo=20260306900101" TargetMode="External" Id="rId23"/><Relationship Type="http://schemas.openxmlformats.org/officeDocument/2006/relationships/hyperlink" Target="https://dart.fss.or.kr/dsaf001/main.do?rcpNo=20260306001031" TargetMode="External" Id="rId24"/><Relationship Type="http://schemas.openxmlformats.org/officeDocument/2006/relationships/hyperlink" Target="https://dart.fss.or.kr/dsaf001/main.do?rcpNo=20260306001010" TargetMode="External" Id="rId25"/><Relationship Type="http://schemas.openxmlformats.org/officeDocument/2006/relationships/hyperlink" Target="https://dart.fss.or.kr/dsaf001/main.do?rcpNo=20260226900524" TargetMode="External" Id="rId26"/><Relationship Type="http://schemas.openxmlformats.org/officeDocument/2006/relationships/hyperlink" Target="https://dart.fss.or.kr/dsaf001/main.do?rcpNo=20260209900347" TargetMode="External" Id="rId27"/><Relationship Type="http://schemas.openxmlformats.org/officeDocument/2006/relationships/hyperlink" Target="https://dart.fss.or.kr/dsaf001/main.do?rcpNo=20260123900862" TargetMode="External" Id="rId28"/><Relationship Type="http://schemas.openxmlformats.org/officeDocument/2006/relationships/hyperlink" Target="https://dart.fss.or.kr/dsaf001/main.do?rcpNo=20260113900255" TargetMode="External" Id="rId29"/><Relationship Type="http://schemas.openxmlformats.org/officeDocument/2006/relationships/hyperlink" Target="https://dart.fss.or.kr/dsaf001/main.do?rcpNo=20251216900331" TargetMode="External" Id="rId30"/><Relationship Type="http://schemas.openxmlformats.org/officeDocument/2006/relationships/hyperlink" Target="https://dart.fss.or.kr/dsaf001/main.do?rcpNo=20251216900326" TargetMode="External" Id="rId31"/><Relationship Type="http://schemas.openxmlformats.org/officeDocument/2006/relationships/hyperlink" Target="https://dart.fss.or.kr/dsaf001/main.do?rcpNo=20251209900287" TargetMode="External" Id="rId32"/><Relationship Type="http://schemas.openxmlformats.org/officeDocument/2006/relationships/hyperlink" Target="https://dart.fss.or.kr/dsaf001/main.do?rcpNo=20251204000457" TargetMode="External" Id="rId33"/><Relationship Type="http://schemas.openxmlformats.org/officeDocument/2006/relationships/hyperlink" Target="https://dart.fss.or.kr/dsaf001/main.do?rcpNo=20251120900113" TargetMode="External" Id="rId34"/><Relationship Type="http://schemas.openxmlformats.org/officeDocument/2006/relationships/hyperlink" Target="https://dart.fss.or.kr/dsaf001/main.do?rcpNo=20251119900403" TargetMode="External" Id="rId35"/><Relationship Type="http://schemas.openxmlformats.org/officeDocument/2006/relationships/hyperlink" Target="https://dart.fss.or.kr/dsaf001/main.do?rcpNo=20251117900449" TargetMode="External" Id="rId36"/><Relationship Type="http://schemas.openxmlformats.org/officeDocument/2006/relationships/hyperlink" Target="https://dart.fss.or.kr/dsaf001/main.do?rcpNo=20251114001717" TargetMode="External" Id="rId37"/><Relationship Type="http://schemas.openxmlformats.org/officeDocument/2006/relationships/hyperlink" Target="https://dart.fss.or.kr/dsaf001/main.do?rcpNo=20251015900155" TargetMode="External" Id="rId38"/><Relationship Type="http://schemas.openxmlformats.org/officeDocument/2006/relationships/hyperlink" Target="https://dart.fss.or.kr/dsaf001/main.do?rcpNo=20251001000194" TargetMode="External" Id="rId39"/><Relationship Type="http://schemas.openxmlformats.org/officeDocument/2006/relationships/hyperlink" Target="https://dart.fss.or.kr/dsaf001/main.do?rcpNo=20250818900087" TargetMode="External" Id="rId40"/><Relationship Type="http://schemas.openxmlformats.org/officeDocument/2006/relationships/hyperlink" Target="https://dart.fss.or.kr/dsaf001/main.do?rcpNo=20250814004488" TargetMode="External" Id="rId41"/><Relationship Type="http://schemas.openxmlformats.org/officeDocument/2006/relationships/hyperlink" Target="https://dart.fss.or.kr/dsaf001/main.do?rcpNo=20250814003280" TargetMode="External" Id="rId42"/><Relationship Type="http://schemas.openxmlformats.org/officeDocument/2006/relationships/hyperlink" Target="https://dart.fss.or.kr/dsaf001/main.do?rcpNo=20250808000447" TargetMode="External" Id="rId43"/><Relationship Type="http://schemas.openxmlformats.org/officeDocument/2006/relationships/hyperlink" Target="https://dart.fss.or.kr/dsaf001/main.do?rcpNo=20250626900769" TargetMode="External" Id="rId44"/><Relationship Type="http://schemas.openxmlformats.org/officeDocument/2006/relationships/hyperlink" Target="https://dart.fss.or.kr/dsaf001/main.do?rcpNo=20250515000303" TargetMode="External" Id="rId45"/><Relationship Type="http://schemas.openxmlformats.org/officeDocument/2006/relationships/hyperlink" Target="https://dart.fss.or.kr/dsaf001/main.do?rcpNo=20250402003357" TargetMode="External" Id="rId46"/><Relationship Type="http://schemas.openxmlformats.org/officeDocument/2006/relationships/hyperlink" Target="https://dart.fss.or.kr/dsaf001/main.do?rcpNo=20250331903099" TargetMode="External" Id="rId47"/><Relationship Type="http://schemas.openxmlformats.org/officeDocument/2006/relationships/hyperlink" Target="https://dart.fss.or.kr/dsaf001/main.do?rcpNo=20250321001916" TargetMode="External" Id="rId48"/><Relationship Type="http://schemas.openxmlformats.org/officeDocument/2006/relationships/hyperlink" Target="https://dart.fss.or.kr/dsaf001/main.do?rcpNo=20250320902415" TargetMode="External" Id="rId49"/><Relationship Type="http://schemas.openxmlformats.org/officeDocument/2006/relationships/hyperlink" Target="https://dart.fss.or.kr/dsaf001/main.do?rcpNo=20250317900151" TargetMode="External" Id="rId50"/><Relationship Type="http://schemas.openxmlformats.org/officeDocument/2006/relationships/hyperlink" Target="https://dart.fss.or.kr/dsaf001/main.do?rcpNo=20250317000193" TargetMode="External" Id="rId51"/><Relationship Type="http://schemas.openxmlformats.org/officeDocument/2006/relationships/hyperlink" Target="https://dart.fss.or.kr/dsaf001/main.do?rcpNo=20250317000174" TargetMode="External" Id="rId52"/><Relationship Type="http://schemas.openxmlformats.org/officeDocument/2006/relationships/hyperlink" Target="https://dart.fss.or.kr/dsaf001/main.do?rcpNo=20250131000278" TargetMode="External" Id="rId53"/><Relationship Type="http://schemas.openxmlformats.org/officeDocument/2006/relationships/hyperlink" Target="https://dart.fss.or.kr/dsaf001/main.do?rcpNo=20250120900973" TargetMode="External" Id="rId54"/><Relationship Type="http://schemas.openxmlformats.org/officeDocument/2006/relationships/hyperlink" Target="https://dart.fss.or.kr/dsaf001/main.do?rcpNo=20250107000318" TargetMode="External" Id="rId55"/><Relationship Type="http://schemas.openxmlformats.org/officeDocument/2006/relationships/hyperlink" Target="https://dart.fss.or.kr/dsaf001/main.do?rcpNo=20241216901247" TargetMode="External" Id="rId56"/><Relationship Type="http://schemas.openxmlformats.org/officeDocument/2006/relationships/hyperlink" Target="https://dart.fss.or.kr/dsaf001/main.do?rcpNo=20241216901231" TargetMode="External" Id="rId57"/><Relationship Type="http://schemas.openxmlformats.org/officeDocument/2006/relationships/hyperlink" Target="https://dart.fss.or.kr/dsaf001/main.do?rcpNo=20241114001280" TargetMode="External" Id="rId58"/><Relationship Type="http://schemas.openxmlformats.org/officeDocument/2006/relationships/hyperlink" Target="https://dart.fss.or.kr/dsaf001/main.do?rcpNo=20241028000354" TargetMode="External" Id="rId59"/><Relationship Type="http://schemas.openxmlformats.org/officeDocument/2006/relationships/hyperlink" Target="https://dart.fss.or.kr/dsaf001/main.do?rcpNo=20241010900625" TargetMode="External" Id="rId60"/><Relationship Type="http://schemas.openxmlformats.org/officeDocument/2006/relationships/hyperlink" Target="https://dart.fss.or.kr/dsaf001/main.do?rcpNo=20241010000035" TargetMode="External" Id="rId61"/><Relationship Type="http://schemas.openxmlformats.org/officeDocument/2006/relationships/hyperlink" Target="https://dart.fss.or.kr/dsaf001/main.do?rcpNo=20241002900733" TargetMode="External" Id="rId62"/><Relationship Type="http://schemas.openxmlformats.org/officeDocument/2006/relationships/hyperlink" Target="https://dart.fss.or.kr/dsaf001/main.do?rcpNo=20240814004592" TargetMode="External" Id="rId63"/><Relationship Type="http://schemas.openxmlformats.org/officeDocument/2006/relationships/hyperlink" Target="https://dart.fss.or.kr/dsaf001/main.do?rcpNo=20240731900638" TargetMode="External" Id="rId64"/><Relationship Type="http://schemas.openxmlformats.org/officeDocument/2006/relationships/hyperlink" Target="https://dart.fss.or.kr/dsaf001/main.do?rcpNo=20240724000110" TargetMode="External" Id="rId65"/><Relationship Type="http://schemas.openxmlformats.org/officeDocument/2006/relationships/hyperlink" Target="https://dart.fss.or.kr/dsaf001/main.do?rcpNo=20240712000538" TargetMode="External" Id="rId66"/><Relationship Type="http://schemas.openxmlformats.org/officeDocument/2006/relationships/hyperlink" Target="https://dart.fss.or.kr/dsaf001/main.do?rcpNo=20240710000340" TargetMode="External" Id="rId67"/><Relationship Type="http://schemas.openxmlformats.org/officeDocument/2006/relationships/hyperlink" Target="https://dart.fss.or.kr/dsaf001/main.do?rcpNo=20240516001920" TargetMode="External" Id="rId68"/><Relationship Type="http://schemas.openxmlformats.org/officeDocument/2006/relationships/hyperlink" Target="https://dart.fss.or.kr/dsaf001/main.do?rcpNo=20240430901334" TargetMode="External" Id="rId69"/><Relationship Type="http://schemas.openxmlformats.org/officeDocument/2006/relationships/hyperlink" Target="https://dart.fss.or.kr/dsaf001/main.do?rcpNo=20240417000466" TargetMode="External" Id="rId70"/><Relationship Type="http://schemas.openxmlformats.org/officeDocument/2006/relationships/hyperlink" Target="https://dart.fss.or.kr/dsaf001/main.do?rcpNo=20240417000462" TargetMode="External" Id="rId71"/><Relationship Type="http://schemas.openxmlformats.org/officeDocument/2006/relationships/hyperlink" Target="https://dart.fss.or.kr/dsaf001/main.do?rcpNo=20240417000454" TargetMode="External" Id="rId72"/><Relationship Type="http://schemas.openxmlformats.org/officeDocument/2006/relationships/hyperlink" Target="https://dart.fss.or.kr/dsaf001/main.do?rcpNo=20240417000442" TargetMode="External" Id="rId73"/><Relationship Type="http://schemas.openxmlformats.org/officeDocument/2006/relationships/hyperlink" Target="https://dart.fss.or.kr/dsaf001/main.do?rcpNo=20240409002076" TargetMode="External" Id="rId74"/><Relationship Type="http://schemas.openxmlformats.org/officeDocument/2006/relationships/hyperlink" Target="https://dart.fss.or.kr/dsaf001/main.do?rcpNo=20240404003222" TargetMode="External" Id="rId75"/><Relationship Type="http://schemas.openxmlformats.org/officeDocument/2006/relationships/hyperlink" Target="https://dart.fss.or.kr/dsaf001/main.do?rcpNo=20240328902332" TargetMode="External" Id="rId76"/><Relationship Type="http://schemas.openxmlformats.org/officeDocument/2006/relationships/hyperlink" Target="https://dart.fss.or.kr/dsaf001/main.do?rcpNo=20240320902427" TargetMode="External" Id="rId77"/><Relationship Type="http://schemas.openxmlformats.org/officeDocument/2006/relationships/hyperlink" Target="https://dart.fss.or.kr/dsaf001/main.do?rcpNo=20240320001916" TargetMode="External" Id="rId78"/><Relationship Type="http://schemas.openxmlformats.org/officeDocument/2006/relationships/hyperlink" Target="https://dart.fss.or.kr/dsaf001/main.do?rcpNo=20240312901332" TargetMode="External" Id="rId79"/><Relationship Type="http://schemas.openxmlformats.org/officeDocument/2006/relationships/hyperlink" Target="https://dart.fss.or.kr/dsaf001/main.do?rcpNo=20240312000961" TargetMode="External" Id="rId80"/><Relationship Type="http://schemas.openxmlformats.org/officeDocument/2006/relationships/hyperlink" Target="https://dart.fss.or.kr/dsaf001/main.do?rcpNo=20240312000939" TargetMode="External" Id="rId81"/><Relationship Type="http://schemas.openxmlformats.org/officeDocument/2006/relationships/hyperlink" Target="https://dart.fss.or.kr/dsaf001/main.do?rcpNo=20240205901027" TargetMode="External" Id="rId82"/><Relationship Type="http://schemas.openxmlformats.org/officeDocument/2006/relationships/hyperlink" Target="https://dart.fss.or.kr/dsaf001/main.do?rcpNo=20240110000262" TargetMode="External" Id="rId83"/><Relationship Type="http://schemas.openxmlformats.org/officeDocument/2006/relationships/hyperlink" Target="https://dart.fss.or.kr/dsaf001/main.do?rcpNo=20240105000098" TargetMode="External" Id="rId84"/><Relationship Type="http://schemas.openxmlformats.org/officeDocument/2006/relationships/hyperlink" Target="https://dart.fss.or.kr/dsaf001/main.do?rcpNo=20231218000029" TargetMode="External" Id="rId85"/><Relationship Type="http://schemas.openxmlformats.org/officeDocument/2006/relationships/hyperlink" Target="https://dart.fss.or.kr/dsaf001/main.do?rcpNo=20231218000028" TargetMode="External" Id="rId86"/><Relationship Type="http://schemas.openxmlformats.org/officeDocument/2006/relationships/hyperlink" Target="https://dart.fss.or.kr/dsaf001/main.do?rcpNo=20231214901132" TargetMode="External" Id="rId87"/><Relationship Type="http://schemas.openxmlformats.org/officeDocument/2006/relationships/hyperlink" Target="https://dart.fss.or.kr/dsaf001/main.do?rcpNo=20231214901125" TargetMode="External" Id="rId88"/><Relationship Type="http://schemas.openxmlformats.org/officeDocument/2006/relationships/hyperlink" Target="https://dart.fss.or.kr/dsaf001/main.do?rcpNo=20231114002978" TargetMode="External" Id="rId89"/><Relationship Type="http://schemas.openxmlformats.org/officeDocument/2006/relationships/hyperlink" Target="https://dart.fss.or.kr/dsaf001/main.do?rcpNo=20231010000179" TargetMode="External" Id="rId90"/><Relationship Type="http://schemas.openxmlformats.org/officeDocument/2006/relationships/hyperlink" Target="https://dart.fss.or.kr/dsaf001/main.do?rcpNo=20230918900407" TargetMode="External" Id="rId91"/><Relationship Type="http://schemas.openxmlformats.org/officeDocument/2006/relationships/hyperlink" Target="https://dart.fss.or.kr/dsaf001/main.do?rcpNo=20230811002626" TargetMode="External" Id="rId92"/><Relationship Type="http://schemas.openxmlformats.org/officeDocument/2006/relationships/hyperlink" Target="https://dart.fss.or.kr/dsaf001/main.do?rcpNo=20230712000448" TargetMode="External" Id="rId93"/><Relationship Type="http://schemas.openxmlformats.org/officeDocument/2006/relationships/hyperlink" Target="https://dart.fss.or.kr/dsaf001/main.do?rcpNo=20230706000229" TargetMode="External" Id="rId94"/><Relationship Type="http://schemas.openxmlformats.org/officeDocument/2006/relationships/hyperlink" Target="https://dart.fss.or.kr/dsaf001/main.do?rcpNo=20230703900282" TargetMode="External" Id="rId95"/><Relationship Type="http://schemas.openxmlformats.org/officeDocument/2006/relationships/hyperlink" Target="https://dart.fss.or.kr/dsaf001/main.do?rcpNo=20230623000283" TargetMode="External" Id="rId96"/><Relationship Type="http://schemas.openxmlformats.org/officeDocument/2006/relationships/hyperlink" Target="https://dart.fss.or.kr/dsaf001/main.do?rcpNo=20230623000281" TargetMode="External" Id="rId97"/><Relationship Type="http://schemas.openxmlformats.org/officeDocument/2006/relationships/hyperlink" Target="https://dart.fss.or.kr/dsaf001/main.do?rcpNo=20230515002772" TargetMode="External" Id="rId98"/><Relationship Type="http://schemas.openxmlformats.org/officeDocument/2006/relationships/hyperlink" Target="https://dart.fss.or.kr/dsaf001/main.do?rcpNo=20230411003002" TargetMode="External" Id="rId99"/><Relationship Type="http://schemas.openxmlformats.org/officeDocument/2006/relationships/hyperlink" Target="https://dart.fss.or.kr/dsaf001/main.do?rcpNo=20230405003213" TargetMode="External" Id="rId100"/><Relationship Type="http://schemas.openxmlformats.org/officeDocument/2006/relationships/hyperlink" Target="https://dart.fss.or.kr/dsaf001/main.do?rcpNo=20230330900776" TargetMode="External" Id="rId101"/><Relationship Type="http://schemas.openxmlformats.org/officeDocument/2006/relationships/hyperlink" Target="https://dart.fss.or.kr/dsaf001/main.do?rcpNo=20230330000720" TargetMode="External" Id="rId102"/><Relationship Type="http://schemas.openxmlformats.org/officeDocument/2006/relationships/hyperlink" Target="https://dart.fss.or.kr/dsaf001/main.do?rcpNo=20230321900845" TargetMode="External" Id="rId103"/><Relationship Type="http://schemas.openxmlformats.org/officeDocument/2006/relationships/hyperlink" Target="https://dart.fss.or.kr/dsaf001/main.do?rcpNo=20230321001247" TargetMode="External" Id="rId104"/><Relationship Type="http://schemas.openxmlformats.org/officeDocument/2006/relationships/hyperlink" Target="https://dart.fss.or.kr/dsaf001/main.do?rcpNo=20230317901300" TargetMode="External" Id="rId105"/><Relationship Type="http://schemas.openxmlformats.org/officeDocument/2006/relationships/hyperlink" Target="https://dart.fss.or.kr/dsaf001/main.do?rcpNo=20230309901349" TargetMode="External" Id="rId106"/><Relationship Type="http://schemas.openxmlformats.org/officeDocument/2006/relationships/hyperlink" Target="https://dart.fss.or.kr/dsaf001/main.do?rcpNo=20230309000850" TargetMode="External" Id="rId107"/><Relationship Type="http://schemas.openxmlformats.org/officeDocument/2006/relationships/hyperlink" Target="https://dart.fss.or.kr/dsaf001/main.do?rcpNo=20230309000814" TargetMode="External" Id="rId108"/><Relationship Type="http://schemas.openxmlformats.org/officeDocument/2006/relationships/hyperlink" Target="https://dart.fss.or.kr/dsaf001/main.do?rcpNo=20230306900832" TargetMode="External" Id="rId109"/><Relationship Type="http://schemas.openxmlformats.org/officeDocument/2006/relationships/hyperlink" Target="https://dart.fss.or.kr/dsaf001/main.do?rcpNo=20230306900829" TargetMode="External" Id="rId110"/><Relationship Type="http://schemas.openxmlformats.org/officeDocument/2006/relationships/hyperlink" Target="https://dart.fss.or.kr/dsaf001/main.do?rcpNo=20230306000482" TargetMode="External" Id="rId111"/><Relationship Type="http://schemas.openxmlformats.org/officeDocument/2006/relationships/hyperlink" Target="https://dart.fss.or.kr/dsaf001/main.do?rcpNo=20230306000478" TargetMode="External" Id="rId112"/><Relationship Type="http://schemas.openxmlformats.org/officeDocument/2006/relationships/hyperlink" Target="https://dart.fss.or.kr/dsaf001/main.do?rcpNo=20230206901166" TargetMode="External" Id="rId113"/><Relationship Type="http://schemas.openxmlformats.org/officeDocument/2006/relationships/hyperlink" Target="https://dart.fss.or.kr/dsaf001/main.do?rcpNo=20230125900634" TargetMode="External" Id="rId114"/><Relationship Type="http://schemas.openxmlformats.org/officeDocument/2006/relationships/hyperlink" Target="https://dart.fss.or.kr/dsaf001/main.do?rcpNo=20230125000238" TargetMode="External" Id="rId115"/><Relationship Type="http://schemas.openxmlformats.org/officeDocument/2006/relationships/hyperlink" Target="https://dart.fss.or.kr/dsaf001/main.do?rcpNo=20230112000231" TargetMode="External" Id="rId116"/><Relationship Type="http://schemas.openxmlformats.org/officeDocument/2006/relationships/hyperlink" Target="https://dart.fss.or.kr/dsaf001/main.do?rcpNo=20230109000192" TargetMode="External" Id="rId117"/><Relationship Type="http://schemas.openxmlformats.org/officeDocument/2006/relationships/hyperlink" Target="https://dart.fss.or.kr/dsaf001/main.do?rcpNo=20230106000616" TargetMode="External" Id="rId118"/><Relationship Type="http://schemas.openxmlformats.org/officeDocument/2006/relationships/hyperlink" Target="https://dart.fss.or.kr/dsaf001/main.do?rcpNo=20221216900584" TargetMode="External" Id="rId119"/><Relationship Type="http://schemas.openxmlformats.org/officeDocument/2006/relationships/hyperlink" Target="https://dart.fss.or.kr/dsaf001/main.do?rcpNo=20221216900576" TargetMode="External" Id="rId120"/><Relationship Type="http://schemas.openxmlformats.org/officeDocument/2006/relationships/hyperlink" Target="https://dart.fss.or.kr/dsaf001/main.do?rcpNo=20221111001037" TargetMode="External" Id="rId121"/><Relationship Type="http://schemas.openxmlformats.org/officeDocument/2006/relationships/hyperlink" Target="https://dart.fss.or.kr/dsaf001/main.do?rcpNo=20221028000463" TargetMode="External" Id="rId122"/><Relationship Type="http://schemas.openxmlformats.org/officeDocument/2006/relationships/hyperlink" Target="https://dart.fss.or.kr/dsaf001/main.do?rcpNo=20221005000066" TargetMode="External" Id="rId123"/><Relationship Type="http://schemas.openxmlformats.org/officeDocument/2006/relationships/hyperlink" Target="https://dart.fss.or.kr/dsaf001/main.do?rcpNo=20220829900131" TargetMode="External" Id="rId124"/><Relationship Type="http://schemas.openxmlformats.org/officeDocument/2006/relationships/hyperlink" Target="https://dart.fss.or.kr/dsaf001/main.do?rcpNo=20220816001114" TargetMode="External" Id="rId125"/><Relationship Type="http://schemas.openxmlformats.org/officeDocument/2006/relationships/hyperlink" Target="https://dart.fss.or.kr/dsaf001/main.do?rcpNo=20220725000051" TargetMode="External" Id="rId126"/><Relationship Type="http://schemas.openxmlformats.org/officeDocument/2006/relationships/hyperlink" Target="https://dart.fss.or.kr/dsaf001/main.do?rcpNo=20220707000547" TargetMode="External" Id="rId127"/><Relationship Type="http://schemas.openxmlformats.org/officeDocument/2006/relationships/hyperlink" Target="https://dart.fss.or.kr/dsaf001/main.do?rcpNo=20220616900309" TargetMode="External" Id="rId128"/><Relationship Type="http://schemas.openxmlformats.org/officeDocument/2006/relationships/hyperlink" Target="https://dart.fss.or.kr/dsaf001/main.do?rcpNo=20220615900136" TargetMode="External" Id="rId129"/><Relationship Type="http://schemas.openxmlformats.org/officeDocument/2006/relationships/hyperlink" Target="https://dart.fss.or.kr/dsaf001/main.do?rcpNo=20220516001397" TargetMode="External" Id="rId130"/><Relationship Type="http://schemas.openxmlformats.org/officeDocument/2006/relationships/hyperlink" Target="https://dart.fss.or.kr/dsaf001/main.do?rcpNo=20220415000422" TargetMode="External" Id="rId131"/><Relationship Type="http://schemas.openxmlformats.org/officeDocument/2006/relationships/hyperlink" Target="https://dart.fss.or.kr/dsaf001/main.do?rcpNo=20220415000420" TargetMode="External" Id="rId132"/><Relationship Type="http://schemas.openxmlformats.org/officeDocument/2006/relationships/hyperlink" Target="https://dart.fss.or.kr/dsaf001/main.do?rcpNo=20220415000415" TargetMode="External" Id="rId133"/><Relationship Type="http://schemas.openxmlformats.org/officeDocument/2006/relationships/hyperlink" Target="https://dart.fss.or.kr/dsaf001/main.do?rcpNo=20220404002572" TargetMode="External" Id="rId134"/><Relationship Type="http://schemas.openxmlformats.org/officeDocument/2006/relationships/hyperlink" Target="https://dart.fss.or.kr/dsaf001/main.do?rcpNo=20220328900844" TargetMode="External" Id="rId135"/><Relationship Type="http://schemas.openxmlformats.org/officeDocument/2006/relationships/hyperlink" Target="https://dart.fss.or.kr/dsaf001/main.do?rcpNo=20220318000421" TargetMode="External" Id="rId136"/><Relationship Type="http://schemas.openxmlformats.org/officeDocument/2006/relationships/hyperlink" Target="https://dart.fss.or.kr/dsaf001/main.do?rcpNo=20220315901857" TargetMode="External" Id="rId137"/><Relationship Type="http://schemas.openxmlformats.org/officeDocument/2006/relationships/hyperlink" Target="https://dart.fss.or.kr/dsaf001/main.do?rcpNo=20220304900309" TargetMode="External" Id="rId138"/><Relationship Type="http://schemas.openxmlformats.org/officeDocument/2006/relationships/hyperlink" Target="https://dart.fss.or.kr/dsaf001/main.do?rcpNo=20220304000237" TargetMode="External" Id="rId139"/><Relationship Type="http://schemas.openxmlformats.org/officeDocument/2006/relationships/hyperlink" Target="https://dart.fss.or.kr/dsaf001/main.do?rcpNo=20220304000221" TargetMode="External" Id="rId140"/><Relationship Type="http://schemas.openxmlformats.org/officeDocument/2006/relationships/hyperlink" Target="https://dart.fss.or.kr/dsaf001/main.do?rcpNo=20220302900643" TargetMode="External" Id="rId141"/><Relationship Type="http://schemas.openxmlformats.org/officeDocument/2006/relationships/hyperlink" Target="https://dart.fss.or.kr/dsaf001/main.do?rcpNo=20220204900435" TargetMode="External" Id="rId142"/><Relationship Type="http://schemas.openxmlformats.org/officeDocument/2006/relationships/hyperlink" Target="https://dart.fss.or.kr/dsaf001/main.do?rcpNo=20220204900423" TargetMode="External" Id="rId143"/><Relationship Type="http://schemas.openxmlformats.org/officeDocument/2006/relationships/hyperlink" Target="https://dart.fss.or.kr/dsaf001/main.do?rcpNo=20220127900197" TargetMode="External" Id="rId144"/><Relationship Type="http://schemas.openxmlformats.org/officeDocument/2006/relationships/hyperlink" Target="https://dart.fss.or.kr/dsaf001/main.do?rcpNo=20220127000359" TargetMode="External" Id="rId145"/><Relationship Type="http://schemas.openxmlformats.org/officeDocument/2006/relationships/hyperlink" Target="https://dart.fss.or.kr/dsaf001/main.do?rcpNo=20211216901305" TargetMode="External" Id="rId146"/><Relationship Type="http://schemas.openxmlformats.org/officeDocument/2006/relationships/hyperlink" Target="https://dart.fss.or.kr/dsaf001/main.do?rcpNo=20211216901302" TargetMode="External" Id="rId147"/><Relationship Type="http://schemas.openxmlformats.org/officeDocument/2006/relationships/hyperlink" Target="https://dart.fss.or.kr/dsaf001/main.do?rcpNo=20211117900354" TargetMode="External" Id="rId148"/><Relationship Type="http://schemas.openxmlformats.org/officeDocument/2006/relationships/hyperlink" Target="https://dart.fss.or.kr/dsaf001/main.do?rcpNo=20211115000114" TargetMode="External" Id="rId149"/><Relationship Type="http://schemas.openxmlformats.org/officeDocument/2006/relationships/hyperlink" Target="https://dart.fss.or.kr/dsaf001/main.do?rcpNo=20211007900593" TargetMode="External" Id="rId150"/><Relationship Type="http://schemas.openxmlformats.org/officeDocument/2006/relationships/hyperlink" Target="https://dart.fss.or.kr/dsaf001/main.do?rcpNo=20211007900590" TargetMode="External" Id="rId151"/><Relationship Type="http://schemas.openxmlformats.org/officeDocument/2006/relationships/hyperlink" Target="https://dart.fss.or.kr/dsaf001/main.do?rcpNo=20211005000071" TargetMode="External" Id="rId152"/><Relationship Type="http://schemas.openxmlformats.org/officeDocument/2006/relationships/hyperlink" Target="https://dart.fss.or.kr/dsaf001/main.do?rcpNo=20210817002183" TargetMode="External" Id="rId153"/><Relationship Type="http://schemas.openxmlformats.org/officeDocument/2006/relationships/hyperlink" Target="https://dart.fss.or.kr/dsaf001/main.do?rcpNo=20210813001133" TargetMode="External" Id="rId154"/><Relationship Type="http://schemas.openxmlformats.org/officeDocument/2006/relationships/hyperlink" Target="https://dart.fss.or.kr/dsaf001/main.do?rcpNo=20210712900530" TargetMode="External" Id="rId155"/><Relationship Type="http://schemas.openxmlformats.org/officeDocument/2006/relationships/hyperlink" Target="https://dart.fss.or.kr/dsaf001/main.do?rcpNo=20210712900524" TargetMode="External" Id="rId156"/><Relationship Type="http://schemas.openxmlformats.org/officeDocument/2006/relationships/hyperlink" Target="https://dart.fss.or.kr/dsaf001/main.do?rcpNo=20210705000086" TargetMode="External" Id="rId157"/><Relationship Type="http://schemas.openxmlformats.org/officeDocument/2006/relationships/hyperlink" Target="https://dart.fss.or.kr/dsaf001/main.do?rcpNo=20210601900246" TargetMode="External" Id="rId158"/><Relationship Type="http://schemas.openxmlformats.org/officeDocument/2006/relationships/hyperlink" Target="https://dart.fss.or.kr/dsaf001/main.do?rcpNo=20210528900170" TargetMode="External" Id="rId159"/><Relationship Type="http://schemas.openxmlformats.org/officeDocument/2006/relationships/hyperlink" Target="https://dart.fss.or.kr/dsaf001/main.do?rcpNo=20210517001455" TargetMode="External" Id="rId160"/><Relationship Type="http://schemas.openxmlformats.org/officeDocument/2006/relationships/hyperlink" Target="https://dart.fss.or.kr/dsaf001/main.do?rcpNo=20210430900416" TargetMode="External" Id="rId161"/><Relationship Type="http://schemas.openxmlformats.org/officeDocument/2006/relationships/hyperlink" Target="https://dart.fss.or.kr/dsaf001/main.do?rcpNo=20210427000095" TargetMode="External" Id="rId162"/><Relationship Type="http://schemas.openxmlformats.org/officeDocument/2006/relationships/hyperlink" Target="https://dart.fss.or.kr/dsaf001/main.do?rcpNo=20210421900496" TargetMode="External" Id="rId163"/><Relationship Type="http://schemas.openxmlformats.org/officeDocument/2006/relationships/hyperlink" Target="https://dart.fss.or.kr/dsaf001/main.do?rcpNo=20210405002438" TargetMode="External" Id="rId164"/><Relationship Type="http://schemas.openxmlformats.org/officeDocument/2006/relationships/hyperlink" Target="https://dart.fss.or.kr/dsaf001/main.do?rcpNo=20210405002319" TargetMode="External" Id="rId165"/><Relationship Type="http://schemas.openxmlformats.org/officeDocument/2006/relationships/hyperlink" Target="https://dart.fss.or.kr/dsaf001/main.do?rcpNo=20210329900832" TargetMode="External" Id="rId166"/><Relationship Type="http://schemas.openxmlformats.org/officeDocument/2006/relationships/hyperlink" Target="https://dart.fss.or.kr/dsaf001/main.do?rcpNo=20210329900793" TargetMode="External" Id="rId167"/><Relationship Type="http://schemas.openxmlformats.org/officeDocument/2006/relationships/hyperlink" Target="https://dart.fss.or.kr/dsaf001/main.do?rcpNo=20210319001008" TargetMode="External" Id="rId168"/><Relationship Type="http://schemas.openxmlformats.org/officeDocument/2006/relationships/hyperlink" Target="https://dart.fss.or.kr/dsaf001/main.do?rcpNo=20210318901037" TargetMode="External" Id="rId169"/><Relationship Type="http://schemas.openxmlformats.org/officeDocument/2006/relationships/hyperlink" Target="https://dart.fss.or.kr/dsaf001/main.do?rcpNo=20210312900157" TargetMode="External" Id="rId170"/><Relationship Type="http://schemas.openxmlformats.org/officeDocument/2006/relationships/hyperlink" Target="https://dart.fss.or.kr/dsaf001/main.do?rcpNo=20210312000244" TargetMode="External" Id="rId171"/><Relationship Type="http://schemas.openxmlformats.org/officeDocument/2006/relationships/hyperlink" Target="https://dart.fss.or.kr/dsaf001/main.do?rcpNo=20210312000164" TargetMode="External" Id="rId172"/><Relationship Type="http://schemas.openxmlformats.org/officeDocument/2006/relationships/hyperlink" Target="https://dart.fss.or.kr/dsaf001/main.do?rcpNo=20210226900632" TargetMode="External" Id="rId173"/><Relationship Type="http://schemas.openxmlformats.org/officeDocument/2006/relationships/hyperlink" Target="https://dart.fss.or.kr/dsaf001/main.do?rcpNo=20210226004017" TargetMode="External" Id="rId174"/><Relationship Type="http://schemas.openxmlformats.org/officeDocument/2006/relationships/hyperlink" Target="https://dart.fss.or.kr/dsaf001/main.do?rcpNo=20210226003985" TargetMode="External" Id="rId175"/><Relationship Type="http://schemas.openxmlformats.org/officeDocument/2006/relationships/hyperlink" Target="https://dart.fss.or.kr/dsaf001/main.do?rcpNo=20210128000465" TargetMode="External" Id="rId176"/><Relationship Type="http://schemas.openxmlformats.org/officeDocument/2006/relationships/hyperlink" Target="https://dart.fss.or.kr/dsaf001/main.do?rcpNo=20210119900132" TargetMode="External" Id="rId177"/><Relationship Type="http://schemas.openxmlformats.org/officeDocument/2006/relationships/hyperlink" Target="https://dart.fss.or.kr/dsaf001/main.do?rcpNo=20210108000870" TargetMode="External" Id="rId178"/><Relationship Type="http://schemas.openxmlformats.org/officeDocument/2006/relationships/hyperlink" Target="https://dart.fss.or.kr/dsaf001/main.do?rcpNo=20210108000861" TargetMode="External" Id="rId179"/><Relationship Type="http://schemas.openxmlformats.org/officeDocument/2006/relationships/hyperlink" Target="https://dart.fss.or.kr/dsaf001/main.do?rcpNo=20210108000844" TargetMode="External" Id="rId180"/><Relationship Type="http://schemas.openxmlformats.org/officeDocument/2006/relationships/hyperlink" Target="https://dart.fss.or.kr/dsaf001/main.do?rcpNo=20210108000811" TargetMode="External" Id="rId181"/><Relationship Type="http://schemas.openxmlformats.org/officeDocument/2006/relationships/hyperlink" Target="https://dart.fss.or.kr/dsaf001/main.do?rcpNo=20210108000748" TargetMode="External" Id="rId182"/><Relationship Type="http://schemas.openxmlformats.org/officeDocument/2006/relationships/hyperlink" Target="https://dart.fss.or.kr/dsaf001/main.do?rcpNo=20201229900144" TargetMode="External" Id="rId183"/><Relationship Type="http://schemas.openxmlformats.org/officeDocument/2006/relationships/hyperlink" Target="https://dart.fss.or.kr/dsaf001/main.do?rcpNo=20201221900605" TargetMode="External" Id="rId184"/><Relationship Type="http://schemas.openxmlformats.org/officeDocument/2006/relationships/hyperlink" Target="https://dart.fss.or.kr/dsaf001/main.do?rcpNo=20201214900417" TargetMode="External" Id="rId185"/><Relationship Type="http://schemas.openxmlformats.org/officeDocument/2006/relationships/hyperlink" Target="https://dart.fss.or.kr/dsaf001/main.do?rcpNo=20201116001194" TargetMode="External" Id="rId186"/><Relationship Type="http://schemas.openxmlformats.org/officeDocument/2006/relationships/hyperlink" Target="https://dart.fss.or.kr/dsaf001/main.do?rcpNo=20201023900376" TargetMode="External" Id="rId187"/><Relationship Type="http://schemas.openxmlformats.org/officeDocument/2006/relationships/hyperlink" Target="https://dart.fss.or.kr/dsaf001/main.do?rcpNo=20201007000109" TargetMode="External" Id="rId188"/><Relationship Type="http://schemas.openxmlformats.org/officeDocument/2006/relationships/hyperlink" Target="https://dart.fss.or.kr/dsaf001/main.do?rcpNo=20201007000104" TargetMode="External" Id="rId189"/><Relationship Type="http://schemas.openxmlformats.org/officeDocument/2006/relationships/hyperlink" Target="https://dart.fss.or.kr/dsaf001/main.do?rcpNo=20200929900579" TargetMode="External" Id="rId190"/><Relationship Type="http://schemas.openxmlformats.org/officeDocument/2006/relationships/hyperlink" Target="https://dart.fss.or.kr/dsaf001/main.do?rcpNo=20200928000237" TargetMode="External" Id="rId191"/><Relationship Type="http://schemas.openxmlformats.org/officeDocument/2006/relationships/hyperlink" Target="https://dart.fss.or.kr/dsaf001/main.do?rcpNo=20200902900099" TargetMode="External" Id="rId192"/><Relationship Type="http://schemas.openxmlformats.org/officeDocument/2006/relationships/hyperlink" Target="https://dart.fss.or.kr/dsaf001/main.do?rcpNo=20200828900265" TargetMode="External" Id="rId193"/><Relationship Type="http://schemas.openxmlformats.org/officeDocument/2006/relationships/hyperlink" Target="https://dart.fss.or.kr/dsaf001/main.do?rcpNo=20200826000296" TargetMode="External" Id="rId194"/><Relationship Type="http://schemas.openxmlformats.org/officeDocument/2006/relationships/hyperlink" Target="https://dart.fss.or.kr/dsaf001/main.do?rcpNo=20200814002031" TargetMode="External" Id="rId195"/><Relationship Type="http://schemas.openxmlformats.org/officeDocument/2006/relationships/hyperlink" Target="https://dart.fss.or.kr/dsaf001/main.do?rcpNo=20200813900310" TargetMode="External" Id="rId196"/><Relationship Type="http://schemas.openxmlformats.org/officeDocument/2006/relationships/hyperlink" Target="https://dart.fss.or.kr/dsaf001/main.do?rcpNo=20200728000137" TargetMode="External" Id="rId197"/><Relationship Type="http://schemas.openxmlformats.org/officeDocument/2006/relationships/hyperlink" Target="https://dart.fss.or.kr/dsaf001/main.do?rcpNo=20200722900267" TargetMode="External" Id="rId198"/><Relationship Type="http://schemas.openxmlformats.org/officeDocument/2006/relationships/hyperlink" Target="https://dart.fss.or.kr/dsaf001/main.do?rcpNo=20200722000252" TargetMode="External" Id="rId199"/><Relationship Type="http://schemas.openxmlformats.org/officeDocument/2006/relationships/hyperlink" Target="https://dart.fss.or.kr/dsaf001/main.do?rcpNo=20200722000251" TargetMode="External" Id="rId200"/><Relationship Type="http://schemas.openxmlformats.org/officeDocument/2006/relationships/hyperlink" Target="https://dart.fss.or.kr/dsaf001/main.do?rcpNo=20200722000243" TargetMode="External" Id="rId201"/><Relationship Type="http://schemas.openxmlformats.org/officeDocument/2006/relationships/hyperlink" Target="https://dart.fss.or.kr/dsaf001/main.do?rcpNo=20200722000240" TargetMode="External" Id="rId202"/><Relationship Type="http://schemas.openxmlformats.org/officeDocument/2006/relationships/hyperlink" Target="https://dart.fss.or.kr/dsaf001/main.do?rcpNo=20200722000230" TargetMode="External" Id="rId203"/><Relationship Type="http://schemas.openxmlformats.org/officeDocument/2006/relationships/hyperlink" Target="https://dart.fss.or.kr/dsaf001/main.do?rcpNo=20200721900342" TargetMode="External" Id="rId204"/><Relationship Type="http://schemas.openxmlformats.org/officeDocument/2006/relationships/hyperlink" Target="https://dart.fss.or.kr/dsaf001/main.do?rcpNo=20200721000266" TargetMode="External" Id="rId205"/><Relationship Type="http://schemas.openxmlformats.org/officeDocument/2006/relationships/hyperlink" Target="https://dart.fss.or.kr/dsaf001/main.do?rcpNo=20200720900228" TargetMode="External" Id="rId206"/><Relationship Type="http://schemas.openxmlformats.org/officeDocument/2006/relationships/hyperlink" Target="https://dart.fss.or.kr/dsaf001/main.do?rcpNo=20200720000173" TargetMode="External" Id="rId207"/><Relationship Type="http://schemas.openxmlformats.org/officeDocument/2006/relationships/hyperlink" Target="https://dart.fss.or.kr/dsaf001/main.do?rcpNo=20200720000160" TargetMode="External" Id="rId208"/><Relationship Type="http://schemas.openxmlformats.org/officeDocument/2006/relationships/hyperlink" Target="https://dart.fss.or.kr/dsaf001/main.do?rcpNo=20200717900167" TargetMode="External" Id="rId209"/><Relationship Type="http://schemas.openxmlformats.org/officeDocument/2006/relationships/hyperlink" Target="https://dart.fss.or.kr/dsaf001/main.do?rcpNo=20200715900335" TargetMode="External" Id="rId210"/><Relationship Type="http://schemas.openxmlformats.org/officeDocument/2006/relationships/hyperlink" Target="https://dart.fss.or.kr/dsaf001/main.do?rcpNo=20200715000286" TargetMode="External" Id="rId211"/><Relationship Type="http://schemas.openxmlformats.org/officeDocument/2006/relationships/hyperlink" Target="https://dart.fss.or.kr/dsaf001/main.do?rcpNo=20200714900150" TargetMode="External" Id="rId212"/><Relationship Type="http://schemas.openxmlformats.org/officeDocument/2006/relationships/hyperlink" Target="https://dart.fss.or.kr/dsaf001/main.do?rcpNo=20200714900085" TargetMode="External" Id="rId213"/><Relationship Type="http://schemas.openxmlformats.org/officeDocument/2006/relationships/hyperlink" Target="https://dart.fss.or.kr/dsaf001/main.do?rcpNo=20200714000182" TargetMode="External" Id="rId214"/><Relationship Type="http://schemas.openxmlformats.org/officeDocument/2006/relationships/hyperlink" Target="https://dart.fss.or.kr/dsaf001/main.do?rcpNo=20200713000174" TargetMode="External" Id="rId215"/><Relationship Type="http://schemas.openxmlformats.org/officeDocument/2006/relationships/hyperlink" Target="https://dart.fss.or.kr/dsaf001/main.do?rcpNo=20200708900081" TargetMode="External" Id="rId216"/><Relationship Type="http://schemas.openxmlformats.org/officeDocument/2006/relationships/hyperlink" Target="https://dart.fss.or.kr/dsaf001/main.do?rcpNo=20200708000327" TargetMode="External" Id="rId217"/><Relationship Type="http://schemas.openxmlformats.org/officeDocument/2006/relationships/hyperlink" Target="https://dart.fss.or.kr/dsaf001/main.do?rcpNo=20200702900084" TargetMode="External" Id="rId218"/><Relationship Type="http://schemas.openxmlformats.org/officeDocument/2006/relationships/hyperlink" Target="https://dart.fss.or.kr/dsaf001/main.do?rcpNo=20200702000253" TargetMode="External" Id="rId219"/><Relationship Type="http://schemas.openxmlformats.org/officeDocument/2006/relationships/hyperlink" Target="https://dart.fss.or.kr/dsaf001/main.do?rcpNo=20200702000027" TargetMode="External" Id="rId220"/><Relationship Type="http://schemas.openxmlformats.org/officeDocument/2006/relationships/hyperlink" Target="https://dart.fss.or.kr/dsaf001/main.do?rcpNo=20200702000025" TargetMode="External" Id="rId221"/><Relationship Type="http://schemas.openxmlformats.org/officeDocument/2006/relationships/hyperlink" Target="https://dart.fss.or.kr/dsaf001/main.do?rcpNo=20200702000022" TargetMode="External" Id="rId222"/><Relationship Type="http://schemas.openxmlformats.org/officeDocument/2006/relationships/hyperlink" Target="https://dart.fss.or.kr/dsaf001/main.do?rcpNo=20200623000273" TargetMode="External" Id="rId223"/><Relationship Type="http://schemas.openxmlformats.org/officeDocument/2006/relationships/hyperlink" Target="https://dart.fss.or.kr/dsaf001/main.do?rcpNo=20200622000352" TargetMode="External" Id="rId224"/><Relationship Type="http://schemas.openxmlformats.org/officeDocument/2006/relationships/hyperlink" Target="https://dart.fss.or.kr/dsaf001/main.do?rcpNo=20200622000349" TargetMode="External" Id="rId225"/><Relationship Type="http://schemas.openxmlformats.org/officeDocument/2006/relationships/hyperlink" Target="https://dart.fss.or.kr/dsaf001/main.do?rcpNo=20200622000347" TargetMode="External" Id="rId226"/><Relationship Type="http://schemas.openxmlformats.org/officeDocument/2006/relationships/hyperlink" Target="https://dart.fss.or.kr/dsaf001/main.do?rcpNo=20200622000344" TargetMode="External" Id="rId227"/><Relationship Type="http://schemas.openxmlformats.org/officeDocument/2006/relationships/hyperlink" Target="https://dart.fss.or.kr/dsaf001/main.do?rcpNo=20200622000342" TargetMode="External" Id="rId228"/><Relationship Type="http://schemas.openxmlformats.org/officeDocument/2006/relationships/hyperlink" Target="https://dart.fss.or.kr/dsaf001/main.do?rcpNo=20200622000337" TargetMode="External" Id="rId229"/><Relationship Type="http://schemas.openxmlformats.org/officeDocument/2006/relationships/hyperlink" Target="https://dart.fss.or.kr/dsaf001/main.do?rcpNo=20200618000281" TargetMode="External" Id="rId230"/><Relationship Type="http://schemas.openxmlformats.org/officeDocument/2006/relationships/hyperlink" Target="https://dart.fss.or.kr/dsaf001/main.do?rcpNo=20200616000180" TargetMode="External" Id="rId231"/><Relationship Type="http://schemas.openxmlformats.org/officeDocument/2006/relationships/hyperlink" Target="https://dart.fss.or.kr/dsaf001/main.do?rcpNo=20200602900358" TargetMode="External" Id="rId232"/><Relationship Type="http://schemas.openxmlformats.org/officeDocument/2006/relationships/hyperlink" Target="https://dart.fss.or.kr/dsaf001/main.do?rcpNo=20200602900170" TargetMode="External" Id="rId233"/><Relationship Type="http://schemas.openxmlformats.org/officeDocument/2006/relationships/hyperlink" Target="https://dart.fss.or.kr/dsaf001/main.do?rcpNo=20200602000108" TargetMode="External" Id="rId234"/><Relationship Type="http://schemas.openxmlformats.org/officeDocument/2006/relationships/hyperlink" Target="https://dart.fss.or.kr/dsaf001/main.do?rcpNo=20200602000107" TargetMode="External" Id="rId235"/><Relationship Type="http://schemas.openxmlformats.org/officeDocument/2006/relationships/hyperlink" Target="https://dart.fss.or.kr/dsaf001/main.do?rcpNo=20200602000101" TargetMode="External" Id="rId236"/><Relationship Type="http://schemas.openxmlformats.org/officeDocument/2006/relationships/hyperlink" Target="https://dart.fss.or.kr/dsaf001/main.do?rcpNo=20200601000073" TargetMode="External" Id="rId237"/><Relationship Type="http://schemas.openxmlformats.org/officeDocument/2006/relationships/hyperlink" Target="https://dart.fss.or.kr/dsaf001/main.do?rcpNo=20200529001280" TargetMode="External" Id="rId238"/><Relationship Type="http://schemas.openxmlformats.org/officeDocument/2006/relationships/hyperlink" Target="https://dart.fss.or.kr/dsaf001/main.do?rcpNo=20200522900253" TargetMode="External" Id="rId239"/><Relationship Type="http://schemas.openxmlformats.org/officeDocument/2006/relationships/hyperlink" Target="https://dart.fss.or.kr/dsaf001/main.do?rcpNo=20200521900205" TargetMode="External" Id="rId240"/><Relationship Type="http://schemas.openxmlformats.org/officeDocument/2006/relationships/hyperlink" Target="https://dart.fss.or.kr/dsaf001/main.do?rcpNo=20200515002030" TargetMode="External" Id="rId241"/><Relationship Type="http://schemas.openxmlformats.org/officeDocument/2006/relationships/hyperlink" Target="https://dart.fss.or.kr/dsaf001/main.do?rcpNo=20200515000302" TargetMode="External" Id="rId242"/><Relationship Type="http://schemas.openxmlformats.org/officeDocument/2006/relationships/hyperlink" Target="https://dart.fss.or.kr/dsaf001/main.do?rcpNo=20200507000078" TargetMode="External" Id="rId243"/><Relationship Type="http://schemas.openxmlformats.org/officeDocument/2006/relationships/hyperlink" Target="https://dart.fss.or.kr/dsaf001/main.do?rcpNo=20200506900589" TargetMode="External" Id="rId244"/><Relationship Type="http://schemas.openxmlformats.org/officeDocument/2006/relationships/hyperlink" Target="https://dart.fss.or.kr/dsaf001/main.do?rcpNo=20200506000650" TargetMode="External" Id="rId245"/><Relationship Type="http://schemas.openxmlformats.org/officeDocument/2006/relationships/hyperlink" Target="https://dart.fss.or.kr/dsaf001/main.do?rcpNo=20200429901104" TargetMode="External" Id="rId246"/><Relationship Type="http://schemas.openxmlformats.org/officeDocument/2006/relationships/hyperlink" Target="https://dart.fss.or.kr/dsaf001/main.do?rcpNo=20200417000577" TargetMode="External" Id="rId247"/><Relationship Type="http://schemas.openxmlformats.org/officeDocument/2006/relationships/hyperlink" Target="https://dart.fss.or.kr/dsaf001/main.do?rcpNo=20200417000353" TargetMode="External" Id="rId248"/><Relationship Type="http://schemas.openxmlformats.org/officeDocument/2006/relationships/hyperlink" Target="https://dart.fss.or.kr/dsaf001/main.do?rcpNo=20200410002428" TargetMode="External" Id="rId249"/><Relationship Type="http://schemas.openxmlformats.org/officeDocument/2006/relationships/hyperlink" Target="https://dart.fss.or.kr/dsaf001/main.do?rcpNo=20200403002139" TargetMode="External" Id="rId250"/><Relationship Type="http://schemas.openxmlformats.org/officeDocument/2006/relationships/hyperlink" Target="https://dart.fss.or.kr/dsaf001/main.do?rcpNo=20200330901343" TargetMode="External" Id="rId251"/><Relationship Type="http://schemas.openxmlformats.org/officeDocument/2006/relationships/hyperlink" Target="https://dart.fss.or.kr/dsaf001/main.do?rcpNo=20200330002940" TargetMode="External" Id="rId252"/><Relationship Type="http://schemas.openxmlformats.org/officeDocument/2006/relationships/hyperlink" Target="https://dart.fss.or.kr/dsaf001/main.do?rcpNo=20200313900690" TargetMode="External" Id="rId253"/><Relationship Type="http://schemas.openxmlformats.org/officeDocument/2006/relationships/hyperlink" Target="https://dart.fss.or.kr/dsaf001/main.do?rcpNo=20200313000288" TargetMode="External" Id="rId254"/><Relationship Type="http://schemas.openxmlformats.org/officeDocument/2006/relationships/hyperlink" Target="https://dart.fss.or.kr/dsaf001/main.do?rcpNo=20200312901193" TargetMode="External" Id="rId255"/><Relationship Type="http://schemas.openxmlformats.org/officeDocument/2006/relationships/hyperlink" Target="https://dart.fss.or.kr/dsaf001/main.do?rcpNo=20200312901114" TargetMode="External" Id="rId256"/><Relationship Type="http://schemas.openxmlformats.org/officeDocument/2006/relationships/hyperlink" Target="https://dart.fss.or.kr/dsaf001/main.do?rcpNo=20200312000656" TargetMode="External" Id="rId257"/><Relationship Type="http://schemas.openxmlformats.org/officeDocument/2006/relationships/hyperlink" Target="https://dart.fss.or.kr/dsaf001/main.do?rcpNo=20200312000221" TargetMode="External" Id="rId258"/><Relationship Type="http://schemas.openxmlformats.org/officeDocument/2006/relationships/hyperlink" Target="https://dart.fss.or.kr/dsaf001/main.do?rcpNo=20200311000831" TargetMode="External" Id="rId259"/><Relationship Type="http://schemas.openxmlformats.org/officeDocument/2006/relationships/hyperlink" Target="https://dart.fss.or.kr/dsaf001/main.do?rcpNo=20200228004775" TargetMode="External" Id="rId260"/><Relationship Type="http://schemas.openxmlformats.org/officeDocument/2006/relationships/hyperlink" Target="https://dart.fss.or.kr/dsaf001/main.do?rcpNo=20200221900570" TargetMode="External" Id="rId261"/><Relationship Type="http://schemas.openxmlformats.org/officeDocument/2006/relationships/hyperlink" Target="https://dart.fss.or.kr/dsaf001/main.do?rcpNo=20200205900496" TargetMode="External" Id="rId262"/><Relationship Type="http://schemas.openxmlformats.org/officeDocument/2006/relationships/hyperlink" Target="https://dart.fss.or.kr/dsaf001/main.do?rcpNo=20200131900514" TargetMode="External" Id="rId263"/><Relationship Type="http://schemas.openxmlformats.org/officeDocument/2006/relationships/hyperlink" Target="https://dart.fss.or.kr/dsaf001/main.do?rcpNo=20200122900411" TargetMode="External" Id="rId264"/><Relationship Type="http://schemas.openxmlformats.org/officeDocument/2006/relationships/hyperlink" Target="https://dart.fss.or.kr/dsaf001/main.do?rcpNo=20200110000660" TargetMode="External" Id="rId265"/><Relationship Type="http://schemas.openxmlformats.org/officeDocument/2006/relationships/hyperlink" Target="https://dart.fss.or.kr/dsaf001/main.do?rcpNo=20200103900430" TargetMode="External" Id="rId266"/><Relationship Type="http://schemas.openxmlformats.org/officeDocument/2006/relationships/hyperlink" Target="https://dart.fss.or.kr/dsaf001/main.do?rcpNo=20191231000135" TargetMode="External" Id="rId267"/><Relationship Type="http://schemas.openxmlformats.org/officeDocument/2006/relationships/hyperlink" Target="https://dart.fss.or.kr/dsaf001/main.do?rcpNo=20191220900845" TargetMode="External" Id="rId268"/><Relationship Type="http://schemas.openxmlformats.org/officeDocument/2006/relationships/hyperlink" Target="https://dart.fss.or.kr/dsaf001/main.do?rcpNo=20191217900460" TargetMode="External" Id="rId269"/><Relationship Type="http://schemas.openxmlformats.org/officeDocument/2006/relationships/hyperlink" Target="https://dart.fss.or.kr/dsaf001/main.do?rcpNo=20191216900807" TargetMode="External" Id="rId270"/><Relationship Type="http://schemas.openxmlformats.org/officeDocument/2006/relationships/hyperlink" Target="https://dart.fss.or.kr/dsaf001/main.do?rcpNo=20191213000342" TargetMode="External" Id="rId271"/><Relationship Type="http://schemas.openxmlformats.org/officeDocument/2006/relationships/hyperlink" Target="https://dart.fss.or.kr/dsaf001/main.do?rcpNo=20191122900344" TargetMode="External" Id="rId272"/><Relationship Type="http://schemas.openxmlformats.org/officeDocument/2006/relationships/hyperlink" Target="https://dart.fss.or.kr/dsaf001/main.do?rcpNo=20191118000182" TargetMode="External" Id="rId273"/><Relationship Type="http://schemas.openxmlformats.org/officeDocument/2006/relationships/hyperlink" Target="https://dart.fss.or.kr/dsaf001/main.do?rcpNo=20191118000174" TargetMode="External" Id="rId274"/><Relationship Type="http://schemas.openxmlformats.org/officeDocument/2006/relationships/hyperlink" Target="https://dart.fss.or.kr/dsaf001/main.do?rcpNo=20191114001557" TargetMode="External" Id="rId275"/><Relationship Type="http://schemas.openxmlformats.org/officeDocument/2006/relationships/hyperlink" Target="https://dart.fss.or.kr/dsaf001/main.do?rcpNo=20191112900532" TargetMode="External" Id="rId276"/><Relationship Type="http://schemas.openxmlformats.org/officeDocument/2006/relationships/hyperlink" Target="https://dart.fss.or.kr/dsaf001/main.do?rcpNo=20191112900488" TargetMode="External" Id="rId277"/><Relationship Type="http://schemas.openxmlformats.org/officeDocument/2006/relationships/hyperlink" Target="https://dart.fss.or.kr/dsaf001/main.do?rcpNo=20191108900343" TargetMode="External" Id="rId278"/><Relationship Type="http://schemas.openxmlformats.org/officeDocument/2006/relationships/hyperlink" Target="https://dart.fss.or.kr/dsaf001/main.do?rcpNo=20191025900271" TargetMode="External" Id="rId279"/><Relationship Type="http://schemas.openxmlformats.org/officeDocument/2006/relationships/hyperlink" Target="https://dart.fss.or.kr/dsaf001/main.do?rcpNo=20191015900342" TargetMode="External" Id="rId280"/><Relationship Type="http://schemas.openxmlformats.org/officeDocument/2006/relationships/hyperlink" Target="https://dart.fss.or.kr/dsaf001/main.do?rcpNo=20191002900537" TargetMode="External" Id="rId281"/><Relationship Type="http://schemas.openxmlformats.org/officeDocument/2006/relationships/hyperlink" Target="https://dart.fss.or.kr/dsaf001/main.do?rcpNo=20191002900536" TargetMode="External" Id="rId282"/><Relationship Type="http://schemas.openxmlformats.org/officeDocument/2006/relationships/hyperlink" Target="https://dart.fss.or.kr/dsaf001/main.do?rcpNo=20191002900533" TargetMode="External" Id="rId283"/><Relationship Type="http://schemas.openxmlformats.org/officeDocument/2006/relationships/hyperlink" Target="https://dart.fss.or.kr/dsaf001/main.do?rcpNo=20190910900230" TargetMode="External" Id="rId284"/><Relationship Type="http://schemas.openxmlformats.org/officeDocument/2006/relationships/hyperlink" Target="https://dart.fss.or.kr/dsaf001/main.do?rcpNo=20190828900237" TargetMode="External" Id="rId285"/><Relationship Type="http://schemas.openxmlformats.org/officeDocument/2006/relationships/hyperlink" Target="https://dart.fss.or.kr/dsaf001/main.do?rcpNo=20190820000229" TargetMode="External" Id="rId286"/><Relationship Type="http://schemas.openxmlformats.org/officeDocument/2006/relationships/hyperlink" Target="https://dart.fss.or.kr/dsaf001/main.do?rcpNo=20190814901197" TargetMode="External" Id="rId287"/><Relationship Type="http://schemas.openxmlformats.org/officeDocument/2006/relationships/hyperlink" Target="https://dart.fss.or.kr/dsaf001/main.do?rcpNo=20190812000258" TargetMode="External" Id="rId288"/><Relationship Type="http://schemas.openxmlformats.org/officeDocument/2006/relationships/hyperlink" Target="https://dart.fss.or.kr/dsaf001/main.do?rcpNo=20190807900440" TargetMode="External" Id="rId289"/><Relationship Type="http://schemas.openxmlformats.org/officeDocument/2006/relationships/hyperlink" Target="https://dart.fss.or.kr/dsaf001/main.do?rcpNo=20190801900323" TargetMode="External" Id="rId290"/><Relationship Type="http://schemas.openxmlformats.org/officeDocument/2006/relationships/hyperlink" Target="https://dart.fss.or.kr/dsaf001/main.do?rcpNo=20190723900553" TargetMode="External" Id="rId291"/><Relationship Type="http://schemas.openxmlformats.org/officeDocument/2006/relationships/hyperlink" Target="https://dart.fss.or.kr/dsaf001/main.do?rcpNo=20190716900285" TargetMode="External" Id="rId292"/><Relationship Type="http://schemas.openxmlformats.org/officeDocument/2006/relationships/hyperlink" Target="https://dart.fss.or.kr/dsaf001/main.do?rcpNo=20190709900341" TargetMode="External" Id="rId293"/><Relationship Type="http://schemas.openxmlformats.org/officeDocument/2006/relationships/hyperlink" Target="https://dart.fss.or.kr/dsaf001/main.do?rcpNo=20190709900338" TargetMode="External" Id="rId294"/><Relationship Type="http://schemas.openxmlformats.org/officeDocument/2006/relationships/hyperlink" Target="https://dart.fss.or.kr/dsaf001/main.do?rcpNo=20190704900379" TargetMode="External" Id="rId295"/><Relationship Type="http://schemas.openxmlformats.org/officeDocument/2006/relationships/hyperlink" Target="https://dart.fss.or.kr/dsaf001/main.do?rcpNo=20190702900510" TargetMode="External" Id="rId296"/><Relationship Type="http://schemas.openxmlformats.org/officeDocument/2006/relationships/hyperlink" Target="https://dart.fss.or.kr/dsaf001/main.do?rcpNo=20190621900697" TargetMode="External" Id="rId297"/><Relationship Type="http://schemas.openxmlformats.org/officeDocument/2006/relationships/hyperlink" Target="https://dart.fss.or.kr/dsaf001/main.do?rcpNo=20190611900371" TargetMode="External" Id="rId298"/><Relationship Type="http://schemas.openxmlformats.org/officeDocument/2006/relationships/hyperlink" Target="https://dart.fss.or.kr/dsaf001/main.do?rcpNo=20190605900506" TargetMode="External" Id="rId299"/><Relationship Type="http://schemas.openxmlformats.org/officeDocument/2006/relationships/hyperlink" Target="https://dart.fss.or.kr/dsaf001/main.do?rcpNo=20190516900274" TargetMode="External" Id="rId300"/><Relationship Type="http://schemas.openxmlformats.org/officeDocument/2006/relationships/hyperlink" Target="https://dart.fss.or.kr/dsaf001/main.do?rcpNo=20190516000107" TargetMode="External" Id="rId301"/><Relationship Type="http://schemas.openxmlformats.org/officeDocument/2006/relationships/hyperlink" Target="https://dart.fss.or.kr/dsaf001/main.do?rcpNo=20190515902643" TargetMode="External" Id="rId302"/><Relationship Type="http://schemas.openxmlformats.org/officeDocument/2006/relationships/hyperlink" Target="https://dart.fss.or.kr/dsaf001/main.do?rcpNo=20190515901053" TargetMode="External" Id="rId303"/><Relationship Type="http://schemas.openxmlformats.org/officeDocument/2006/relationships/hyperlink" Target="https://dart.fss.or.kr/dsaf001/main.do?rcpNo=20190515001055" TargetMode="External" Id="rId304"/><Relationship Type="http://schemas.openxmlformats.org/officeDocument/2006/relationships/hyperlink" Target="https://dart.fss.or.kr/dsaf001/main.do?rcpNo=20190509900346" TargetMode="External" Id="rId305"/><Relationship Type="http://schemas.openxmlformats.org/officeDocument/2006/relationships/hyperlink" Target="https://dart.fss.or.kr/dsaf001/main.do?rcpNo=20190509900317" TargetMode="External" Id="rId306"/><Relationship Type="http://schemas.openxmlformats.org/officeDocument/2006/relationships/hyperlink" Target="https://dart.fss.or.kr/dsaf001/main.do?rcpNo=20190509900316" TargetMode="External" Id="rId307"/><Relationship Type="http://schemas.openxmlformats.org/officeDocument/2006/relationships/hyperlink" Target="https://dart.fss.or.kr/dsaf001/main.do?rcpNo=20190419900696" TargetMode="External" Id="rId308"/><Relationship Type="http://schemas.openxmlformats.org/officeDocument/2006/relationships/hyperlink" Target="https://dart.fss.or.kr/dsaf001/main.do?rcpNo=20190419900692" TargetMode="External" Id="rId309"/><Relationship Type="http://schemas.openxmlformats.org/officeDocument/2006/relationships/hyperlink" Target="https://dart.fss.or.kr/dsaf001/main.do?rcpNo=20190419900685" TargetMode="External" Id="rId310"/><Relationship Type="http://schemas.openxmlformats.org/officeDocument/2006/relationships/hyperlink" Target="https://dart.fss.or.kr/dsaf001/main.do?rcpNo=20190403900442" TargetMode="External" Id="rId311"/><Relationship Type="http://schemas.openxmlformats.org/officeDocument/2006/relationships/hyperlink" Target="https://dart.fss.or.kr/dsaf001/main.do?rcpNo=20190401003689" TargetMode="External" Id="rId312"/><Relationship Type="http://schemas.openxmlformats.org/officeDocument/2006/relationships/hyperlink" Target="https://dart.fss.or.kr/dsaf001/main.do?rcpNo=20190329901400" TargetMode="External" Id="rId313"/><Relationship Type="http://schemas.openxmlformats.org/officeDocument/2006/relationships/hyperlink" Target="https://dart.fss.or.kr/dsaf001/main.do?rcpNo=20190329900736" TargetMode="External" Id="rId314"/><Relationship Type="http://schemas.openxmlformats.org/officeDocument/2006/relationships/hyperlink" Target="https://dart.fss.or.kr/dsaf001/main.do?rcpNo=20190321000152" TargetMode="External" Id="rId315"/><Relationship Type="http://schemas.openxmlformats.org/officeDocument/2006/relationships/hyperlink" Target="https://dart.fss.or.kr/dsaf001/main.do?rcpNo=20190314900888" TargetMode="External" Id="rId316"/><Relationship Type="http://schemas.openxmlformats.org/officeDocument/2006/relationships/hyperlink" Target="https://dart.fss.or.kr/dsaf001/main.do?rcpNo=20190312900938" TargetMode="External" Id="rId317"/><Relationship Type="http://schemas.openxmlformats.org/officeDocument/2006/relationships/hyperlink" Target="https://dart.fss.or.kr/dsaf001/main.do?rcpNo=20190312900927" TargetMode="External" Id="rId318"/><Relationship Type="http://schemas.openxmlformats.org/officeDocument/2006/relationships/hyperlink" Target="https://dart.fss.or.kr/dsaf001/main.do?rcpNo=20190311900158" TargetMode="External" Id="rId319"/><Relationship Type="http://schemas.openxmlformats.org/officeDocument/2006/relationships/hyperlink" Target="https://dart.fss.or.kr/dsaf001/main.do?rcpNo=20190311000372" TargetMode="External" Id="rId320"/><Relationship Type="http://schemas.openxmlformats.org/officeDocument/2006/relationships/hyperlink" Target="https://dart.fss.or.kr/dsaf001/main.do?rcpNo=20190308900846" TargetMode="External" Id="rId321"/><Relationship Type="http://schemas.openxmlformats.org/officeDocument/2006/relationships/hyperlink" Target="https://dart.fss.or.kr/dsaf001/main.do?rcpNo=20190308900790" TargetMode="External" Id="rId322"/><Relationship Type="http://schemas.openxmlformats.org/officeDocument/2006/relationships/hyperlink" Target="https://dart.fss.or.kr/dsaf001/main.do?rcpNo=20190308000677" TargetMode="External" Id="rId323"/><Relationship Type="http://schemas.openxmlformats.org/officeDocument/2006/relationships/hyperlink" Target="https://dart.fss.or.kr/dsaf001/main.do?rcpNo=20190308000670" TargetMode="External" Id="rId324"/><Relationship Type="http://schemas.openxmlformats.org/officeDocument/2006/relationships/hyperlink" Target="https://dart.fss.or.kr/dsaf001/main.do?rcpNo=20190306900108" TargetMode="External" Id="rId325"/><Relationship Type="http://schemas.openxmlformats.org/officeDocument/2006/relationships/hyperlink" Target="https://dart.fss.or.kr/dsaf001/main.do?rcpNo=20190228003815" TargetMode="External" Id="rId326"/><Relationship Type="http://schemas.openxmlformats.org/officeDocument/2006/relationships/hyperlink" Target="https://dart.fss.or.kr/dsaf001/main.do?rcpNo=20190225900764" TargetMode="External" Id="rId327"/><Relationship Type="http://schemas.openxmlformats.org/officeDocument/2006/relationships/hyperlink" Target="https://dart.fss.or.kr/dsaf001/main.do?rcpNo=20190221900096" TargetMode="External" Id="rId328"/><Relationship Type="http://schemas.openxmlformats.org/officeDocument/2006/relationships/hyperlink" Target="https://dart.fss.or.kr/dsaf001/main.do?rcpNo=20190220900087" TargetMode="External" Id="rId329"/><Relationship Type="http://schemas.openxmlformats.org/officeDocument/2006/relationships/hyperlink" Target="https://dart.fss.or.kr/dsaf001/main.do?rcpNo=20190215900515" TargetMode="External" Id="rId330"/><Relationship Type="http://schemas.openxmlformats.org/officeDocument/2006/relationships/hyperlink" Target="https://dart.fss.or.kr/dsaf001/main.do?rcpNo=20190201900499" TargetMode="External" Id="rId331"/><Relationship Type="http://schemas.openxmlformats.org/officeDocument/2006/relationships/hyperlink" Target="https://dart.fss.or.kr/dsaf001/main.do?rcpNo=20190131900857" TargetMode="External" Id="rId332"/><Relationship Type="http://schemas.openxmlformats.org/officeDocument/2006/relationships/hyperlink" Target="https://dart.fss.or.kr/dsaf001/main.do?rcpNo=20190130900497" TargetMode="External" Id="rId333"/><Relationship Type="http://schemas.openxmlformats.org/officeDocument/2006/relationships/hyperlink" Target="https://dart.fss.or.kr/dsaf001/main.do?rcpNo=20190115900331" TargetMode="External" Id="rId334"/><Relationship Type="http://schemas.openxmlformats.org/officeDocument/2006/relationships/hyperlink" Target="https://dart.fss.or.kr/dsaf001/main.do?rcpNo=20181226900508" TargetMode="External" Id="rId335"/><Relationship Type="http://schemas.openxmlformats.org/officeDocument/2006/relationships/hyperlink" Target="https://dart.fss.or.kr/dsaf001/main.do?rcpNo=20181221900324" TargetMode="External" Id="rId336"/><Relationship Type="http://schemas.openxmlformats.org/officeDocument/2006/relationships/hyperlink" Target="https://dart.fss.or.kr/dsaf001/main.do?rcpNo=20181217900546" TargetMode="External" Id="rId337"/><Relationship Type="http://schemas.openxmlformats.org/officeDocument/2006/relationships/hyperlink" Target="https://dart.fss.or.kr/dsaf001/main.do?rcpNo=20181217900388" TargetMode="External" Id="rId338"/><Relationship Type="http://schemas.openxmlformats.org/officeDocument/2006/relationships/hyperlink" Target="https://dart.fss.or.kr/dsaf001/main.do?rcpNo=20181214900374" TargetMode="External" Id="rId339"/><Relationship Type="http://schemas.openxmlformats.org/officeDocument/2006/relationships/hyperlink" Target="https://dart.fss.or.kr/dsaf001/main.do?rcpNo=20181211900333" TargetMode="External" Id="rId340"/><Relationship Type="http://schemas.openxmlformats.org/officeDocument/2006/relationships/hyperlink" Target="https://dart.fss.or.kr/dsaf001/main.do?rcpNo=20181128000122" TargetMode="External" Id="rId341"/><Relationship Type="http://schemas.openxmlformats.org/officeDocument/2006/relationships/hyperlink" Target="https://dart.fss.or.kr/dsaf001/main.do?rcpNo=20181122000003" TargetMode="External" Id="rId342"/><Relationship Type="http://schemas.openxmlformats.org/officeDocument/2006/relationships/hyperlink" Target="https://dart.fss.or.kr/dsaf001/main.do?rcpNo=20181122000002" TargetMode="External" Id="rId343"/><Relationship Type="http://schemas.openxmlformats.org/officeDocument/2006/relationships/hyperlink" Target="https://dart.fss.or.kr/dsaf001/main.do?rcpNo=20181115900265" TargetMode="External" Id="rId344"/><Relationship Type="http://schemas.openxmlformats.org/officeDocument/2006/relationships/hyperlink" Target="https://dart.fss.or.kr/dsaf001/main.do?rcpNo=20181114900666" TargetMode="External" Id="rId345"/><Relationship Type="http://schemas.openxmlformats.org/officeDocument/2006/relationships/hyperlink" Target="https://dart.fss.or.kr/dsaf001/main.do?rcpNo=20181112000285" TargetMode="External" Id="rId346"/><Relationship Type="http://schemas.openxmlformats.org/officeDocument/2006/relationships/hyperlink" Target="https://dart.fss.or.kr/dsaf001/main.do?rcpNo=20181030900747" TargetMode="External" Id="rId347"/><Relationship Type="http://schemas.openxmlformats.org/officeDocument/2006/relationships/hyperlink" Target="https://dart.fss.or.kr/dsaf001/main.do?rcpNo=20181030900161" TargetMode="External" Id="rId348"/><Relationship Type="http://schemas.openxmlformats.org/officeDocument/2006/relationships/hyperlink" Target="https://dart.fss.or.kr/dsaf001/main.do?rcpNo=20181012900459" TargetMode="External" Id="rId349"/><Relationship Type="http://schemas.openxmlformats.org/officeDocument/2006/relationships/hyperlink" Target="https://dart.fss.or.kr/dsaf001/main.do?rcpNo=20181012900457" TargetMode="External" Id="rId350"/><Relationship Type="http://schemas.openxmlformats.org/officeDocument/2006/relationships/hyperlink" Target="https://dart.fss.or.kr/dsaf001/main.do?rcpNo=20181012900452" TargetMode="External" Id="rId351"/><Relationship Type="http://schemas.openxmlformats.org/officeDocument/2006/relationships/hyperlink" Target="https://dart.fss.or.kr/dsaf001/main.do?rcpNo=20181012900442" TargetMode="External" Id="rId352"/><Relationship Type="http://schemas.openxmlformats.org/officeDocument/2006/relationships/hyperlink" Target="https://dart.fss.or.kr/dsaf001/main.do?rcpNo=20181010900534" TargetMode="External" Id="rId353"/><Relationship Type="http://schemas.openxmlformats.org/officeDocument/2006/relationships/hyperlink" Target="https://dart.fss.or.kr/dsaf001/main.do?rcpNo=20180927900293" TargetMode="External" Id="rId354"/><Relationship Type="http://schemas.openxmlformats.org/officeDocument/2006/relationships/hyperlink" Target="https://dart.fss.or.kr/dsaf001/main.do?rcpNo=20180903900527" TargetMode="External" Id="rId355"/><Relationship Type="http://schemas.openxmlformats.org/officeDocument/2006/relationships/hyperlink" Target="https://dart.fss.or.kr/dsaf001/main.do?rcpNo=20180831900170" TargetMode="External" Id="rId356"/><Relationship Type="http://schemas.openxmlformats.org/officeDocument/2006/relationships/hyperlink" Target="https://dart.fss.or.kr/dsaf001/main.do?rcpNo=20180814000486" TargetMode="External" Id="rId357"/><Relationship Type="http://schemas.openxmlformats.org/officeDocument/2006/relationships/hyperlink" Target="https://dart.fss.or.kr/dsaf001/main.do?rcpNo=20180731900325" TargetMode="External" Id="rId358"/><Relationship Type="http://schemas.openxmlformats.org/officeDocument/2006/relationships/hyperlink" Target="https://dart.fss.or.kr/dsaf001/main.do?rcpNo=20180727900443" TargetMode="External" Id="rId359"/><Relationship Type="http://schemas.openxmlformats.org/officeDocument/2006/relationships/hyperlink" Target="https://dart.fss.or.kr/dsaf001/main.do?rcpNo=20180719900272" TargetMode="External" Id="rId360"/><Relationship Type="http://schemas.openxmlformats.org/officeDocument/2006/relationships/hyperlink" Target="https://dart.fss.or.kr/dsaf001/main.do?rcpNo=20180628900746" TargetMode="External" Id="rId361"/><Relationship Type="http://schemas.openxmlformats.org/officeDocument/2006/relationships/hyperlink" Target="https://dart.fss.or.kr/dsaf001/main.do?rcpNo=20180621900368" TargetMode="External" Id="rId362"/><Relationship Type="http://schemas.openxmlformats.org/officeDocument/2006/relationships/hyperlink" Target="https://dart.fss.or.kr/dsaf001/main.do?rcpNo=20180621900365" TargetMode="External" Id="rId363"/><Relationship Type="http://schemas.openxmlformats.org/officeDocument/2006/relationships/hyperlink" Target="https://dart.fss.or.kr/dsaf001/main.do?rcpNo=20180614900062" TargetMode="External" Id="rId364"/><Relationship Type="http://schemas.openxmlformats.org/officeDocument/2006/relationships/hyperlink" Target="https://dart.fss.or.kr/dsaf001/main.do?rcpNo=20180528900401" TargetMode="External" Id="rId365"/><Relationship Type="http://schemas.openxmlformats.org/officeDocument/2006/relationships/hyperlink" Target="https://dart.fss.or.kr/dsaf001/main.do?rcpNo=20180515001058" TargetMode="External" Id="rId366"/><Relationship Type="http://schemas.openxmlformats.org/officeDocument/2006/relationships/hyperlink" Target="https://dart.fss.or.kr/dsaf001/main.do?rcpNo=20180430900690" TargetMode="External" Id="rId367"/><Relationship Type="http://schemas.openxmlformats.org/officeDocument/2006/relationships/hyperlink" Target="https://dart.fss.or.kr/dsaf001/main.do?rcpNo=20180425900606" TargetMode="External" Id="rId368"/><Relationship Type="http://schemas.openxmlformats.org/officeDocument/2006/relationships/hyperlink" Target="https://dart.fss.or.kr/dsaf001/main.do?rcpNo=20180425900603" TargetMode="External" Id="rId369"/><Relationship Type="http://schemas.openxmlformats.org/officeDocument/2006/relationships/hyperlink" Target="https://dart.fss.or.kr/dsaf001/main.do?rcpNo=20180413900073" TargetMode="External" Id="rId370"/><Relationship Type="http://schemas.openxmlformats.org/officeDocument/2006/relationships/hyperlink" Target="https://dart.fss.or.kr/dsaf001/main.do?rcpNo=20180405900713" TargetMode="External" Id="rId371"/><Relationship Type="http://schemas.openxmlformats.org/officeDocument/2006/relationships/hyperlink" Target="https://dart.fss.or.kr/dsaf001/main.do?rcpNo=20180405900412" TargetMode="External" Id="rId372"/><Relationship Type="http://schemas.openxmlformats.org/officeDocument/2006/relationships/hyperlink" Target="https://dart.fss.or.kr/dsaf001/main.do?rcpNo=20180402003153" TargetMode="External" Id="rId373"/><Relationship Type="http://schemas.openxmlformats.org/officeDocument/2006/relationships/hyperlink" Target="https://dart.fss.or.kr/dsaf001/main.do?rcpNo=20180326900661" TargetMode="External" Id="rId374"/><Relationship Type="http://schemas.openxmlformats.org/officeDocument/2006/relationships/hyperlink" Target="https://dart.fss.or.kr/dsaf001/main.do?rcpNo=20180316900708" TargetMode="External" Id="rId375"/><Relationship Type="http://schemas.openxmlformats.org/officeDocument/2006/relationships/hyperlink" Target="https://dart.fss.or.kr/dsaf001/main.do?rcpNo=20180316900107" TargetMode="External" Id="rId376"/><Relationship Type="http://schemas.openxmlformats.org/officeDocument/2006/relationships/hyperlink" Target="https://dart.fss.or.kr/dsaf001/main.do?rcpNo=20180309900580" TargetMode="External" Id="rId377"/><Relationship Type="http://schemas.openxmlformats.org/officeDocument/2006/relationships/hyperlink" Target="https://dart.fss.or.kr/dsaf001/main.do?rcpNo=20180309000447" TargetMode="External" Id="rId378"/><Relationship Type="http://schemas.openxmlformats.org/officeDocument/2006/relationships/hyperlink" Target="https://dart.fss.or.kr/dsaf001/main.do?rcpNo=20180307000321" TargetMode="External" Id="rId379"/><Relationship Type="http://schemas.openxmlformats.org/officeDocument/2006/relationships/hyperlink" Target="https://dart.fss.or.kr/dsaf001/main.do?rcpNo=20180307000315" TargetMode="External" Id="rId380"/><Relationship Type="http://schemas.openxmlformats.org/officeDocument/2006/relationships/hyperlink" Target="https://dart.fss.or.kr/dsaf001/main.do?rcpNo=20180228900839" TargetMode="External" Id="rId381"/><Relationship Type="http://schemas.openxmlformats.org/officeDocument/2006/relationships/hyperlink" Target="https://dart.fss.or.kr/dsaf001/main.do?rcpNo=20180228001531" TargetMode="External" Id="rId382"/><Relationship Type="http://schemas.openxmlformats.org/officeDocument/2006/relationships/hyperlink" Target="https://dart.fss.or.kr/dsaf001/main.do?rcpNo=20180213900742" TargetMode="External" Id="rId383"/><Relationship Type="http://schemas.openxmlformats.org/officeDocument/2006/relationships/hyperlink" Target="https://dart.fss.or.kr/dsaf001/main.do?rcpNo=20180213900737" TargetMode="External" Id="rId384"/><Relationship Type="http://schemas.openxmlformats.org/officeDocument/2006/relationships/hyperlink" Target="https://dart.fss.or.kr/dsaf001/main.do?rcpNo=20180213900104" TargetMode="External" Id="rId385"/><Relationship Type="http://schemas.openxmlformats.org/officeDocument/2006/relationships/hyperlink" Target="https://dart.fss.or.kr/dsaf001/main.do?rcpNo=20180202900503" TargetMode="External" Id="rId386"/><Relationship Type="http://schemas.openxmlformats.org/officeDocument/2006/relationships/hyperlink" Target="https://dart.fss.or.kr/dsaf001/main.do?rcpNo=20180202000438" TargetMode="External" Id="rId387"/><Relationship Type="http://schemas.openxmlformats.org/officeDocument/2006/relationships/hyperlink" Target="https://dart.fss.or.kr/dsaf001/main.do?rcpNo=20180202000332" TargetMode="External" Id="rId388"/><Relationship Type="http://schemas.openxmlformats.org/officeDocument/2006/relationships/hyperlink" Target="https://dart.fss.or.kr/dsaf001/main.do?rcpNo=20180115900092" TargetMode="External" Id="rId389"/><Relationship Type="http://schemas.openxmlformats.org/officeDocument/2006/relationships/hyperlink" Target="https://dart.fss.or.kr/dsaf001/main.do?rcpNo=20180104000260" TargetMode="External" Id="rId390"/><Relationship Type="http://schemas.openxmlformats.org/officeDocument/2006/relationships/hyperlink" Target="https://dart.fss.or.kr/dsaf001/main.do?rcpNo=20171228900047" TargetMode="External" Id="rId391"/><Relationship Type="http://schemas.openxmlformats.org/officeDocument/2006/relationships/hyperlink" Target="https://dart.fss.or.kr/dsaf001/main.do?rcpNo=20171220000356" TargetMode="External" Id="rId392"/><Relationship Type="http://schemas.openxmlformats.org/officeDocument/2006/relationships/hyperlink" Target="https://dart.fss.or.kr/dsaf001/main.do?rcpNo=20171215900780" TargetMode="External" Id="rId393"/><Relationship Type="http://schemas.openxmlformats.org/officeDocument/2006/relationships/hyperlink" Target="https://dart.fss.or.kr/dsaf001/main.do?rcpNo=20171213900544" TargetMode="External" Id="rId394"/><Relationship Type="http://schemas.openxmlformats.org/officeDocument/2006/relationships/hyperlink" Target="https://dart.fss.or.kr/dsaf001/main.do?rcpNo=20171213900351" TargetMode="External" Id="rId395"/><Relationship Type="http://schemas.openxmlformats.org/officeDocument/2006/relationships/hyperlink" Target="https://dart.fss.or.kr/dsaf001/main.do?rcpNo=20171129900112" TargetMode="External" Id="rId396"/><Relationship Type="http://schemas.openxmlformats.org/officeDocument/2006/relationships/hyperlink" Target="https://dart.fss.or.kr/dsaf001/main.do?rcpNo=20171114000311" TargetMode="External" Id="rId397"/><Relationship Type="http://schemas.openxmlformats.org/officeDocument/2006/relationships/hyperlink" Target="https://dart.fss.or.kr/dsaf001/main.do?rcpNo=20171113900470" TargetMode="External" Id="rId398"/><Relationship Type="http://schemas.openxmlformats.org/officeDocument/2006/relationships/hyperlink" Target="https://dart.fss.or.kr/dsaf001/main.do?rcpNo=20171107900455" TargetMode="External" Id="rId399"/><Relationship Type="http://schemas.openxmlformats.org/officeDocument/2006/relationships/hyperlink" Target="https://dart.fss.or.kr/dsaf001/main.do?rcpNo=20171013900326" TargetMode="External" Id="rId400"/><Relationship Type="http://schemas.openxmlformats.org/officeDocument/2006/relationships/hyperlink" Target="https://dart.fss.or.kr/dsaf001/main.do?rcpNo=20170920900127" TargetMode="External" Id="rId401"/><Relationship Type="http://schemas.openxmlformats.org/officeDocument/2006/relationships/hyperlink" Target="https://dart.fss.or.kr/dsaf001/main.do?rcpNo=20170913900228" TargetMode="External" Id="rId402"/><Relationship Type="http://schemas.openxmlformats.org/officeDocument/2006/relationships/hyperlink" Target="https://dart.fss.or.kr/dsaf001/main.do?rcpNo=20170912900341" TargetMode="External" Id="rId403"/><Relationship Type="http://schemas.openxmlformats.org/officeDocument/2006/relationships/hyperlink" Target="https://dart.fss.or.kr/dsaf001/main.do?rcpNo=20170811000592" TargetMode="External" Id="rId404"/><Relationship Type="http://schemas.openxmlformats.org/officeDocument/2006/relationships/hyperlink" Target="https://dart.fss.or.kr/dsaf001/main.do?rcpNo=20170613900071" TargetMode="External" Id="rId405"/><Relationship Type="http://schemas.openxmlformats.org/officeDocument/2006/relationships/hyperlink" Target="https://dart.fss.or.kr/dsaf001/main.do?rcpNo=20170512004445" TargetMode="External" Id="rId406"/><Relationship Type="http://schemas.openxmlformats.org/officeDocument/2006/relationships/hyperlink" Target="https://dart.fss.or.kr/dsaf001/main.do?rcpNo=20170428900359" TargetMode="External" Id="rId407"/><Relationship Type="http://schemas.openxmlformats.org/officeDocument/2006/relationships/hyperlink" Target="https://dart.fss.or.kr/dsaf001/main.do?rcpNo=20170419000035" TargetMode="External" Id="rId408"/><Relationship Type="http://schemas.openxmlformats.org/officeDocument/2006/relationships/hyperlink" Target="https://dart.fss.or.kr/dsaf001/main.do?rcpNo=20170414900711" TargetMode="External" Id="rId409"/><Relationship Type="http://schemas.openxmlformats.org/officeDocument/2006/relationships/hyperlink" Target="https://dart.fss.or.kr/dsaf001/main.do?rcpNo=20170331002972" TargetMode="External" Id="rId410"/><Relationship Type="http://schemas.openxmlformats.org/officeDocument/2006/relationships/hyperlink" Target="https://dart.fss.or.kr/dsaf001/main.do?rcpNo=20170327900496" TargetMode="External" Id="rId411"/><Relationship Type="http://schemas.openxmlformats.org/officeDocument/2006/relationships/hyperlink" Target="https://dart.fss.or.kr/dsaf001/main.do?rcpNo=20170317900576" TargetMode="External" Id="rId412"/><Relationship Type="http://schemas.openxmlformats.org/officeDocument/2006/relationships/hyperlink" Target="https://dart.fss.or.kr/dsaf001/main.do?rcpNo=20170310900741" TargetMode="External" Id="rId413"/><Relationship Type="http://schemas.openxmlformats.org/officeDocument/2006/relationships/hyperlink" Target="https://dart.fss.or.kr/dsaf001/main.do?rcpNo=20170310000527" TargetMode="External" Id="rId414"/><Relationship Type="http://schemas.openxmlformats.org/officeDocument/2006/relationships/hyperlink" Target="https://dart.fss.or.kr/dsaf001/main.do?rcpNo=20170216900255" TargetMode="External" Id="rId415"/><Relationship Type="http://schemas.openxmlformats.org/officeDocument/2006/relationships/hyperlink" Target="https://dart.fss.or.kr/dsaf001/main.do?rcpNo=20170207000202" TargetMode="External" Id="rId416"/><Relationship Type="http://schemas.openxmlformats.org/officeDocument/2006/relationships/hyperlink" Target="https://dart.fss.or.kr/dsaf001/main.do?rcpNo=20170203900454" TargetMode="External" Id="rId417"/><Relationship Type="http://schemas.openxmlformats.org/officeDocument/2006/relationships/hyperlink" Target="https://dart.fss.or.kr/dsaf001/main.do?rcpNo=20170118900082" TargetMode="External" Id="rId418"/><Relationship Type="http://schemas.openxmlformats.org/officeDocument/2006/relationships/hyperlink" Target="https://dart.fss.or.kr/dsaf001/main.do?rcpNo=20170118900080" TargetMode="External" Id="rId419"/><Relationship Type="http://schemas.openxmlformats.org/officeDocument/2006/relationships/hyperlink" Target="https://dart.fss.or.kr/dsaf001/main.do?rcpNo=20170110000646" TargetMode="External" Id="rId420"/><Relationship Type="http://schemas.openxmlformats.org/officeDocument/2006/relationships/hyperlink" Target="https://dart.fss.or.kr/dsaf001/main.do?rcpNo=20161215900088" TargetMode="External" Id="rId421"/><Relationship Type="http://schemas.openxmlformats.org/officeDocument/2006/relationships/hyperlink" Target="https://dart.fss.or.kr/dsaf001/main.do?rcpNo=20161209000261" TargetMode="External" Id="rId422"/><Relationship Type="http://schemas.openxmlformats.org/officeDocument/2006/relationships/hyperlink" Target="https://dart.fss.or.kr/dsaf001/main.do?rcpNo=20161209000259" TargetMode="External" Id="rId423"/><Relationship Type="http://schemas.openxmlformats.org/officeDocument/2006/relationships/hyperlink" Target="https://dart.fss.or.kr/dsaf001/main.do?rcpNo=20161209000256" TargetMode="External" Id="rId424"/><Relationship Type="http://schemas.openxmlformats.org/officeDocument/2006/relationships/hyperlink" Target="https://dart.fss.or.kr/dsaf001/main.do?rcpNo=20161209000255" TargetMode="External" Id="rId425"/><Relationship Type="http://schemas.openxmlformats.org/officeDocument/2006/relationships/hyperlink" Target="https://dart.fss.or.kr/dsaf001/main.do?rcpNo=20161209000252" TargetMode="External" Id="rId426"/><Relationship Type="http://schemas.openxmlformats.org/officeDocument/2006/relationships/hyperlink" Target="https://dart.fss.or.kr/dsaf001/main.do?rcpNo=20161209000251" TargetMode="External" Id="rId427"/><Relationship Type="http://schemas.openxmlformats.org/officeDocument/2006/relationships/hyperlink" Target="https://dart.fss.or.kr/dsaf001/main.do?rcpNo=20161209000249" TargetMode="External" Id="rId428"/><Relationship Type="http://schemas.openxmlformats.org/officeDocument/2006/relationships/hyperlink" Target="https://dart.fss.or.kr/dsaf001/main.do?rcpNo=20161128900039" TargetMode="External" Id="rId429"/><Relationship Type="http://schemas.openxmlformats.org/officeDocument/2006/relationships/hyperlink" Target="https://dart.fss.or.kr/dsaf001/main.do?rcpNo=20161115900058" TargetMode="External" Id="rId430"/><Relationship Type="http://schemas.openxmlformats.org/officeDocument/2006/relationships/hyperlink" Target="https://dart.fss.or.kr/dsaf001/main.do?rcpNo=20161114000882" TargetMode="External" Id="rId431"/><Relationship Type="http://schemas.openxmlformats.org/officeDocument/2006/relationships/hyperlink" Target="https://dart.fss.or.kr/dsaf001/main.do?rcpNo=20161114000674" TargetMode="External" Id="rId432"/><Relationship Type="http://schemas.openxmlformats.org/officeDocument/2006/relationships/hyperlink" Target="https://dart.fss.or.kr/dsaf001/main.do?rcpNo=20161110900455" TargetMode="External" Id="rId433"/><Relationship Type="http://schemas.openxmlformats.org/officeDocument/2006/relationships/hyperlink" Target="https://dart.fss.or.kr/dsaf001/main.do?rcpNo=20161107000233" TargetMode="External" Id="rId434"/><Relationship Type="http://schemas.openxmlformats.org/officeDocument/2006/relationships/hyperlink" Target="https://dart.fss.or.kr/dsaf001/main.do?rcpNo=20161107000231" TargetMode="External" Id="rId435"/><Relationship Type="http://schemas.openxmlformats.org/officeDocument/2006/relationships/hyperlink" Target="https://dart.fss.or.kr/dsaf001/main.do?rcpNo=20161107000225" TargetMode="External" Id="rId436"/><Relationship Type="http://schemas.openxmlformats.org/officeDocument/2006/relationships/hyperlink" Target="https://dart.fss.or.kr/dsaf001/main.do?rcpNo=20161028900364" TargetMode="External" Id="rId437"/><Relationship Type="http://schemas.openxmlformats.org/officeDocument/2006/relationships/hyperlink" Target="https://dart.fss.or.kr/dsaf001/main.do?rcpNo=20161028900114" TargetMode="External" Id="rId438"/><Relationship Type="http://schemas.openxmlformats.org/officeDocument/2006/relationships/hyperlink" Target="https://dart.fss.or.kr/dsaf001/main.do?rcpNo=20161028900102" TargetMode="External" Id="rId439"/><Relationship Type="http://schemas.openxmlformats.org/officeDocument/2006/relationships/hyperlink" Target="https://dart.fss.or.kr/dsaf001/main.do?rcpNo=20161028000042" TargetMode="External" Id="rId440"/><Relationship Type="http://schemas.openxmlformats.org/officeDocument/2006/relationships/hyperlink" Target="https://dart.fss.or.kr/dsaf001/main.do?rcpNo=20161026000232" TargetMode="External" Id="rId441"/><Relationship Type="http://schemas.openxmlformats.org/officeDocument/2006/relationships/hyperlink" Target="https://dart.fss.or.kr/dsaf001/main.do?rcpNo=20160817900057" TargetMode="External" Id="rId442"/><Relationship Type="http://schemas.openxmlformats.org/officeDocument/2006/relationships/hyperlink" Target="https://dart.fss.or.kr/dsaf001/main.do?rcpNo=20160816000910" TargetMode="External" Id="rId443"/><Relationship Type="http://schemas.openxmlformats.org/officeDocument/2006/relationships/hyperlink" Target="https://dart.fss.or.kr/dsaf001/main.do?rcpNo=20160519900055" TargetMode="External" Id="rId444"/><Relationship Type="http://schemas.openxmlformats.org/officeDocument/2006/relationships/hyperlink" Target="https://dart.fss.or.kr/dsaf001/main.do?rcpNo=20160516001863" TargetMode="External" Id="rId445"/><Relationship Type="http://schemas.openxmlformats.org/officeDocument/2006/relationships/hyperlink" Target="https://dart.fss.or.kr/dsaf001/main.do?rcpNo=20160425900127" TargetMode="External" Id="rId446"/><Relationship Type="http://schemas.openxmlformats.org/officeDocument/2006/relationships/hyperlink" Target="https://dart.fss.or.kr/dsaf001/main.do?rcpNo=20160425900126" TargetMode="External" Id="rId447"/><Relationship Type="http://schemas.openxmlformats.org/officeDocument/2006/relationships/hyperlink" Target="https://dart.fss.or.kr/dsaf001/main.do?rcpNo=20160330001268" TargetMode="External" Id="rId448"/><Relationship Type="http://schemas.openxmlformats.org/officeDocument/2006/relationships/hyperlink" Target="https://dart.fss.or.kr/dsaf001/main.do?rcpNo=20160328900391" TargetMode="External" Id="rId449"/><Relationship Type="http://schemas.openxmlformats.org/officeDocument/2006/relationships/hyperlink" Target="https://dart.fss.or.kr/dsaf001/main.do?rcpNo=20160318901189" TargetMode="External" Id="rId450"/><Relationship Type="http://schemas.openxmlformats.org/officeDocument/2006/relationships/hyperlink" Target="https://dart.fss.or.kr/dsaf001/main.do?rcpNo=20160317900484" TargetMode="External" Id="rId451"/><Relationship Type="http://schemas.openxmlformats.org/officeDocument/2006/relationships/hyperlink" Target="https://dart.fss.or.kr/dsaf001/main.do?rcpNo=20160311900491" TargetMode="External" Id="rId452"/><Relationship Type="http://schemas.openxmlformats.org/officeDocument/2006/relationships/hyperlink" Target="https://dart.fss.or.kr/dsaf001/main.do?rcpNo=20160311000282" TargetMode="External" Id="rId453"/><Relationship Type="http://schemas.openxmlformats.org/officeDocument/2006/relationships/hyperlink" Target="https://dart.fss.or.kr/dsaf001/main.do?rcpNo=20160309000301" TargetMode="External" Id="rId454"/><Relationship Type="http://schemas.openxmlformats.org/officeDocument/2006/relationships/hyperlink" Target="https://dart.fss.or.kr/dsaf001/main.do?rcpNo=20160304000351" TargetMode="External" Id="rId455"/><Relationship Type="http://schemas.openxmlformats.org/officeDocument/2006/relationships/hyperlink" Target="https://dart.fss.or.kr/dsaf001/main.do?rcpNo=20160304000335" TargetMode="External" Id="rId456"/><Relationship Type="http://schemas.openxmlformats.org/officeDocument/2006/relationships/hyperlink" Target="https://dart.fss.or.kr/dsaf001/main.do?rcpNo=20160223000029" TargetMode="External" Id="rId457"/><Relationship Type="http://schemas.openxmlformats.org/officeDocument/2006/relationships/hyperlink" Target="https://dart.fss.or.kr/dsaf001/main.do?rcpNo=20160222000425" TargetMode="External" Id="rId458"/><Relationship Type="http://schemas.openxmlformats.org/officeDocument/2006/relationships/hyperlink" Target="https://dart.fss.or.kr/dsaf001/main.do?rcpNo=20160202900288" TargetMode="External" Id="rId459"/><Relationship Type="http://schemas.openxmlformats.org/officeDocument/2006/relationships/hyperlink" Target="https://dart.fss.or.kr/dsaf001/main.do?rcpNo=20151229900105" TargetMode="External" Id="rId460"/><Relationship Type="http://schemas.openxmlformats.org/officeDocument/2006/relationships/hyperlink" Target="https://dart.fss.or.kr/dsaf001/main.do?rcpNo=20151223000377" TargetMode="External" Id="rId461"/><Relationship Type="http://schemas.openxmlformats.org/officeDocument/2006/relationships/hyperlink" Target="https://dart.fss.or.kr/dsaf001/main.do?rcpNo=20151216900537" TargetMode="External" Id="rId462"/><Relationship Type="http://schemas.openxmlformats.org/officeDocument/2006/relationships/hyperlink" Target="https://dart.fss.or.kr/dsaf001/main.do?rcpNo=20151208900087" TargetMode="External" Id="rId463"/><Relationship Type="http://schemas.openxmlformats.org/officeDocument/2006/relationships/hyperlink" Target="https://dart.fss.or.kr/dsaf001/main.do?rcpNo=20151207900178" TargetMode="External" Id="rId464"/><Relationship Type="http://schemas.openxmlformats.org/officeDocument/2006/relationships/hyperlink" Target="https://dart.fss.or.kr/dsaf001/main.do?rcpNo=20151125000185" TargetMode="External" Id="rId465"/><Relationship Type="http://schemas.openxmlformats.org/officeDocument/2006/relationships/hyperlink" Target="https://dart.fss.or.kr/dsaf001/main.do?rcpNo=20151116000317" TargetMode="External" Id="rId466"/><Relationship Type="http://schemas.openxmlformats.org/officeDocument/2006/relationships/hyperlink" Target="https://dart.fss.or.kr/dsaf001/main.do?rcpNo=20150819000102" TargetMode="External" Id="rId467"/><Relationship Type="http://schemas.openxmlformats.org/officeDocument/2006/relationships/hyperlink" Target="https://dart.fss.or.kr/dsaf001/main.do?rcpNo=20150817000636" TargetMode="External" Id="rId468"/><Relationship Type="http://schemas.openxmlformats.org/officeDocument/2006/relationships/hyperlink" Target="https://dart.fss.or.kr/dsaf001/main.do?rcpNo=20150624000194" TargetMode="External" Id="rId469"/><Relationship Type="http://schemas.openxmlformats.org/officeDocument/2006/relationships/hyperlink" Target="https://dart.fss.or.kr/dsaf001/main.do?rcpNo=20150624000191" TargetMode="External" Id="rId470"/><Relationship Type="http://schemas.openxmlformats.org/officeDocument/2006/relationships/hyperlink" Target="https://dart.fss.or.kr/dsaf001/main.do?rcpNo=20150624000187" TargetMode="External" Id="rId471"/><Relationship Type="http://schemas.openxmlformats.org/officeDocument/2006/relationships/hyperlink" Target="https://dart.fss.or.kr/dsaf001/main.do?rcpNo=20150624000182" TargetMode="External" Id="rId472"/><Relationship Type="http://schemas.openxmlformats.org/officeDocument/2006/relationships/hyperlink" Target="https://dart.fss.or.kr/dsaf001/main.do?rcpNo=20150624000171" TargetMode="External" Id="rId473"/><Relationship Type="http://schemas.openxmlformats.org/officeDocument/2006/relationships/hyperlink" Target="https://dart.fss.or.kr/dsaf001/main.do?rcpNo=20150605000170" TargetMode="External" Id="rId474"/><Relationship Type="http://schemas.openxmlformats.org/officeDocument/2006/relationships/hyperlink" Target="https://dart.fss.or.kr/dsaf001/main.do?rcpNo=20150605000165" TargetMode="External" Id="rId475"/><Relationship Type="http://schemas.openxmlformats.org/officeDocument/2006/relationships/hyperlink" Target="https://dart.fss.or.kr/dsaf001/main.do?rcpNo=20150514004897" TargetMode="External" Id="rId476"/><Relationship Type="http://schemas.openxmlformats.org/officeDocument/2006/relationships/hyperlink" Target="https://dart.fss.or.kr/dsaf001/main.do?rcpNo=20150514003695" TargetMode="External" Id="rId477"/><Relationship Type="http://schemas.openxmlformats.org/officeDocument/2006/relationships/hyperlink" Target="https://dart.fss.or.kr/dsaf001/main.do?rcpNo=20150514003616" TargetMode="External" Id="rId478"/><Relationship Type="http://schemas.openxmlformats.org/officeDocument/2006/relationships/hyperlink" Target="https://dart.fss.or.kr/dsaf001/main.do?rcpNo=20150506900117" TargetMode="External" Id="rId479"/><Relationship Type="http://schemas.openxmlformats.org/officeDocument/2006/relationships/hyperlink" Target="https://dart.fss.or.kr/dsaf001/main.do?rcpNo=20150506900085" TargetMode="External" Id="rId480"/><Relationship Type="http://schemas.openxmlformats.org/officeDocument/2006/relationships/hyperlink" Target="https://dart.fss.or.kr/dsaf001/main.do?rcpNo=20150331001367" TargetMode="External" Id="rId481"/><Relationship Type="http://schemas.openxmlformats.org/officeDocument/2006/relationships/hyperlink" Target="https://dart.fss.or.kr/dsaf001/main.do?rcpNo=20150331001272" TargetMode="External" Id="rId482"/><Relationship Type="http://schemas.openxmlformats.org/officeDocument/2006/relationships/hyperlink" Target="https://dart.fss.or.kr/dsaf001/main.do?rcpNo=20150330000327" TargetMode="External" Id="rId483"/><Relationship Type="http://schemas.openxmlformats.org/officeDocument/2006/relationships/hyperlink" Target="https://dart.fss.or.kr/dsaf001/main.do?rcpNo=20150327900724" TargetMode="External" Id="rId484"/><Relationship Type="http://schemas.openxmlformats.org/officeDocument/2006/relationships/hyperlink" Target="https://dart.fss.or.kr/dsaf001/main.do?rcpNo=20150318900815" TargetMode="External" Id="rId485"/><Relationship Type="http://schemas.openxmlformats.org/officeDocument/2006/relationships/hyperlink" Target="https://dart.fss.or.kr/dsaf001/main.do?rcpNo=20150312900583" TargetMode="External" Id="rId486"/><Relationship Type="http://schemas.openxmlformats.org/officeDocument/2006/relationships/hyperlink" Target="https://dart.fss.or.kr/dsaf001/main.do?rcpNo=20150312900554" TargetMode="External" Id="rId487"/><Relationship Type="http://schemas.openxmlformats.org/officeDocument/2006/relationships/hyperlink" Target="https://dart.fss.or.kr/dsaf001/main.do?rcpNo=20150312000329" TargetMode="External" Id="rId488"/><Relationship Type="http://schemas.openxmlformats.org/officeDocument/2006/relationships/hyperlink" Target="https://dart.fss.or.kr/dsaf001/main.do?rcpNo=20150224900034" TargetMode="External" Id="rId489"/><Relationship Type="http://schemas.openxmlformats.org/officeDocument/2006/relationships/hyperlink" Target="https://dart.fss.or.kr/dsaf001/main.do?rcpNo=20150122000040" TargetMode="External" Id="rId490"/><Relationship Type="http://schemas.openxmlformats.org/officeDocument/2006/relationships/hyperlink" Target="https://dart.fss.or.kr/dsaf001/main.do?rcpNo=20150115900127" TargetMode="External" Id="rId491"/><Relationship Type="http://schemas.openxmlformats.org/officeDocument/2006/relationships/hyperlink" Target="https://dart.fss.or.kr/dsaf001/main.do?rcpNo=20141230000678" TargetMode="External" Id="rId492"/><Relationship Type="http://schemas.openxmlformats.org/officeDocument/2006/relationships/hyperlink" Target="https://dart.fss.or.kr/dsaf001/main.do?rcpNo=20141224000123" TargetMode="External" Id="rId493"/><Relationship Type="http://schemas.openxmlformats.org/officeDocument/2006/relationships/hyperlink" Target="https://dart.fss.or.kr/dsaf001/main.do?rcpNo=20141224000122" TargetMode="External" Id="rId494"/><Relationship Type="http://schemas.openxmlformats.org/officeDocument/2006/relationships/hyperlink" Target="https://dart.fss.or.kr/dsaf001/main.do?rcpNo=20141224000120" TargetMode="External" Id="rId495"/><Relationship Type="http://schemas.openxmlformats.org/officeDocument/2006/relationships/hyperlink" Target="https://dart.fss.or.kr/dsaf001/main.do?rcpNo=20141224000119" TargetMode="External" Id="rId496"/><Relationship Type="http://schemas.openxmlformats.org/officeDocument/2006/relationships/hyperlink" Target="https://dart.fss.or.kr/dsaf001/main.do?rcpNo=20141224000117" TargetMode="External" Id="rId497"/><Relationship Type="http://schemas.openxmlformats.org/officeDocument/2006/relationships/hyperlink" Target="https://dart.fss.or.kr/dsaf001/main.do?rcpNo=20141224000112" TargetMode="External" Id="rId498"/><Relationship Type="http://schemas.openxmlformats.org/officeDocument/2006/relationships/hyperlink" Target="https://dart.fss.or.kr/dsaf001/main.do?rcpNo=20141224000109" TargetMode="External" Id="rId499"/><Relationship Type="http://schemas.openxmlformats.org/officeDocument/2006/relationships/hyperlink" Target="https://dart.fss.or.kr/dsaf001/main.do?rcpNo=20141223000463" TargetMode="External" Id="rId500"/><Relationship Type="http://schemas.openxmlformats.org/officeDocument/2006/relationships/hyperlink" Target="https://dart.fss.or.kr/dsaf001/main.do?rcpNo=20141222000333" TargetMode="External" Id="rId501"/><Relationship Type="http://schemas.openxmlformats.org/officeDocument/2006/relationships/hyperlink" Target="https://dart.fss.or.kr/dsaf001/main.do?rcpNo=20141210000339" TargetMode="External" Id="rId502"/><Relationship Type="http://schemas.openxmlformats.org/officeDocument/2006/relationships/hyperlink" Target="https://dart.fss.or.kr/dsaf001/main.do?rcpNo=20141203000018" TargetMode="External" Id="rId503"/><Relationship Type="http://schemas.openxmlformats.org/officeDocument/2006/relationships/hyperlink" Target="https://dart.fss.or.kr/dsaf001/main.do?rcpNo=20141203000016" TargetMode="External" Id="rId504"/><Relationship Type="http://schemas.openxmlformats.org/officeDocument/2006/relationships/hyperlink" Target="https://dart.fss.or.kr/dsaf001/main.do?rcpNo=20141203000014" TargetMode="External" Id="rId505"/><Relationship Type="http://schemas.openxmlformats.org/officeDocument/2006/relationships/hyperlink" Target="https://dart.fss.or.kr/dsaf001/main.do?rcpNo=20141128000015" TargetMode="External" Id="rId506"/><Relationship Type="http://schemas.openxmlformats.org/officeDocument/2006/relationships/hyperlink" Target="https://dart.fss.or.kr/dsaf001/main.do?rcpNo=20141127000304" TargetMode="External" Id="rId507"/><Relationship Type="http://schemas.openxmlformats.org/officeDocument/2006/relationships/hyperlink" Target="https://dart.fss.or.kr/dsaf001/main.do?rcpNo=20141126000321" TargetMode="External" Id="rId508"/><Relationship Type="http://schemas.openxmlformats.org/officeDocument/2006/relationships/hyperlink" Target="https://dart.fss.or.kr/dsaf001/main.do?rcpNo=20141125000236" TargetMode="External" Id="rId509"/><Relationship Type="http://schemas.openxmlformats.org/officeDocument/2006/relationships/hyperlink" Target="https://dart.fss.or.kr/dsaf001/main.do?rcpNo=20141106003843" TargetMode="External" Id="rId510"/><Relationship Type="http://schemas.openxmlformats.org/officeDocument/2006/relationships/hyperlink" Target="https://dart.fss.or.kr/dsaf001/main.do?rcpNo=20140825000606" TargetMode="External" Id="rId511"/><Relationship Type="http://schemas.openxmlformats.org/officeDocument/2006/relationships/hyperlink" Target="https://dart.fss.or.kr/dsaf001/main.do?rcpNo=20140825000604" TargetMode="External" Id="rId512"/><Relationship Type="http://schemas.openxmlformats.org/officeDocument/2006/relationships/hyperlink" Target="https://dart.fss.or.kr/dsaf001/main.do?rcpNo=20140331002784" TargetMode="External" Id="rId513"/><Relationship Type="http://schemas.openxmlformats.org/officeDocument/2006/relationships/hyperlink" Target="https://dart.fss.or.kr/dsaf001/main.do?rcpNo=20140331002470" TargetMode="External" Id="rId514"/><Relationship Type="http://schemas.openxmlformats.org/officeDocument/2006/relationships/hyperlink" Target="https://dart.fss.or.kr/dsaf001/main.do?rcpNo=20130329000698" TargetMode="External" Id="rId515"/><Relationship Type="http://schemas.openxmlformats.org/officeDocument/2006/relationships/hyperlink" Target="https://dart.fss.or.kr/dsaf001/main.do?rcpNo=20120330000993" TargetMode="External" Id="rId516"/><Relationship Type="http://schemas.openxmlformats.org/officeDocument/2006/relationships/hyperlink" Target="https://dart.fss.or.kr/dsaf001/main.do?rcpNo=20110331000498" TargetMode="External" Id="rId517"/><Relationship Type="http://schemas.openxmlformats.org/officeDocument/2006/relationships/hyperlink" Target="https://dart.fss.or.kr/dsaf001/main.do?rcpNo=20100331000261" TargetMode="External" Id="rId518"/><Relationship Type="http://schemas.openxmlformats.org/officeDocument/2006/relationships/hyperlink" Target="https://dart.fss.or.kr/dsaf001/main.do?rcpNo=20090327000090" TargetMode="External" Id="rId519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20" customWidth="1" min="4" max="4"/>
    <col width="6" customWidth="1" min="5" max="5"/>
    <col width="22" customWidth="1" min="6" max="6"/>
    <col width="16" customWidth="1" min="7" max="7"/>
    <col width="10" customWidth="1" min="8" max="8"/>
  </cols>
  <sheetData>
    <row r="1" ht="30" customHeight="1">
      <c r="A1" s="19" t="inlineStr">
        <is>
          <t>접수일자</t>
        </is>
      </c>
      <c r="B1" s="19" t="inlineStr">
        <is>
          <t>보고서명</t>
        </is>
      </c>
      <c r="C1" s="19" t="inlineStr">
        <is>
          <t>제출인</t>
        </is>
      </c>
      <c r="D1" s="19" t="inlineStr">
        <is>
          <t>분류</t>
        </is>
      </c>
      <c r="E1" s="19" t="inlineStr">
        <is>
          <t>정정</t>
        </is>
      </c>
      <c r="F1" s="19" t="inlineStr">
        <is>
          <t>원문파일</t>
        </is>
      </c>
      <c r="G1" s="19" t="inlineStr">
        <is>
          <t>접수번호</t>
        </is>
      </c>
      <c r="H1" s="19" t="inlineStr">
        <is>
          <t>DART 링크</t>
        </is>
      </c>
    </row>
    <row r="2">
      <c r="A2" s="20" t="inlineStr">
        <is>
          <t>2026-09-09</t>
        </is>
      </c>
      <c r="B2" s="20" t="inlineStr">
        <is>
          <t>[기재정정]단일판매ㆍ공급계약체결</t>
        </is>
      </c>
      <c r="C2" s="20" t="inlineStr">
        <is>
          <t>에이디테크놀로지</t>
        </is>
      </c>
      <c r="D2" s="20" t="inlineStr">
        <is>
          <t>공급계약</t>
        </is>
      </c>
      <c r="E2" s="20" t="inlineStr">
        <is>
          <t>정정</t>
        </is>
      </c>
      <c r="F2" s="20" t="inlineStr">
        <is>
          <t>20260909900486.html</t>
        </is>
      </c>
      <c r="G2" s="20" t="inlineStr">
        <is>
          <t>20260909900486</t>
        </is>
      </c>
      <c r="H2" s="21" t="inlineStr">
        <is>
          <t>열기</t>
        </is>
      </c>
    </row>
    <row r="3">
      <c r="A3" s="20" t="inlineStr">
        <is>
          <t>2026-08-19</t>
        </is>
      </c>
      <c r="B3" s="20" t="inlineStr">
        <is>
          <t>기업설명회(IR)개최</t>
        </is>
      </c>
      <c r="C3" s="20" t="inlineStr">
        <is>
          <t>에이디테크놀로지</t>
        </is>
      </c>
      <c r="D3" s="20" t="inlineStr">
        <is>
          <t>IR</t>
        </is>
      </c>
      <c r="E3" s="20" t="inlineStr"/>
      <c r="F3" s="20" t="inlineStr">
        <is>
          <t>20260819900118.html</t>
        </is>
      </c>
      <c r="G3" s="20" t="inlineStr">
        <is>
          <t>20260819900118</t>
        </is>
      </c>
      <c r="H3" s="21" t="inlineStr">
        <is>
          <t>열기</t>
        </is>
      </c>
    </row>
    <row r="4">
      <c r="A4" s="20" t="inlineStr">
        <is>
          <t>2026-08-14</t>
        </is>
      </c>
      <c r="B4" s="20" t="inlineStr">
        <is>
          <t>반기보고서 (2026.06)</t>
        </is>
      </c>
      <c r="C4" s="20" t="inlineStr">
        <is>
          <t>에이디테크놀로지</t>
        </is>
      </c>
      <c r="D4" s="20" t="inlineStr">
        <is>
          <t>정기보고서</t>
        </is>
      </c>
      <c r="E4" s="20" t="inlineStr"/>
      <c r="F4" s="20" t="inlineStr">
        <is>
          <t>20260814002567.html</t>
        </is>
      </c>
      <c r="G4" s="20" t="inlineStr">
        <is>
          <t>20260814002567</t>
        </is>
      </c>
      <c r="H4" s="21" t="inlineStr">
        <is>
          <t>열기</t>
        </is>
      </c>
    </row>
    <row r="5">
      <c r="A5" s="20" t="inlineStr">
        <is>
          <t>2026-06-30</t>
        </is>
      </c>
      <c r="B5" s="20" t="inlineStr">
        <is>
          <t>[기재정정]단일판매ㆍ공급계약체결</t>
        </is>
      </c>
      <c r="C5" s="20" t="inlineStr">
        <is>
          <t>에이디테크놀로지</t>
        </is>
      </c>
      <c r="D5" s="20" t="inlineStr">
        <is>
          <t>공급계약</t>
        </is>
      </c>
      <c r="E5" s="20" t="inlineStr">
        <is>
          <t>정정</t>
        </is>
      </c>
      <c r="F5" s="20" t="inlineStr">
        <is>
          <t>20260630901379.html</t>
        </is>
      </c>
      <c r="G5" s="20" t="inlineStr">
        <is>
          <t>20260630901379</t>
        </is>
      </c>
      <c r="H5" s="21" t="inlineStr">
        <is>
          <t>열기</t>
        </is>
      </c>
    </row>
    <row r="6">
      <c r="A6" s="20" t="inlineStr">
        <is>
          <t>2026-05-26</t>
        </is>
      </c>
      <c r="B6" s="20" t="inlineStr">
        <is>
          <t>기업설명회(IR)개최</t>
        </is>
      </c>
      <c r="C6" s="20" t="inlineStr">
        <is>
          <t>에이디테크놀로지</t>
        </is>
      </c>
      <c r="D6" s="20" t="inlineStr">
        <is>
          <t>IR</t>
        </is>
      </c>
      <c r="E6" s="20" t="inlineStr"/>
      <c r="F6" s="20" t="inlineStr">
        <is>
          <t>20260526900169.html</t>
        </is>
      </c>
      <c r="G6" s="20" t="inlineStr">
        <is>
          <t>20260526900169</t>
        </is>
      </c>
      <c r="H6" s="21" t="inlineStr">
        <is>
          <t>열기</t>
        </is>
      </c>
    </row>
    <row r="7">
      <c r="A7" s="20" t="inlineStr">
        <is>
          <t>2026-05-15</t>
        </is>
      </c>
      <c r="B7" s="20" t="inlineStr">
        <is>
          <t>분기보고서 (2026.03)</t>
        </is>
      </c>
      <c r="C7" s="20" t="inlineStr">
        <is>
          <t>에이디테크놀로지</t>
        </is>
      </c>
      <c r="D7" s="20" t="inlineStr">
        <is>
          <t>정기보고서</t>
        </is>
      </c>
      <c r="E7" s="20" t="inlineStr"/>
      <c r="F7" s="20" t="inlineStr">
        <is>
          <t>20260515003049.html</t>
        </is>
      </c>
      <c r="G7" s="20" t="inlineStr">
        <is>
          <t>20260515003049</t>
        </is>
      </c>
      <c r="H7" s="21" t="inlineStr">
        <is>
          <t>열기</t>
        </is>
      </c>
    </row>
    <row r="8">
      <c r="A8" s="20" t="inlineStr">
        <is>
          <t>2026-04-29</t>
        </is>
      </c>
      <c r="B8" s="20" t="inlineStr">
        <is>
          <t>증권발행결과(자율공시)</t>
        </is>
      </c>
      <c r="C8" s="20" t="inlineStr">
        <is>
          <t>에이디테크놀로지</t>
        </is>
      </c>
      <c r="D8" s="20" t="inlineStr">
        <is>
          <t>증권신고/합병</t>
        </is>
      </c>
      <c r="E8" s="20" t="inlineStr"/>
      <c r="F8" s="20" t="inlineStr">
        <is>
          <t>20260429900732.html</t>
        </is>
      </c>
      <c r="G8" s="20" t="inlineStr">
        <is>
          <t>20260429900732</t>
        </is>
      </c>
      <c r="H8" s="21" t="inlineStr">
        <is>
          <t>열기</t>
        </is>
      </c>
    </row>
    <row r="9">
      <c r="A9" s="20" t="inlineStr">
        <is>
          <t>2026-04-23</t>
        </is>
      </c>
      <c r="B9" s="20" t="inlineStr">
        <is>
          <t>임원ㆍ주요주주특정증권등소유상황보고서</t>
        </is>
      </c>
      <c r="C9" s="20" t="inlineStr">
        <is>
          <t>김종민</t>
        </is>
      </c>
      <c r="D9" s="20" t="inlineStr">
        <is>
          <t>임원 소유상황/거래계획</t>
        </is>
      </c>
      <c r="E9" s="20" t="inlineStr"/>
      <c r="F9" s="20" t="inlineStr">
        <is>
          <t>20260423000703.html</t>
        </is>
      </c>
      <c r="G9" s="20" t="inlineStr">
        <is>
          <t>20260423000703</t>
        </is>
      </c>
      <c r="H9" s="21" t="inlineStr">
        <is>
          <t>열기</t>
        </is>
      </c>
    </row>
    <row r="10">
      <c r="A10" s="20" t="inlineStr">
        <is>
          <t>2026-04-23</t>
        </is>
      </c>
      <c r="B10" s="20" t="inlineStr">
        <is>
          <t>임원ㆍ주요주주특정증권등소유상황보고서</t>
        </is>
      </c>
      <c r="C10" s="20" t="inlineStr">
        <is>
          <t>김귀우</t>
        </is>
      </c>
      <c r="D10" s="20" t="inlineStr">
        <is>
          <t>임원 소유상황/거래계획</t>
        </is>
      </c>
      <c r="E10" s="20" t="inlineStr"/>
      <c r="F10" s="20" t="inlineStr">
        <is>
          <t>20260423000646.html</t>
        </is>
      </c>
      <c r="G10" s="20" t="inlineStr">
        <is>
          <t>20260423000646</t>
        </is>
      </c>
      <c r="H10" s="21" t="inlineStr">
        <is>
          <t>열기</t>
        </is>
      </c>
    </row>
    <row r="11">
      <c r="A11" s="20" t="inlineStr">
        <is>
          <t>2026-04-23</t>
        </is>
      </c>
      <c r="B11" s="20" t="inlineStr">
        <is>
          <t>임원ㆍ주요주주특정증권등소유상황보고서</t>
        </is>
      </c>
      <c r="C11" s="20" t="inlineStr">
        <is>
          <t>김선민</t>
        </is>
      </c>
      <c r="D11" s="20" t="inlineStr">
        <is>
          <t>임원 소유상황/거래계획</t>
        </is>
      </c>
      <c r="E11" s="20" t="inlineStr"/>
      <c r="F11" s="20" t="inlineStr">
        <is>
          <t>20260423000577.html</t>
        </is>
      </c>
      <c r="G11" s="20" t="inlineStr">
        <is>
          <t>20260423000577</t>
        </is>
      </c>
      <c r="H11" s="21" t="inlineStr">
        <is>
          <t>열기</t>
        </is>
      </c>
    </row>
    <row r="12">
      <c r="A12" s="20" t="inlineStr">
        <is>
          <t>2026-04-23</t>
        </is>
      </c>
      <c r="B12" s="20" t="inlineStr">
        <is>
          <t>임원ㆍ주요주주특정증권등소유상황보고서</t>
        </is>
      </c>
      <c r="C12" s="20" t="inlineStr">
        <is>
          <t>이은주</t>
        </is>
      </c>
      <c r="D12" s="20" t="inlineStr">
        <is>
          <t>임원 소유상황/거래계획</t>
        </is>
      </c>
      <c r="E12" s="20" t="inlineStr"/>
      <c r="F12" s="20" t="inlineStr">
        <is>
          <t>20260423000343.html</t>
        </is>
      </c>
      <c r="G12" s="20" t="inlineStr">
        <is>
          <t>20260423000343</t>
        </is>
      </c>
      <c r="H12" s="21" t="inlineStr">
        <is>
          <t>열기</t>
        </is>
      </c>
    </row>
    <row r="13">
      <c r="A13" s="20" t="inlineStr">
        <is>
          <t>2026-04-21</t>
        </is>
      </c>
      <c r="B13" s="20" t="inlineStr">
        <is>
          <t>주요사항보고서(전환사채권발행결정)</t>
        </is>
      </c>
      <c r="C13" s="20" t="inlineStr">
        <is>
          <t>에이디테크놀로지</t>
        </is>
      </c>
      <c r="D13" s="20" t="inlineStr">
        <is>
          <t>자금조달/CB</t>
        </is>
      </c>
      <c r="E13" s="20" t="inlineStr"/>
      <c r="F13" s="20" t="inlineStr">
        <is>
          <t>20260421000499.html</t>
        </is>
      </c>
      <c r="G13" s="20" t="inlineStr">
        <is>
          <t>20260421000499</t>
        </is>
      </c>
      <c r="H13" s="21" t="inlineStr">
        <is>
          <t>열기</t>
        </is>
      </c>
    </row>
    <row r="14">
      <c r="A14" s="20" t="inlineStr">
        <is>
          <t>2026-04-17</t>
        </is>
      </c>
      <c r="B14" s="20" t="inlineStr">
        <is>
          <t>[기재정정]단일판매ㆍ공급계약체결</t>
        </is>
      </c>
      <c r="C14" s="20" t="inlineStr">
        <is>
          <t>에이디테크놀로지</t>
        </is>
      </c>
      <c r="D14" s="20" t="inlineStr">
        <is>
          <t>공급계약</t>
        </is>
      </c>
      <c r="E14" s="20" t="inlineStr">
        <is>
          <t>정정</t>
        </is>
      </c>
      <c r="F14" s="20" t="inlineStr">
        <is>
          <t>20260417900943.html</t>
        </is>
      </c>
      <c r="G14" s="20" t="inlineStr">
        <is>
          <t>20260417900943</t>
        </is>
      </c>
      <c r="H14" s="21" t="inlineStr">
        <is>
          <t>열기</t>
        </is>
      </c>
    </row>
    <row r="15">
      <c r="A15" s="20" t="inlineStr">
        <is>
          <t>2026-04-15</t>
        </is>
      </c>
      <c r="B15" s="20" t="inlineStr">
        <is>
          <t>[기재정정]단일판매ㆍ공급계약체결</t>
        </is>
      </c>
      <c r="C15" s="20" t="inlineStr">
        <is>
          <t>에이디테크놀로지</t>
        </is>
      </c>
      <c r="D15" s="20" t="inlineStr">
        <is>
          <t>공급계약</t>
        </is>
      </c>
      <c r="E15" s="20" t="inlineStr">
        <is>
          <t>정정</t>
        </is>
      </c>
      <c r="F15" s="20" t="inlineStr">
        <is>
          <t>20260415900028.html</t>
        </is>
      </c>
      <c r="G15" s="20" t="inlineStr">
        <is>
          <t>20260415900028</t>
        </is>
      </c>
      <c r="H15" s="21" t="inlineStr">
        <is>
          <t>열기</t>
        </is>
      </c>
    </row>
    <row r="16">
      <c r="A16" s="20" t="inlineStr">
        <is>
          <t>2026-04-15</t>
        </is>
      </c>
      <c r="B16" s="20" t="inlineStr">
        <is>
          <t>단일판매ㆍ공급계약체결</t>
        </is>
      </c>
      <c r="C16" s="20" t="inlineStr">
        <is>
          <t>에이디테크놀로지</t>
        </is>
      </c>
      <c r="D16" s="20" t="inlineStr">
        <is>
          <t>공급계약</t>
        </is>
      </c>
      <c r="E16" s="20" t="inlineStr"/>
      <c r="F16" s="20" t="inlineStr">
        <is>
          <t>20260415900007.html</t>
        </is>
      </c>
      <c r="G16" s="20" t="inlineStr">
        <is>
          <t>20260415900007</t>
        </is>
      </c>
      <c r="H16" s="21" t="inlineStr">
        <is>
          <t>열기</t>
        </is>
      </c>
    </row>
    <row r="17">
      <c r="A17" s="20" t="inlineStr">
        <is>
          <t>2026-04-02</t>
        </is>
      </c>
      <c r="B17" s="20" t="inlineStr">
        <is>
          <t>주식등의대량보유상황보고서(일반)</t>
        </is>
      </c>
      <c r="C17" s="20" t="inlineStr">
        <is>
          <t>김준석</t>
        </is>
      </c>
      <c r="D17" s="20" t="inlineStr">
        <is>
          <t>5% 대량보유</t>
        </is>
      </c>
      <c r="E17" s="20" t="inlineStr"/>
      <c r="F17" s="20" t="inlineStr">
        <is>
          <t>20260402003788.html</t>
        </is>
      </c>
      <c r="G17" s="20" t="inlineStr">
        <is>
          <t>20260402003788</t>
        </is>
      </c>
      <c r="H17" s="21" t="inlineStr">
        <is>
          <t>열기</t>
        </is>
      </c>
    </row>
    <row r="18">
      <c r="A18" s="20" t="inlineStr">
        <is>
          <t>2026-03-30</t>
        </is>
      </c>
      <c r="B18" s="20" t="inlineStr">
        <is>
          <t>정기주주총회결과</t>
        </is>
      </c>
      <c r="C18" s="20" t="inlineStr">
        <is>
          <t>에이디테크놀로지</t>
        </is>
      </c>
      <c r="D18" s="20" t="inlineStr">
        <is>
          <t>경영권/주총</t>
        </is>
      </c>
      <c r="E18" s="20" t="inlineStr"/>
      <c r="F18" s="20" t="inlineStr">
        <is>
          <t>20260330901030.html</t>
        </is>
      </c>
      <c r="G18" s="20" t="inlineStr">
        <is>
          <t>20260330901030</t>
        </is>
      </c>
      <c r="H18" s="21" t="inlineStr">
        <is>
          <t>열기</t>
        </is>
      </c>
    </row>
    <row r="19">
      <c r="A19" s="20" t="inlineStr">
        <is>
          <t>2026-03-20</t>
        </is>
      </c>
      <c r="B19" s="20" t="inlineStr">
        <is>
          <t>감사보고서제출</t>
        </is>
      </c>
      <c r="C19" s="20" t="inlineStr">
        <is>
          <t>에이디테크놀로지</t>
        </is>
      </c>
      <c r="D19" s="20" t="inlineStr">
        <is>
          <t>감사보고서</t>
        </is>
      </c>
      <c r="E19" s="20" t="inlineStr"/>
      <c r="F19" s="20" t="inlineStr">
        <is>
          <t>20260320901405.html</t>
        </is>
      </c>
      <c r="G19" s="20" t="inlineStr">
        <is>
          <t>20260320901405</t>
        </is>
      </c>
      <c r="H19" s="21" t="inlineStr">
        <is>
          <t>열기</t>
        </is>
      </c>
    </row>
    <row r="20">
      <c r="A20" s="20" t="inlineStr">
        <is>
          <t>2026-03-20</t>
        </is>
      </c>
      <c r="B20" s="20" t="inlineStr">
        <is>
          <t>사업보고서 (2025.12)</t>
        </is>
      </c>
      <c r="C20" s="20" t="inlineStr">
        <is>
          <t>에이디테크놀로지</t>
        </is>
      </c>
      <c r="D20" s="20" t="inlineStr">
        <is>
          <t>정기보고서</t>
        </is>
      </c>
      <c r="E20" s="20" t="inlineStr"/>
      <c r="F20" s="20" t="inlineStr">
        <is>
          <t>20260320001390.html</t>
        </is>
      </c>
      <c r="G20" s="20" t="inlineStr">
        <is>
          <t>20260320001390</t>
        </is>
      </c>
      <c r="H20" s="21" t="inlineStr">
        <is>
          <t>열기</t>
        </is>
      </c>
    </row>
    <row r="21">
      <c r="A21" s="20" t="inlineStr">
        <is>
          <t>2026-03-10</t>
        </is>
      </c>
      <c r="B21" s="20" t="inlineStr">
        <is>
          <t>기업설명회(IR)개최</t>
        </is>
      </c>
      <c r="C21" s="20" t="inlineStr">
        <is>
          <t>에이디테크놀로지</t>
        </is>
      </c>
      <c r="D21" s="20" t="inlineStr">
        <is>
          <t>IR</t>
        </is>
      </c>
      <c r="E21" s="20" t="inlineStr"/>
      <c r="F21" s="20" t="inlineStr">
        <is>
          <t>20260310900826.html</t>
        </is>
      </c>
      <c r="G21" s="20" t="inlineStr">
        <is>
          <t>20260310900826</t>
        </is>
      </c>
      <c r="H21" s="21" t="inlineStr">
        <is>
          <t>열기</t>
        </is>
      </c>
    </row>
    <row r="22">
      <c r="A22" s="20" t="inlineStr">
        <is>
          <t>2026-03-06</t>
        </is>
      </c>
      <c r="B22" s="20" t="inlineStr">
        <is>
          <t>주주총회소집결의</t>
        </is>
      </c>
      <c r="C22" s="20" t="inlineStr">
        <is>
          <t>에이디테크놀로지</t>
        </is>
      </c>
      <c r="D22" s="20" t="inlineStr">
        <is>
          <t>경영권/주총</t>
        </is>
      </c>
      <c r="E22" s="20" t="inlineStr"/>
      <c r="F22" s="20" t="inlineStr">
        <is>
          <t>20260306901656.html</t>
        </is>
      </c>
      <c r="G22" s="20" t="inlineStr">
        <is>
          <t>20260306901656</t>
        </is>
      </c>
      <c r="H22" s="21" t="inlineStr">
        <is>
          <t>열기</t>
        </is>
      </c>
    </row>
    <row r="23">
      <c r="A23" s="20" t="inlineStr">
        <is>
          <t>2026-03-06</t>
        </is>
      </c>
      <c r="B23" s="20" t="inlineStr">
        <is>
          <t>주주총회집중일개최사유신고</t>
        </is>
      </c>
      <c r="C23" s="20" t="inlineStr">
        <is>
          <t>에이디테크놀로지</t>
        </is>
      </c>
      <c r="D23" s="20" t="inlineStr">
        <is>
          <t>경영권/주총</t>
        </is>
      </c>
      <c r="E23" s="20" t="inlineStr"/>
      <c r="F23" s="20" t="inlineStr">
        <is>
          <t>20260306901622.html</t>
        </is>
      </c>
      <c r="G23" s="20" t="inlineStr">
        <is>
          <t>20260306901622</t>
        </is>
      </c>
      <c r="H23" s="21" t="inlineStr">
        <is>
          <t>열기</t>
        </is>
      </c>
    </row>
    <row r="24">
      <c r="A24" s="20" t="inlineStr">
        <is>
          <t>2026-03-06</t>
        </is>
      </c>
      <c r="B24" s="20" t="inlineStr">
        <is>
          <t>[첨부정정]기업설명회(IR)개최</t>
        </is>
      </c>
      <c r="C24" s="20" t="inlineStr">
        <is>
          <t>에이디테크놀로지</t>
        </is>
      </c>
      <c r="D24" s="20" t="inlineStr">
        <is>
          <t>IR</t>
        </is>
      </c>
      <c r="E24" s="20" t="inlineStr">
        <is>
          <t>정정</t>
        </is>
      </c>
      <c r="F24" s="20" t="inlineStr">
        <is>
          <t>원문 없음(DART 미제공)</t>
        </is>
      </c>
      <c r="G24" s="20" t="inlineStr">
        <is>
          <t>20260306900101</t>
        </is>
      </c>
      <c r="H24" s="21" t="inlineStr">
        <is>
          <t>열기</t>
        </is>
      </c>
    </row>
    <row r="25">
      <c r="A25" s="20" t="inlineStr">
        <is>
          <t>2026-03-09</t>
        </is>
      </c>
      <c r="B25" s="20" t="inlineStr">
        <is>
          <t>의결권대리행사권유참고서류</t>
        </is>
      </c>
      <c r="C25" s="20" t="inlineStr">
        <is>
          <t>에이디테크놀로지</t>
        </is>
      </c>
      <c r="D25" s="20" t="inlineStr">
        <is>
          <t>경영권/주총</t>
        </is>
      </c>
      <c r="E25" s="20" t="inlineStr"/>
      <c r="F25" s="20" t="inlineStr">
        <is>
          <t>20260306001031.html</t>
        </is>
      </c>
      <c r="G25" s="20" t="inlineStr">
        <is>
          <t>20260306001031</t>
        </is>
      </c>
      <c r="H25" s="21" t="inlineStr">
        <is>
          <t>열기</t>
        </is>
      </c>
    </row>
    <row r="26">
      <c r="A26" s="20" t="inlineStr">
        <is>
          <t>2026-03-06</t>
        </is>
      </c>
      <c r="B26" s="20" t="inlineStr">
        <is>
          <t>주주총회소집공고</t>
        </is>
      </c>
      <c r="C26" s="20" t="inlineStr">
        <is>
          <t>에이디테크놀로지</t>
        </is>
      </c>
      <c r="D26" s="20" t="inlineStr">
        <is>
          <t>경영권/주총</t>
        </is>
      </c>
      <c r="E26" s="20" t="inlineStr"/>
      <c r="F26" s="20" t="inlineStr">
        <is>
          <t>20260306001010.html</t>
        </is>
      </c>
      <c r="G26" s="20" t="inlineStr">
        <is>
          <t>20260306001010</t>
        </is>
      </c>
      <c r="H26" s="21" t="inlineStr">
        <is>
          <t>열기</t>
        </is>
      </c>
    </row>
    <row r="27">
      <c r="A27" s="20" t="inlineStr">
        <is>
          <t>2026-02-26</t>
        </is>
      </c>
      <c r="B27" s="20" t="inlineStr">
        <is>
          <t>[첨부추가]기업설명회(IR)개최</t>
        </is>
      </c>
      <c r="C27" s="20" t="inlineStr">
        <is>
          <t>에이디테크놀로지</t>
        </is>
      </c>
      <c r="D27" s="20" t="inlineStr">
        <is>
          <t>IR</t>
        </is>
      </c>
      <c r="E27" s="20" t="inlineStr"/>
      <c r="F27" s="20" t="inlineStr">
        <is>
          <t>20260226900524.html</t>
        </is>
      </c>
      <c r="G27" s="20" t="inlineStr">
        <is>
          <t>20260226900524</t>
        </is>
      </c>
      <c r="H27" s="21" t="inlineStr">
        <is>
          <t>열기</t>
        </is>
      </c>
    </row>
    <row r="28">
      <c r="A28" s="20" t="inlineStr">
        <is>
          <t>2026-02-09</t>
        </is>
      </c>
      <c r="B28" s="20" t="inlineStr">
        <is>
          <t>매출액또는손익구조30%(대규모법인은15%)이상변동</t>
        </is>
      </c>
      <c r="C28" s="20" t="inlineStr">
        <is>
          <t>에이디테크놀로지</t>
        </is>
      </c>
      <c r="D28" s="20" t="inlineStr">
        <is>
          <t>실적변동</t>
        </is>
      </c>
      <c r="E28" s="20" t="inlineStr"/>
      <c r="F28" s="20" t="inlineStr">
        <is>
          <t>20260209900347.html</t>
        </is>
      </c>
      <c r="G28" s="20" t="inlineStr">
        <is>
          <t>20260209900347</t>
        </is>
      </c>
      <c r="H28" s="21" t="inlineStr">
        <is>
          <t>열기</t>
        </is>
      </c>
    </row>
    <row r="29">
      <c r="A29" s="20" t="inlineStr">
        <is>
          <t>2026-01-23</t>
        </is>
      </c>
      <c r="B29" s="20" t="inlineStr">
        <is>
          <t>[기재정정]단일판매ㆍ공급계약체결</t>
        </is>
      </c>
      <c r="C29" s="20" t="inlineStr">
        <is>
          <t>에이디테크놀로지</t>
        </is>
      </c>
      <c r="D29" s="20" t="inlineStr">
        <is>
          <t>공급계약</t>
        </is>
      </c>
      <c r="E29" s="20" t="inlineStr">
        <is>
          <t>정정</t>
        </is>
      </c>
      <c r="F29" s="20" t="inlineStr">
        <is>
          <t>20260123900862.html</t>
        </is>
      </c>
      <c r="G29" s="20" t="inlineStr">
        <is>
          <t>20260123900862</t>
        </is>
      </c>
      <c r="H29" s="21" t="inlineStr">
        <is>
          <t>열기</t>
        </is>
      </c>
    </row>
    <row r="30">
      <c r="A30" s="20" t="inlineStr">
        <is>
          <t>2026-01-13</t>
        </is>
      </c>
      <c r="B30" s="20" t="inlineStr">
        <is>
          <t>단일판매ㆍ공급계약체결</t>
        </is>
      </c>
      <c r="C30" s="20" t="inlineStr">
        <is>
          <t>에이디테크놀로지</t>
        </is>
      </c>
      <c r="D30" s="20" t="inlineStr">
        <is>
          <t>공급계약</t>
        </is>
      </c>
      <c r="E30" s="20" t="inlineStr"/>
      <c r="F30" s="20" t="inlineStr">
        <is>
          <t>20260113900255.html</t>
        </is>
      </c>
      <c r="G30" s="20" t="inlineStr">
        <is>
          <t>20260113900255</t>
        </is>
      </c>
      <c r="H30" s="21" t="inlineStr">
        <is>
          <t>열기</t>
        </is>
      </c>
    </row>
    <row r="31">
      <c r="A31" s="20" t="inlineStr">
        <is>
          <t>2025-12-16</t>
        </is>
      </c>
      <c r="B31" s="20" t="inlineStr">
        <is>
          <t>현금ㆍ현물배당을위한주주명부폐쇄(기준일)결정</t>
        </is>
      </c>
      <c r="C31" s="20" t="inlineStr">
        <is>
          <t>에이디테크놀로지</t>
        </is>
      </c>
      <c r="D31" s="20" t="inlineStr">
        <is>
          <t>경영권/주총</t>
        </is>
      </c>
      <c r="E31" s="20" t="inlineStr"/>
      <c r="F31" s="20" t="inlineStr">
        <is>
          <t>20251216900331.html</t>
        </is>
      </c>
      <c r="G31" s="20" t="inlineStr">
        <is>
          <t>20251216900331</t>
        </is>
      </c>
      <c r="H31" s="21" t="inlineStr">
        <is>
          <t>열기</t>
        </is>
      </c>
    </row>
    <row r="32">
      <c r="A32" s="20" t="inlineStr">
        <is>
          <t>2025-12-16</t>
        </is>
      </c>
      <c r="B32" s="20" t="inlineStr">
        <is>
          <t>주주명부폐쇄기간또는기준일설정</t>
        </is>
      </c>
      <c r="C32" s="20" t="inlineStr">
        <is>
          <t>에이디테크놀로지</t>
        </is>
      </c>
      <c r="D32" s="20" t="inlineStr">
        <is>
          <t>경영권/주총</t>
        </is>
      </c>
      <c r="E32" s="20" t="inlineStr"/>
      <c r="F32" s="20" t="inlineStr">
        <is>
          <t>20251216900326.html</t>
        </is>
      </c>
      <c r="G32" s="20" t="inlineStr">
        <is>
          <t>20251216900326</t>
        </is>
      </c>
      <c r="H32" s="21" t="inlineStr">
        <is>
          <t>열기</t>
        </is>
      </c>
    </row>
    <row r="33">
      <c r="A33" s="20" t="inlineStr">
        <is>
          <t>2025-12-09</t>
        </is>
      </c>
      <c r="B33" s="20" t="inlineStr">
        <is>
          <t>단일판매ㆍ공급계약체결</t>
        </is>
      </c>
      <c r="C33" s="20" t="inlineStr">
        <is>
          <t>에이디테크놀로지</t>
        </is>
      </c>
      <c r="D33" s="20" t="inlineStr">
        <is>
          <t>공급계약</t>
        </is>
      </c>
      <c r="E33" s="20" t="inlineStr"/>
      <c r="F33" s="20" t="inlineStr">
        <is>
          <t>20251209900287.html</t>
        </is>
      </c>
      <c r="G33" s="20" t="inlineStr">
        <is>
          <t>20251209900287</t>
        </is>
      </c>
      <c r="H33" s="21" t="inlineStr">
        <is>
          <t>열기</t>
        </is>
      </c>
    </row>
    <row r="34">
      <c r="A34" s="20" t="inlineStr">
        <is>
          <t>2025-12-04</t>
        </is>
      </c>
      <c r="B34" s="20" t="inlineStr">
        <is>
          <t>임원ㆍ주요주주특정증권등소유상황보고서</t>
        </is>
      </c>
      <c r="C34" s="20" t="inlineStr">
        <is>
          <t>김선민</t>
        </is>
      </c>
      <c r="D34" s="20" t="inlineStr">
        <is>
          <t>임원 소유상황/거래계획</t>
        </is>
      </c>
      <c r="E34" s="20" t="inlineStr"/>
      <c r="F34" s="20" t="inlineStr">
        <is>
          <t>20251204000457.html</t>
        </is>
      </c>
      <c r="G34" s="20" t="inlineStr">
        <is>
          <t>20251204000457</t>
        </is>
      </c>
      <c r="H34" s="21" t="inlineStr">
        <is>
          <t>열기</t>
        </is>
      </c>
    </row>
    <row r="35">
      <c r="A35" s="20" t="inlineStr">
        <is>
          <t>2025-11-20</t>
        </is>
      </c>
      <c r="B35" s="20" t="inlineStr">
        <is>
          <t>[기재정정]단일판매ㆍ공급계약체결</t>
        </is>
      </c>
      <c r="C35" s="20" t="inlineStr">
        <is>
          <t>에이디테크놀로지</t>
        </is>
      </c>
      <c r="D35" s="20" t="inlineStr">
        <is>
          <t>공급계약</t>
        </is>
      </c>
      <c r="E35" s="20" t="inlineStr">
        <is>
          <t>정정</t>
        </is>
      </c>
      <c r="F35" s="20" t="inlineStr">
        <is>
          <t>20251120900113.html</t>
        </is>
      </c>
      <c r="G35" s="20" t="inlineStr">
        <is>
          <t>20251120900113</t>
        </is>
      </c>
      <c r="H35" s="21" t="inlineStr">
        <is>
          <t>열기</t>
        </is>
      </c>
    </row>
    <row r="36">
      <c r="A36" s="20" t="inlineStr">
        <is>
          <t>2025-11-19</t>
        </is>
      </c>
      <c r="B36" s="20" t="inlineStr">
        <is>
          <t>단일판매ㆍ공급계약체결</t>
        </is>
      </c>
      <c r="C36" s="20" t="inlineStr">
        <is>
          <t>에이디테크놀로지</t>
        </is>
      </c>
      <c r="D36" s="20" t="inlineStr">
        <is>
          <t>공급계약</t>
        </is>
      </c>
      <c r="E36" s="20" t="inlineStr"/>
      <c r="F36" s="20" t="inlineStr">
        <is>
          <t>20251119900403.html</t>
        </is>
      </c>
      <c r="G36" s="20" t="inlineStr">
        <is>
          <t>20251119900403</t>
        </is>
      </c>
      <c r="H36" s="21" t="inlineStr">
        <is>
          <t>열기</t>
        </is>
      </c>
    </row>
    <row r="37">
      <c r="A37" s="20" t="inlineStr">
        <is>
          <t>2025-11-17</t>
        </is>
      </c>
      <c r="B37" s="20" t="inlineStr">
        <is>
          <t>[첨부추가]기업설명회(IR)개최</t>
        </is>
      </c>
      <c r="C37" s="20" t="inlineStr">
        <is>
          <t>에이디테크놀로지</t>
        </is>
      </c>
      <c r="D37" s="20" t="inlineStr">
        <is>
          <t>IR</t>
        </is>
      </c>
      <c r="E37" s="20" t="inlineStr"/>
      <c r="F37" s="20" t="inlineStr">
        <is>
          <t>20251117900449.html</t>
        </is>
      </c>
      <c r="G37" s="20" t="inlineStr">
        <is>
          <t>20251117900449</t>
        </is>
      </c>
      <c r="H37" s="21" t="inlineStr">
        <is>
          <t>열기</t>
        </is>
      </c>
    </row>
    <row r="38">
      <c r="A38" s="20" t="inlineStr">
        <is>
          <t>2025-11-14</t>
        </is>
      </c>
      <c r="B38" s="20" t="inlineStr">
        <is>
          <t>분기보고서 (2025.09)</t>
        </is>
      </c>
      <c r="C38" s="20" t="inlineStr">
        <is>
          <t>에이디테크놀로지</t>
        </is>
      </c>
      <c r="D38" s="20" t="inlineStr">
        <is>
          <t>정기보고서</t>
        </is>
      </c>
      <c r="E38" s="20" t="inlineStr"/>
      <c r="F38" s="20" t="inlineStr">
        <is>
          <t>20251114001717.html</t>
        </is>
      </c>
      <c r="G38" s="20" t="inlineStr">
        <is>
          <t>20251114001717</t>
        </is>
      </c>
      <c r="H38" s="21" t="inlineStr">
        <is>
          <t>열기</t>
        </is>
      </c>
    </row>
    <row r="39">
      <c r="A39" s="20" t="inlineStr">
        <is>
          <t>2025-10-15</t>
        </is>
      </c>
      <c r="B39" s="20" t="inlineStr">
        <is>
          <t>[기재정정]단일판매ㆍ공급계약체결</t>
        </is>
      </c>
      <c r="C39" s="20" t="inlineStr">
        <is>
          <t>에이디테크놀로지</t>
        </is>
      </c>
      <c r="D39" s="20" t="inlineStr">
        <is>
          <t>공급계약</t>
        </is>
      </c>
      <c r="E39" s="20" t="inlineStr">
        <is>
          <t>정정</t>
        </is>
      </c>
      <c r="F39" s="20" t="inlineStr">
        <is>
          <t>20251015900155.html</t>
        </is>
      </c>
      <c r="G39" s="20" t="inlineStr">
        <is>
          <t>20251015900155</t>
        </is>
      </c>
      <c r="H39" s="21" t="inlineStr">
        <is>
          <t>열기</t>
        </is>
      </c>
    </row>
    <row r="40">
      <c r="A40" s="20" t="inlineStr">
        <is>
          <t>2025-10-01</t>
        </is>
      </c>
      <c r="B40" s="20" t="inlineStr">
        <is>
          <t>주식등의대량보유상황보고서(일반)</t>
        </is>
      </c>
      <c r="C40" s="20" t="inlineStr">
        <is>
          <t>김준석</t>
        </is>
      </c>
      <c r="D40" s="20" t="inlineStr">
        <is>
          <t>5% 대량보유</t>
        </is>
      </c>
      <c r="E40" s="20" t="inlineStr"/>
      <c r="F40" s="20" t="inlineStr">
        <is>
          <t>20251001000194.html</t>
        </is>
      </c>
      <c r="G40" s="20" t="inlineStr">
        <is>
          <t>20251001000194</t>
        </is>
      </c>
      <c r="H40" s="21" t="inlineStr">
        <is>
          <t>열기</t>
        </is>
      </c>
    </row>
    <row r="41">
      <c r="A41" s="20" t="inlineStr">
        <is>
          <t>2025-08-18</t>
        </is>
      </c>
      <c r="B41" s="20" t="inlineStr">
        <is>
          <t>기업설명회(IR)개최</t>
        </is>
      </c>
      <c r="C41" s="20" t="inlineStr">
        <is>
          <t>에이디테크놀로지</t>
        </is>
      </c>
      <c r="D41" s="20" t="inlineStr">
        <is>
          <t>IR</t>
        </is>
      </c>
      <c r="E41" s="20" t="inlineStr"/>
      <c r="F41" s="20" t="inlineStr">
        <is>
          <t>20250818900087.html</t>
        </is>
      </c>
      <c r="G41" s="20" t="inlineStr">
        <is>
          <t>20250818900087</t>
        </is>
      </c>
      <c r="H41" s="21" t="inlineStr">
        <is>
          <t>열기</t>
        </is>
      </c>
    </row>
    <row r="42">
      <c r="A42" s="20" t="inlineStr">
        <is>
          <t>2025-08-14</t>
        </is>
      </c>
      <c r="B42" s="20" t="inlineStr">
        <is>
          <t>[기재정정]사업보고서 (2024.12)</t>
        </is>
      </c>
      <c r="C42" s="20" t="inlineStr">
        <is>
          <t>에이디테크놀로지</t>
        </is>
      </c>
      <c r="D42" s="20" t="inlineStr">
        <is>
          <t>정기보고서</t>
        </is>
      </c>
      <c r="E42" s="20" t="inlineStr">
        <is>
          <t>정정</t>
        </is>
      </c>
      <c r="F42" s="20" t="inlineStr">
        <is>
          <t>20250814004488.html</t>
        </is>
      </c>
      <c r="G42" s="20" t="inlineStr">
        <is>
          <t>20250814004488</t>
        </is>
      </c>
      <c r="H42" s="21" t="inlineStr">
        <is>
          <t>열기</t>
        </is>
      </c>
    </row>
    <row r="43">
      <c r="A43" s="20" t="inlineStr">
        <is>
          <t>2025-08-14</t>
        </is>
      </c>
      <c r="B43" s="20" t="inlineStr">
        <is>
          <t>반기보고서 (2025.06)</t>
        </is>
      </c>
      <c r="C43" s="20" t="inlineStr">
        <is>
          <t>에이디테크놀로지</t>
        </is>
      </c>
      <c r="D43" s="20" t="inlineStr">
        <is>
          <t>정기보고서</t>
        </is>
      </c>
      <c r="E43" s="20" t="inlineStr"/>
      <c r="F43" s="20" t="inlineStr">
        <is>
          <t>20250814003280.html</t>
        </is>
      </c>
      <c r="G43" s="20" t="inlineStr">
        <is>
          <t>20250814003280</t>
        </is>
      </c>
      <c r="H43" s="21" t="inlineStr">
        <is>
          <t>열기</t>
        </is>
      </c>
    </row>
    <row r="44">
      <c r="A44" s="20" t="inlineStr">
        <is>
          <t>2025-08-08</t>
        </is>
      </c>
      <c r="B44" s="20" t="inlineStr">
        <is>
          <t>주식매수선택권부여에관한신고</t>
        </is>
      </c>
      <c r="C44" s="20" t="inlineStr">
        <is>
          <t>에이디테크놀로지</t>
        </is>
      </c>
      <c r="D44" s="20" t="inlineStr">
        <is>
          <t>스톡옵션</t>
        </is>
      </c>
      <c r="E44" s="20" t="inlineStr"/>
      <c r="F44" s="20" t="inlineStr">
        <is>
          <t>20250808000447.html</t>
        </is>
      </c>
      <c r="G44" s="20" t="inlineStr">
        <is>
          <t>20250808000447</t>
        </is>
      </c>
      <c r="H44" s="21" t="inlineStr">
        <is>
          <t>열기</t>
        </is>
      </c>
    </row>
    <row r="45">
      <c r="A45" s="20" t="inlineStr">
        <is>
          <t>2025-06-26</t>
        </is>
      </c>
      <c r="B45" s="20" t="inlineStr">
        <is>
          <t>[기재정정]단일판매ㆍ공급계약체결</t>
        </is>
      </c>
      <c r="C45" s="20" t="inlineStr">
        <is>
          <t>에이디테크놀로지</t>
        </is>
      </c>
      <c r="D45" s="20" t="inlineStr">
        <is>
          <t>공급계약</t>
        </is>
      </c>
      <c r="E45" s="20" t="inlineStr">
        <is>
          <t>정정</t>
        </is>
      </c>
      <c r="F45" s="20" t="inlineStr">
        <is>
          <t>20250626900769.html</t>
        </is>
      </c>
      <c r="G45" s="20" t="inlineStr">
        <is>
          <t>20250626900769</t>
        </is>
      </c>
      <c r="H45" s="21" t="inlineStr">
        <is>
          <t>열기</t>
        </is>
      </c>
    </row>
    <row r="46">
      <c r="A46" s="20" t="inlineStr">
        <is>
          <t>2025-05-15</t>
        </is>
      </c>
      <c r="B46" s="20" t="inlineStr">
        <is>
          <t>분기보고서 (2025.03)</t>
        </is>
      </c>
      <c r="C46" s="20" t="inlineStr">
        <is>
          <t>에이디테크놀로지</t>
        </is>
      </c>
      <c r="D46" s="20" t="inlineStr">
        <is>
          <t>정기보고서</t>
        </is>
      </c>
      <c r="E46" s="20" t="inlineStr"/>
      <c r="F46" s="20" t="inlineStr">
        <is>
          <t>20250515000303.html</t>
        </is>
      </c>
      <c r="G46" s="20" t="inlineStr">
        <is>
          <t>20250515000303</t>
        </is>
      </c>
      <c r="H46" s="21" t="inlineStr">
        <is>
          <t>열기</t>
        </is>
      </c>
    </row>
    <row r="47">
      <c r="A47" s="20" t="inlineStr">
        <is>
          <t>2025-04-02</t>
        </is>
      </c>
      <c r="B47" s="20" t="inlineStr">
        <is>
          <t>주식등의대량보유상황보고서(일반)</t>
        </is>
      </c>
      <c r="C47" s="20" t="inlineStr">
        <is>
          <t>김준석</t>
        </is>
      </c>
      <c r="D47" s="20" t="inlineStr">
        <is>
          <t>5% 대량보유</t>
        </is>
      </c>
      <c r="E47" s="20" t="inlineStr"/>
      <c r="F47" s="20" t="inlineStr">
        <is>
          <t>20250402003357.html</t>
        </is>
      </c>
      <c r="G47" s="20" t="inlineStr">
        <is>
          <t>20250402003357</t>
        </is>
      </c>
      <c r="H47" s="21" t="inlineStr">
        <is>
          <t>열기</t>
        </is>
      </c>
    </row>
    <row r="48">
      <c r="A48" s="20" t="inlineStr">
        <is>
          <t>2025-03-31</t>
        </is>
      </c>
      <c r="B48" s="20" t="inlineStr">
        <is>
          <t>정기주주총회결과</t>
        </is>
      </c>
      <c r="C48" s="20" t="inlineStr">
        <is>
          <t>에이디테크놀로지</t>
        </is>
      </c>
      <c r="D48" s="20" t="inlineStr">
        <is>
          <t>경영권/주총</t>
        </is>
      </c>
      <c r="E48" s="20" t="inlineStr"/>
      <c r="F48" s="20" t="inlineStr">
        <is>
          <t>20250331903099.html</t>
        </is>
      </c>
      <c r="G48" s="20" t="inlineStr">
        <is>
          <t>20250331903099</t>
        </is>
      </c>
      <c r="H48" s="21" t="inlineStr">
        <is>
          <t>열기</t>
        </is>
      </c>
    </row>
    <row r="49">
      <c r="A49" s="20" t="inlineStr">
        <is>
          <t>2025-03-21</t>
        </is>
      </c>
      <c r="B49" s="20" t="inlineStr">
        <is>
          <t>사업보고서 (2024.12)</t>
        </is>
      </c>
      <c r="C49" s="20" t="inlineStr">
        <is>
          <t>에이디테크놀로지</t>
        </is>
      </c>
      <c r="D49" s="20" t="inlineStr">
        <is>
          <t>정기보고서</t>
        </is>
      </c>
      <c r="E49" s="20" t="inlineStr"/>
      <c r="F49" s="20" t="inlineStr">
        <is>
          <t>20250321001916.html</t>
        </is>
      </c>
      <c r="G49" s="20" t="inlineStr">
        <is>
          <t>20250321001916</t>
        </is>
      </c>
      <c r="H49" s="21" t="inlineStr">
        <is>
          <t>열기</t>
        </is>
      </c>
    </row>
    <row r="50">
      <c r="A50" s="20" t="inlineStr">
        <is>
          <t>2025-03-20</t>
        </is>
      </c>
      <c r="B50" s="20" t="inlineStr">
        <is>
          <t>감사보고서제출</t>
        </is>
      </c>
      <c r="C50" s="20" t="inlineStr">
        <is>
          <t>에이디테크놀로지</t>
        </is>
      </c>
      <c r="D50" s="20" t="inlineStr">
        <is>
          <t>감사보고서</t>
        </is>
      </c>
      <c r="E50" s="20" t="inlineStr"/>
      <c r="F50" s="20" t="inlineStr">
        <is>
          <t>20250320902415.html</t>
        </is>
      </c>
      <c r="G50" s="20" t="inlineStr">
        <is>
          <t>20250320902415</t>
        </is>
      </c>
      <c r="H50" s="21" t="inlineStr">
        <is>
          <t>열기</t>
        </is>
      </c>
    </row>
    <row r="51">
      <c r="A51" s="20" t="inlineStr">
        <is>
          <t>2025-03-17</t>
        </is>
      </c>
      <c r="B51" s="20" t="inlineStr">
        <is>
          <t>주주총회소집결의</t>
        </is>
      </c>
      <c r="C51" s="20" t="inlineStr">
        <is>
          <t>에이디테크놀로지</t>
        </is>
      </c>
      <c r="D51" s="20" t="inlineStr">
        <is>
          <t>경영권/주총</t>
        </is>
      </c>
      <c r="E51" s="20" t="inlineStr"/>
      <c r="F51" s="20" t="inlineStr">
        <is>
          <t>20250317900151.html</t>
        </is>
      </c>
      <c r="G51" s="20" t="inlineStr">
        <is>
          <t>20250317900151</t>
        </is>
      </c>
      <c r="H51" s="21" t="inlineStr">
        <is>
          <t>열기</t>
        </is>
      </c>
    </row>
    <row r="52">
      <c r="A52" s="20" t="inlineStr">
        <is>
          <t>2025-03-17</t>
        </is>
      </c>
      <c r="B52" s="20" t="inlineStr">
        <is>
          <t>의결권대리행사권유참고서류</t>
        </is>
      </c>
      <c r="C52" s="20" t="inlineStr">
        <is>
          <t>에이디테크놀로지</t>
        </is>
      </c>
      <c r="D52" s="20" t="inlineStr">
        <is>
          <t>경영권/주총</t>
        </is>
      </c>
      <c r="E52" s="20" t="inlineStr"/>
      <c r="F52" s="20" t="inlineStr">
        <is>
          <t>20250317000193.html</t>
        </is>
      </c>
      <c r="G52" s="20" t="inlineStr">
        <is>
          <t>20250317000193</t>
        </is>
      </c>
      <c r="H52" s="21" t="inlineStr">
        <is>
          <t>열기</t>
        </is>
      </c>
    </row>
    <row r="53">
      <c r="A53" s="20" t="inlineStr">
        <is>
          <t>2025-03-17</t>
        </is>
      </c>
      <c r="B53" s="20" t="inlineStr">
        <is>
          <t>주주총회소집공고</t>
        </is>
      </c>
      <c r="C53" s="20" t="inlineStr">
        <is>
          <t>에이디테크놀로지</t>
        </is>
      </c>
      <c r="D53" s="20" t="inlineStr">
        <is>
          <t>경영권/주총</t>
        </is>
      </c>
      <c r="E53" s="20" t="inlineStr"/>
      <c r="F53" s="20" t="inlineStr">
        <is>
          <t>20250317000174.html</t>
        </is>
      </c>
      <c r="G53" s="20" t="inlineStr">
        <is>
          <t>20250317000174</t>
        </is>
      </c>
      <c r="H53" s="21" t="inlineStr">
        <is>
          <t>열기</t>
        </is>
      </c>
    </row>
    <row r="54">
      <c r="A54" s="20" t="inlineStr">
        <is>
          <t>2025-01-31</t>
        </is>
      </c>
      <c r="B54" s="20" t="inlineStr">
        <is>
          <t>신탁계약해지결과보고서</t>
        </is>
      </c>
      <c r="C54" s="20" t="inlineStr">
        <is>
          <t>에이디테크놀로지</t>
        </is>
      </c>
      <c r="D54" s="20" t="inlineStr">
        <is>
          <t>자기주식</t>
        </is>
      </c>
      <c r="E54" s="20" t="inlineStr"/>
      <c r="F54" s="20" t="inlineStr">
        <is>
          <t>20250131000278.html</t>
        </is>
      </c>
      <c r="G54" s="20" t="inlineStr">
        <is>
          <t>20250131000278</t>
        </is>
      </c>
      <c r="H54" s="21" t="inlineStr">
        <is>
          <t>열기</t>
        </is>
      </c>
    </row>
    <row r="55">
      <c r="A55" s="20" t="inlineStr">
        <is>
          <t>2025-01-20</t>
        </is>
      </c>
      <c r="B55" s="20" t="inlineStr">
        <is>
          <t>기업설명회(IR)개최</t>
        </is>
      </c>
      <c r="C55" s="20" t="inlineStr">
        <is>
          <t>에이디테크놀로지</t>
        </is>
      </c>
      <c r="D55" s="20" t="inlineStr">
        <is>
          <t>IR</t>
        </is>
      </c>
      <c r="E55" s="20" t="inlineStr"/>
      <c r="F55" s="20" t="inlineStr">
        <is>
          <t>20250120900973.html</t>
        </is>
      </c>
      <c r="G55" s="20" t="inlineStr">
        <is>
          <t>20250120900973</t>
        </is>
      </c>
      <c r="H55" s="21" t="inlineStr">
        <is>
          <t>열기</t>
        </is>
      </c>
    </row>
    <row r="56">
      <c r="A56" s="20" t="inlineStr">
        <is>
          <t>2025-01-07</t>
        </is>
      </c>
      <c r="B56" s="20" t="inlineStr">
        <is>
          <t>주식등의대량보유상황보고서(일반)</t>
        </is>
      </c>
      <c r="C56" s="20" t="inlineStr">
        <is>
          <t>김준석</t>
        </is>
      </c>
      <c r="D56" s="20" t="inlineStr">
        <is>
          <t>5% 대량보유</t>
        </is>
      </c>
      <c r="E56" s="20" t="inlineStr"/>
      <c r="F56" s="20" t="inlineStr">
        <is>
          <t>20250107000318.html</t>
        </is>
      </c>
      <c r="G56" s="20" t="inlineStr">
        <is>
          <t>20250107000318</t>
        </is>
      </c>
      <c r="H56" s="21" t="inlineStr">
        <is>
          <t>열기</t>
        </is>
      </c>
    </row>
    <row r="57">
      <c r="A57" s="20" t="inlineStr">
        <is>
          <t>2024-12-16</t>
        </is>
      </c>
      <c r="B57" s="20" t="inlineStr">
        <is>
          <t>현금ㆍ현물배당을위한주주명부폐쇄(기준일)결정</t>
        </is>
      </c>
      <c r="C57" s="20" t="inlineStr">
        <is>
          <t>에이디테크놀로지</t>
        </is>
      </c>
      <c r="D57" s="20" t="inlineStr">
        <is>
          <t>경영권/주총</t>
        </is>
      </c>
      <c r="E57" s="20" t="inlineStr"/>
      <c r="F57" s="20" t="inlineStr">
        <is>
          <t>20241216901247.html</t>
        </is>
      </c>
      <c r="G57" s="20" t="inlineStr">
        <is>
          <t>20241216901247</t>
        </is>
      </c>
      <c r="H57" s="21" t="inlineStr">
        <is>
          <t>열기</t>
        </is>
      </c>
    </row>
    <row r="58">
      <c r="A58" s="20" t="inlineStr">
        <is>
          <t>2024-12-16</t>
        </is>
      </c>
      <c r="B58" s="20" t="inlineStr">
        <is>
          <t>주주명부폐쇄기간또는기준일설정</t>
        </is>
      </c>
      <c r="C58" s="20" t="inlineStr">
        <is>
          <t>에이디테크놀로지</t>
        </is>
      </c>
      <c r="D58" s="20" t="inlineStr">
        <is>
          <t>경영권/주총</t>
        </is>
      </c>
      <c r="E58" s="20" t="inlineStr"/>
      <c r="F58" s="20" t="inlineStr">
        <is>
          <t>20241216901231.html</t>
        </is>
      </c>
      <c r="G58" s="20" t="inlineStr">
        <is>
          <t>20241216901231</t>
        </is>
      </c>
      <c r="H58" s="21" t="inlineStr">
        <is>
          <t>열기</t>
        </is>
      </c>
    </row>
    <row r="59">
      <c r="A59" s="20" t="inlineStr">
        <is>
          <t>2024-11-14</t>
        </is>
      </c>
      <c r="B59" s="20" t="inlineStr">
        <is>
          <t>분기보고서 (2024.09)</t>
        </is>
      </c>
      <c r="C59" s="20" t="inlineStr">
        <is>
          <t>에이디테크놀로지</t>
        </is>
      </c>
      <c r="D59" s="20" t="inlineStr">
        <is>
          <t>정기보고서</t>
        </is>
      </c>
      <c r="E59" s="20" t="inlineStr"/>
      <c r="F59" s="20" t="inlineStr">
        <is>
          <t>20241114001280.html</t>
        </is>
      </c>
      <c r="G59" s="20" t="inlineStr">
        <is>
          <t>20241114001280</t>
        </is>
      </c>
      <c r="H59" s="21" t="inlineStr">
        <is>
          <t>열기</t>
        </is>
      </c>
    </row>
    <row r="60">
      <c r="A60" s="20" t="inlineStr">
        <is>
          <t>2024-10-28</t>
        </is>
      </c>
      <c r="B60" s="20" t="inlineStr">
        <is>
          <t>신탁계약에의한취득상황보고서</t>
        </is>
      </c>
      <c r="C60" s="20" t="inlineStr">
        <is>
          <t>에이디테크놀로지</t>
        </is>
      </c>
      <c r="D60" s="20" t="inlineStr">
        <is>
          <t>자기주식</t>
        </is>
      </c>
      <c r="E60" s="20" t="inlineStr"/>
      <c r="F60" s="20" t="inlineStr">
        <is>
          <t>20241028000354.html</t>
        </is>
      </c>
      <c r="G60" s="20" t="inlineStr">
        <is>
          <t>20241028000354</t>
        </is>
      </c>
      <c r="H60" s="21" t="inlineStr">
        <is>
          <t>열기</t>
        </is>
      </c>
    </row>
    <row r="61">
      <c r="A61" s="20" t="inlineStr">
        <is>
          <t>2024-10-10</t>
        </is>
      </c>
      <c r="B61" s="20" t="inlineStr">
        <is>
          <t>단일판매ㆍ공급계약체결</t>
        </is>
      </c>
      <c r="C61" s="20" t="inlineStr">
        <is>
          <t>에이디테크놀로지</t>
        </is>
      </c>
      <c r="D61" s="20" t="inlineStr">
        <is>
          <t>공급계약</t>
        </is>
      </c>
      <c r="E61" s="20" t="inlineStr"/>
      <c r="F61" s="20" t="inlineStr">
        <is>
          <t>20241010900625.html</t>
        </is>
      </c>
      <c r="G61" s="20" t="inlineStr">
        <is>
          <t>20241010900625</t>
        </is>
      </c>
      <c r="H61" s="21" t="inlineStr">
        <is>
          <t>열기</t>
        </is>
      </c>
    </row>
    <row r="62">
      <c r="A62" s="20" t="inlineStr">
        <is>
          <t>2024-10-10</t>
        </is>
      </c>
      <c r="B62" s="20" t="inlineStr">
        <is>
          <t>주식등의대량보유상황보고서(일반)</t>
        </is>
      </c>
      <c r="C62" s="20" t="inlineStr">
        <is>
          <t>김준석</t>
        </is>
      </c>
      <c r="D62" s="20" t="inlineStr">
        <is>
          <t>5% 대량보유</t>
        </is>
      </c>
      <c r="E62" s="20" t="inlineStr"/>
      <c r="F62" s="20" t="inlineStr">
        <is>
          <t>20241010000035.html</t>
        </is>
      </c>
      <c r="G62" s="20" t="inlineStr">
        <is>
          <t>20241010000035</t>
        </is>
      </c>
      <c r="H62" s="21" t="inlineStr">
        <is>
          <t>열기</t>
        </is>
      </c>
    </row>
    <row r="63">
      <c r="A63" s="20" t="inlineStr">
        <is>
          <t>2024-10-02</t>
        </is>
      </c>
      <c r="B63" s="20" t="inlineStr">
        <is>
          <t>[기재정정]단일판매ㆍ공급계약체결</t>
        </is>
      </c>
      <c r="C63" s="20" t="inlineStr">
        <is>
          <t>에이디테크놀로지</t>
        </is>
      </c>
      <c r="D63" s="20" t="inlineStr">
        <is>
          <t>공급계약</t>
        </is>
      </c>
      <c r="E63" s="20" t="inlineStr">
        <is>
          <t>정정</t>
        </is>
      </c>
      <c r="F63" s="20" t="inlineStr">
        <is>
          <t>20241002900733.html</t>
        </is>
      </c>
      <c r="G63" s="20" t="inlineStr">
        <is>
          <t>20241002900733</t>
        </is>
      </c>
      <c r="H63" s="21" t="inlineStr">
        <is>
          <t>열기</t>
        </is>
      </c>
    </row>
    <row r="64">
      <c r="A64" s="20" t="inlineStr">
        <is>
          <t>2024-08-14</t>
        </is>
      </c>
      <c r="B64" s="20" t="inlineStr">
        <is>
          <t>반기보고서 (2024.06)</t>
        </is>
      </c>
      <c r="C64" s="20" t="inlineStr">
        <is>
          <t>에이디테크놀로지</t>
        </is>
      </c>
      <c r="D64" s="20" t="inlineStr">
        <is>
          <t>정기보고서</t>
        </is>
      </c>
      <c r="E64" s="20" t="inlineStr"/>
      <c r="F64" s="20" t="inlineStr">
        <is>
          <t>20240814004592.html</t>
        </is>
      </c>
      <c r="G64" s="20" t="inlineStr">
        <is>
          <t>20240814004592</t>
        </is>
      </c>
      <c r="H64" s="21" t="inlineStr">
        <is>
          <t>열기</t>
        </is>
      </c>
    </row>
    <row r="65">
      <c r="A65" s="20" t="inlineStr">
        <is>
          <t>2024-07-31</t>
        </is>
      </c>
      <c r="B65" s="20" t="inlineStr">
        <is>
          <t>[기재정정]단일판매ㆍ공급계약체결</t>
        </is>
      </c>
      <c r="C65" s="20" t="inlineStr">
        <is>
          <t>에이디테크놀로지</t>
        </is>
      </c>
      <c r="D65" s="20" t="inlineStr">
        <is>
          <t>공급계약</t>
        </is>
      </c>
      <c r="E65" s="20" t="inlineStr">
        <is>
          <t>정정</t>
        </is>
      </c>
      <c r="F65" s="20" t="inlineStr">
        <is>
          <t>20240731900638.html</t>
        </is>
      </c>
      <c r="G65" s="20" t="inlineStr">
        <is>
          <t>20240731900638</t>
        </is>
      </c>
      <c r="H65" s="21" t="inlineStr">
        <is>
          <t>열기</t>
        </is>
      </c>
    </row>
    <row r="66">
      <c r="A66" s="20" t="inlineStr">
        <is>
          <t>2024-07-24</t>
        </is>
      </c>
      <c r="B66" s="20" t="inlineStr">
        <is>
          <t>주요사항보고서(자기주식취득신탁계약체결결정)</t>
        </is>
      </c>
      <c r="C66" s="20" t="inlineStr">
        <is>
          <t>에이디테크놀로지</t>
        </is>
      </c>
      <c r="D66" s="20" t="inlineStr">
        <is>
          <t>자기주식</t>
        </is>
      </c>
      <c r="E66" s="20" t="inlineStr"/>
      <c r="F66" s="20" t="inlineStr">
        <is>
          <t>20240724000110.html</t>
        </is>
      </c>
      <c r="G66" s="20" t="inlineStr">
        <is>
          <t>20240724000110</t>
        </is>
      </c>
      <c r="H66" s="21" t="inlineStr">
        <is>
          <t>열기</t>
        </is>
      </c>
    </row>
    <row r="67">
      <c r="A67" s="20" t="inlineStr">
        <is>
          <t>2024-07-15</t>
        </is>
      </c>
      <c r="B67" s="20" t="inlineStr">
        <is>
          <t>주식등의대량보유상황보고서(일반)</t>
        </is>
      </c>
      <c r="C67" s="20" t="inlineStr">
        <is>
          <t>김준석</t>
        </is>
      </c>
      <c r="D67" s="20" t="inlineStr">
        <is>
          <t>5% 대량보유</t>
        </is>
      </c>
      <c r="E67" s="20" t="inlineStr"/>
      <c r="F67" s="20" t="inlineStr">
        <is>
          <t>20240712000538.html</t>
        </is>
      </c>
      <c r="G67" s="20" t="inlineStr">
        <is>
          <t>20240712000538</t>
        </is>
      </c>
      <c r="H67" s="21" t="inlineStr">
        <is>
          <t>열기</t>
        </is>
      </c>
    </row>
    <row r="68">
      <c r="A68" s="20" t="inlineStr">
        <is>
          <t>2024-07-10</t>
        </is>
      </c>
      <c r="B68" s="20" t="inlineStr">
        <is>
          <t>주식등의대량보유상황보고서(약식)</t>
        </is>
      </c>
      <c r="C68" s="20" t="inlineStr">
        <is>
          <t>한국증권금융</t>
        </is>
      </c>
      <c r="D68" s="20" t="inlineStr">
        <is>
          <t>5% 대량보유</t>
        </is>
      </c>
      <c r="E68" s="20" t="inlineStr"/>
      <c r="F68" s="20" t="inlineStr">
        <is>
          <t>20240710000340.html</t>
        </is>
      </c>
      <c r="G68" s="20" t="inlineStr">
        <is>
          <t>20240710000340</t>
        </is>
      </c>
      <c r="H68" s="21" t="inlineStr">
        <is>
          <t>열기</t>
        </is>
      </c>
    </row>
    <row r="69">
      <c r="A69" s="20" t="inlineStr">
        <is>
          <t>2024-05-16</t>
        </is>
      </c>
      <c r="B69" s="20" t="inlineStr">
        <is>
          <t>분기보고서 (2024.03)</t>
        </is>
      </c>
      <c r="C69" s="20" t="inlineStr">
        <is>
          <t>에이디테크놀로지</t>
        </is>
      </c>
      <c r="D69" s="20" t="inlineStr">
        <is>
          <t>정기보고서</t>
        </is>
      </c>
      <c r="E69" s="20" t="inlineStr"/>
      <c r="F69" s="20" t="inlineStr">
        <is>
          <t>20240516001920.html</t>
        </is>
      </c>
      <c r="G69" s="20" t="inlineStr">
        <is>
          <t>20240516001920</t>
        </is>
      </c>
      <c r="H69" s="21" t="inlineStr">
        <is>
          <t>열기</t>
        </is>
      </c>
    </row>
    <row r="70">
      <c r="A70" s="20" t="inlineStr">
        <is>
          <t>2024-04-30</t>
        </is>
      </c>
      <c r="B70" s="20" t="inlineStr">
        <is>
          <t>소속부변경</t>
        </is>
      </c>
      <c r="C70" s="20" t="inlineStr">
        <is>
          <t>코스닥시장본부</t>
        </is>
      </c>
      <c r="D70" s="20" t="inlineStr">
        <is>
          <t>기타</t>
        </is>
      </c>
      <c r="E70" s="20" t="inlineStr"/>
      <c r="F70" s="20" t="inlineStr">
        <is>
          <t>20240430901334.html</t>
        </is>
      </c>
      <c r="G70" s="20" t="inlineStr">
        <is>
          <t>20240430901334</t>
        </is>
      </c>
      <c r="H70" s="21" t="inlineStr">
        <is>
          <t>열기</t>
        </is>
      </c>
    </row>
    <row r="71">
      <c r="A71" s="20" t="inlineStr">
        <is>
          <t>2024-04-17</t>
        </is>
      </c>
      <c r="B71" s="20" t="inlineStr">
        <is>
          <t>임원ㆍ주요주주특정증권등소유상황보고서</t>
        </is>
      </c>
      <c r="C71" s="20" t="inlineStr">
        <is>
          <t>권두올</t>
        </is>
      </c>
      <c r="D71" s="20" t="inlineStr">
        <is>
          <t>임원 소유상황/거래계획</t>
        </is>
      </c>
      <c r="E71" s="20" t="inlineStr"/>
      <c r="F71" s="20" t="inlineStr">
        <is>
          <t>20240417000466.html</t>
        </is>
      </c>
      <c r="G71" s="20" t="inlineStr">
        <is>
          <t>20240417000466</t>
        </is>
      </c>
      <c r="H71" s="21" t="inlineStr">
        <is>
          <t>열기</t>
        </is>
      </c>
    </row>
    <row r="72">
      <c r="A72" s="20" t="inlineStr">
        <is>
          <t>2024-04-17</t>
        </is>
      </c>
      <c r="B72" s="20" t="inlineStr">
        <is>
          <t>임원ㆍ주요주주특정증권등소유상황보고서</t>
        </is>
      </c>
      <c r="C72" s="20" t="inlineStr">
        <is>
          <t>김선민</t>
        </is>
      </c>
      <c r="D72" s="20" t="inlineStr">
        <is>
          <t>임원 소유상황/거래계획</t>
        </is>
      </c>
      <c r="E72" s="20" t="inlineStr"/>
      <c r="F72" s="20" t="inlineStr">
        <is>
          <t>20240417000462.html</t>
        </is>
      </c>
      <c r="G72" s="20" t="inlineStr">
        <is>
          <t>20240417000462</t>
        </is>
      </c>
      <c r="H72" s="21" t="inlineStr">
        <is>
          <t>열기</t>
        </is>
      </c>
    </row>
    <row r="73">
      <c r="A73" s="20" t="inlineStr">
        <is>
          <t>2024-04-17</t>
        </is>
      </c>
      <c r="B73" s="20" t="inlineStr">
        <is>
          <t>임원ㆍ주요주주특정증권등소유상황보고서</t>
        </is>
      </c>
      <c r="C73" s="20" t="inlineStr">
        <is>
          <t>김귀우</t>
        </is>
      </c>
      <c r="D73" s="20" t="inlineStr">
        <is>
          <t>임원 소유상황/거래계획</t>
        </is>
      </c>
      <c r="E73" s="20" t="inlineStr"/>
      <c r="F73" s="20" t="inlineStr">
        <is>
          <t>20240417000454.html</t>
        </is>
      </c>
      <c r="G73" s="20" t="inlineStr">
        <is>
          <t>20240417000454</t>
        </is>
      </c>
      <c r="H73" s="21" t="inlineStr">
        <is>
          <t>열기</t>
        </is>
      </c>
    </row>
    <row r="74">
      <c r="A74" s="20" t="inlineStr">
        <is>
          <t>2024-04-17</t>
        </is>
      </c>
      <c r="B74" s="20" t="inlineStr">
        <is>
          <t>임원ㆍ주요주주특정증권등소유상황보고서</t>
        </is>
      </c>
      <c r="C74" s="20" t="inlineStr">
        <is>
          <t>이지숙</t>
        </is>
      </c>
      <c r="D74" s="20" t="inlineStr">
        <is>
          <t>임원 소유상황/거래계획</t>
        </is>
      </c>
      <c r="E74" s="20" t="inlineStr"/>
      <c r="F74" s="20" t="inlineStr">
        <is>
          <t>20240417000442.html</t>
        </is>
      </c>
      <c r="G74" s="20" t="inlineStr">
        <is>
          <t>20240417000442</t>
        </is>
      </c>
      <c r="H74" s="21" t="inlineStr">
        <is>
          <t>열기</t>
        </is>
      </c>
    </row>
    <row r="75">
      <c r="A75" s="20" t="inlineStr">
        <is>
          <t>2024-04-09</t>
        </is>
      </c>
      <c r="B75" s="20" t="inlineStr">
        <is>
          <t>주식등의대량보유상황보고서(약식)</t>
        </is>
      </c>
      <c r="C75" s="20" t="inlineStr">
        <is>
          <t>한국증권금융</t>
        </is>
      </c>
      <c r="D75" s="20" t="inlineStr">
        <is>
          <t>5% 대량보유</t>
        </is>
      </c>
      <c r="E75" s="20" t="inlineStr"/>
      <c r="F75" s="20" t="inlineStr">
        <is>
          <t>20240409002076.html</t>
        </is>
      </c>
      <c r="G75" s="20" t="inlineStr">
        <is>
          <t>20240409002076</t>
        </is>
      </c>
      <c r="H75" s="21" t="inlineStr">
        <is>
          <t>열기</t>
        </is>
      </c>
    </row>
    <row r="76">
      <c r="A76" s="20" t="inlineStr">
        <is>
          <t>2024-04-04</t>
        </is>
      </c>
      <c r="B76" s="20" t="inlineStr">
        <is>
          <t>주식등의대량보유상황보고서(일반)</t>
        </is>
      </c>
      <c r="C76" s="20" t="inlineStr">
        <is>
          <t>김준석</t>
        </is>
      </c>
      <c r="D76" s="20" t="inlineStr">
        <is>
          <t>5% 대량보유</t>
        </is>
      </c>
      <c r="E76" s="20" t="inlineStr"/>
      <c r="F76" s="20" t="inlineStr">
        <is>
          <t>20240404003222.html</t>
        </is>
      </c>
      <c r="G76" s="20" t="inlineStr">
        <is>
          <t>20240404003222</t>
        </is>
      </c>
      <c r="H76" s="21" t="inlineStr">
        <is>
          <t>열기</t>
        </is>
      </c>
    </row>
    <row r="77">
      <c r="A77" s="20" t="inlineStr">
        <is>
          <t>2024-03-28</t>
        </is>
      </c>
      <c r="B77" s="20" t="inlineStr">
        <is>
          <t>정기주주총회결과</t>
        </is>
      </c>
      <c r="C77" s="20" t="inlineStr">
        <is>
          <t>에이디테크놀로지</t>
        </is>
      </c>
      <c r="D77" s="20" t="inlineStr">
        <is>
          <t>경영권/주총</t>
        </is>
      </c>
      <c r="E77" s="20" t="inlineStr"/>
      <c r="F77" s="20" t="inlineStr">
        <is>
          <t>20240328902332.html</t>
        </is>
      </c>
      <c r="G77" s="20" t="inlineStr">
        <is>
          <t>20240328902332</t>
        </is>
      </c>
      <c r="H77" s="21" t="inlineStr">
        <is>
          <t>열기</t>
        </is>
      </c>
    </row>
    <row r="78">
      <c r="A78" s="20" t="inlineStr">
        <is>
          <t>2024-03-20</t>
        </is>
      </c>
      <c r="B78" s="20" t="inlineStr">
        <is>
          <t>감사보고서제출</t>
        </is>
      </c>
      <c r="C78" s="20" t="inlineStr">
        <is>
          <t>에이디테크놀로지</t>
        </is>
      </c>
      <c r="D78" s="20" t="inlineStr">
        <is>
          <t>감사보고서</t>
        </is>
      </c>
      <c r="E78" s="20" t="inlineStr"/>
      <c r="F78" s="20" t="inlineStr">
        <is>
          <t>20240320902427.html</t>
        </is>
      </c>
      <c r="G78" s="20" t="inlineStr">
        <is>
          <t>20240320902427</t>
        </is>
      </c>
      <c r="H78" s="21" t="inlineStr">
        <is>
          <t>열기</t>
        </is>
      </c>
    </row>
    <row r="79">
      <c r="A79" s="20" t="inlineStr">
        <is>
          <t>2024-03-20</t>
        </is>
      </c>
      <c r="B79" s="20" t="inlineStr">
        <is>
          <t>사업보고서 (2023.12)</t>
        </is>
      </c>
      <c r="C79" s="20" t="inlineStr">
        <is>
          <t>에이디테크놀로지</t>
        </is>
      </c>
      <c r="D79" s="20" t="inlineStr">
        <is>
          <t>정기보고서</t>
        </is>
      </c>
      <c r="E79" s="20" t="inlineStr"/>
      <c r="F79" s="20" t="inlineStr">
        <is>
          <t>20240320001916.html</t>
        </is>
      </c>
      <c r="G79" s="20" t="inlineStr">
        <is>
          <t>20240320001916</t>
        </is>
      </c>
      <c r="H79" s="21" t="inlineStr">
        <is>
          <t>열기</t>
        </is>
      </c>
    </row>
    <row r="80">
      <c r="A80" s="20" t="inlineStr">
        <is>
          <t>2024-03-12</t>
        </is>
      </c>
      <c r="B80" s="20" t="inlineStr">
        <is>
          <t>주주총회소집결의</t>
        </is>
      </c>
      <c r="C80" s="20" t="inlineStr">
        <is>
          <t>에이디테크놀로지</t>
        </is>
      </c>
      <c r="D80" s="20" t="inlineStr">
        <is>
          <t>경영권/주총</t>
        </is>
      </c>
      <c r="E80" s="20" t="inlineStr"/>
      <c r="F80" s="20" t="inlineStr">
        <is>
          <t>20240312901332.html</t>
        </is>
      </c>
      <c r="G80" s="20" t="inlineStr">
        <is>
          <t>20240312901332</t>
        </is>
      </c>
      <c r="H80" s="21" t="inlineStr">
        <is>
          <t>열기</t>
        </is>
      </c>
    </row>
    <row r="81">
      <c r="A81" s="20" t="inlineStr">
        <is>
          <t>2024-03-12</t>
        </is>
      </c>
      <c r="B81" s="20" t="inlineStr">
        <is>
          <t>의결권대리행사권유참고서류</t>
        </is>
      </c>
      <c r="C81" s="20" t="inlineStr">
        <is>
          <t>에이디테크놀로지</t>
        </is>
      </c>
      <c r="D81" s="20" t="inlineStr">
        <is>
          <t>경영권/주총</t>
        </is>
      </c>
      <c r="E81" s="20" t="inlineStr"/>
      <c r="F81" s="20" t="inlineStr">
        <is>
          <t>20240312000961.html</t>
        </is>
      </c>
      <c r="G81" s="20" t="inlineStr">
        <is>
          <t>20240312000961</t>
        </is>
      </c>
      <c r="H81" s="21" t="inlineStr">
        <is>
          <t>열기</t>
        </is>
      </c>
    </row>
    <row r="82">
      <c r="A82" s="20" t="inlineStr">
        <is>
          <t>2024-03-12</t>
        </is>
      </c>
      <c r="B82" s="20" t="inlineStr">
        <is>
          <t>주주총회소집공고</t>
        </is>
      </c>
      <c r="C82" s="20" t="inlineStr">
        <is>
          <t>에이디테크놀로지</t>
        </is>
      </c>
      <c r="D82" s="20" t="inlineStr">
        <is>
          <t>경영권/주총</t>
        </is>
      </c>
      <c r="E82" s="20" t="inlineStr"/>
      <c r="F82" s="20" t="inlineStr">
        <is>
          <t>20240312000939.html</t>
        </is>
      </c>
      <c r="G82" s="20" t="inlineStr">
        <is>
          <t>20240312000939</t>
        </is>
      </c>
      <c r="H82" s="21" t="inlineStr">
        <is>
          <t>열기</t>
        </is>
      </c>
    </row>
    <row r="83">
      <c r="A83" s="20" t="inlineStr">
        <is>
          <t>2024-02-05</t>
        </is>
      </c>
      <c r="B83" s="20" t="inlineStr">
        <is>
          <t>매출액또는손익구조30%(대규모법인은15%)이상변동</t>
        </is>
      </c>
      <c r="C83" s="20" t="inlineStr">
        <is>
          <t>에이디테크놀로지</t>
        </is>
      </c>
      <c r="D83" s="20" t="inlineStr">
        <is>
          <t>실적변동</t>
        </is>
      </c>
      <c r="E83" s="20" t="inlineStr"/>
      <c r="F83" s="20" t="inlineStr">
        <is>
          <t>20240205901027.html</t>
        </is>
      </c>
      <c r="G83" s="20" t="inlineStr">
        <is>
          <t>20240205901027</t>
        </is>
      </c>
      <c r="H83" s="21" t="inlineStr">
        <is>
          <t>열기</t>
        </is>
      </c>
    </row>
    <row r="84">
      <c r="A84" s="20" t="inlineStr">
        <is>
          <t>2024-01-10</t>
        </is>
      </c>
      <c r="B84" s="20" t="inlineStr">
        <is>
          <t>주식등의대량보유상황보고서(약식)</t>
        </is>
      </c>
      <c r="C84" s="20" t="inlineStr">
        <is>
          <t>한국증권금융</t>
        </is>
      </c>
      <c r="D84" s="20" t="inlineStr">
        <is>
          <t>5% 대량보유</t>
        </is>
      </c>
      <c r="E84" s="20" t="inlineStr"/>
      <c r="F84" s="20" t="inlineStr">
        <is>
          <t>20240110000262.html</t>
        </is>
      </c>
      <c r="G84" s="20" t="inlineStr">
        <is>
          <t>20240110000262</t>
        </is>
      </c>
      <c r="H84" s="21" t="inlineStr">
        <is>
          <t>열기</t>
        </is>
      </c>
    </row>
    <row r="85">
      <c r="A85" s="20" t="inlineStr">
        <is>
          <t>2024-01-05</t>
        </is>
      </c>
      <c r="B85" s="20" t="inlineStr">
        <is>
          <t>주식등의대량보유상황보고서(일반)</t>
        </is>
      </c>
      <c r="C85" s="20" t="inlineStr">
        <is>
          <t>김준석</t>
        </is>
      </c>
      <c r="D85" s="20" t="inlineStr">
        <is>
          <t>5% 대량보유</t>
        </is>
      </c>
      <c r="E85" s="20" t="inlineStr"/>
      <c r="F85" s="20" t="inlineStr">
        <is>
          <t>20240105000098.html</t>
        </is>
      </c>
      <c r="G85" s="20" t="inlineStr">
        <is>
          <t>20240105000098</t>
        </is>
      </c>
      <c r="H85" s="21" t="inlineStr">
        <is>
          <t>열기</t>
        </is>
      </c>
    </row>
    <row r="86">
      <c r="A86" s="20" t="inlineStr">
        <is>
          <t>2023-12-18</t>
        </is>
      </c>
      <c r="B86" s="20" t="inlineStr">
        <is>
          <t>[기재정정]분기보고서 (2023.09)</t>
        </is>
      </c>
      <c r="C86" s="20" t="inlineStr">
        <is>
          <t>에이디테크놀로지</t>
        </is>
      </c>
      <c r="D86" s="20" t="inlineStr">
        <is>
          <t>정기보고서</t>
        </is>
      </c>
      <c r="E86" s="20" t="inlineStr">
        <is>
          <t>정정</t>
        </is>
      </c>
      <c r="F86" s="20" t="inlineStr">
        <is>
          <t>20231218000029.html</t>
        </is>
      </c>
      <c r="G86" s="20" t="inlineStr">
        <is>
          <t>20231218000029</t>
        </is>
      </c>
      <c r="H86" s="21" t="inlineStr">
        <is>
          <t>열기</t>
        </is>
      </c>
    </row>
    <row r="87">
      <c r="A87" s="20" t="inlineStr">
        <is>
          <t>2023-12-18</t>
        </is>
      </c>
      <c r="B87" s="20" t="inlineStr">
        <is>
          <t>[기재정정]반기보고서 (2023.06)</t>
        </is>
      </c>
      <c r="C87" s="20" t="inlineStr">
        <is>
          <t>에이디테크놀로지</t>
        </is>
      </c>
      <c r="D87" s="20" t="inlineStr">
        <is>
          <t>정기보고서</t>
        </is>
      </c>
      <c r="E87" s="20" t="inlineStr">
        <is>
          <t>정정</t>
        </is>
      </c>
      <c r="F87" s="20" t="inlineStr">
        <is>
          <t>20231218000028.html</t>
        </is>
      </c>
      <c r="G87" s="20" t="inlineStr">
        <is>
          <t>20231218000028</t>
        </is>
      </c>
      <c r="H87" s="21" t="inlineStr">
        <is>
          <t>열기</t>
        </is>
      </c>
    </row>
    <row r="88">
      <c r="A88" s="20" t="inlineStr">
        <is>
          <t>2023-12-14</t>
        </is>
      </c>
      <c r="B88" s="20" t="inlineStr">
        <is>
          <t>현금ㆍ현물배당을위한주주명부폐쇄(기준일)결정</t>
        </is>
      </c>
      <c r="C88" s="20" t="inlineStr">
        <is>
          <t>에이디테크놀로지</t>
        </is>
      </c>
      <c r="D88" s="20" t="inlineStr">
        <is>
          <t>경영권/주총</t>
        </is>
      </c>
      <c r="E88" s="20" t="inlineStr"/>
      <c r="F88" s="20" t="inlineStr">
        <is>
          <t>20231214901132.html</t>
        </is>
      </c>
      <c r="G88" s="20" t="inlineStr">
        <is>
          <t>20231214901132</t>
        </is>
      </c>
      <c r="H88" s="21" t="inlineStr">
        <is>
          <t>열기</t>
        </is>
      </c>
    </row>
    <row r="89">
      <c r="A89" s="20" t="inlineStr">
        <is>
          <t>2023-12-14</t>
        </is>
      </c>
      <c r="B89" s="20" t="inlineStr">
        <is>
          <t>주주명부폐쇄기간또는기준일설정</t>
        </is>
      </c>
      <c r="C89" s="20" t="inlineStr">
        <is>
          <t>에이디테크놀로지</t>
        </is>
      </c>
      <c r="D89" s="20" t="inlineStr">
        <is>
          <t>경영권/주총</t>
        </is>
      </c>
      <c r="E89" s="20" t="inlineStr"/>
      <c r="F89" s="20" t="inlineStr">
        <is>
          <t>20231214901125.html</t>
        </is>
      </c>
      <c r="G89" s="20" t="inlineStr">
        <is>
          <t>20231214901125</t>
        </is>
      </c>
      <c r="H89" s="21" t="inlineStr">
        <is>
          <t>열기</t>
        </is>
      </c>
    </row>
    <row r="90">
      <c r="A90" s="20" t="inlineStr">
        <is>
          <t>2023-11-14</t>
        </is>
      </c>
      <c r="B90" s="20" t="inlineStr">
        <is>
          <t>분기보고서 (2023.09)</t>
        </is>
      </c>
      <c r="C90" s="20" t="inlineStr">
        <is>
          <t>에이디테크놀로지</t>
        </is>
      </c>
      <c r="D90" s="20" t="inlineStr">
        <is>
          <t>정기보고서</t>
        </is>
      </c>
      <c r="E90" s="20" t="inlineStr"/>
      <c r="F90" s="20" t="inlineStr">
        <is>
          <t>20231114002978.html</t>
        </is>
      </c>
      <c r="G90" s="20" t="inlineStr">
        <is>
          <t>20231114002978</t>
        </is>
      </c>
      <c r="H90" s="21" t="inlineStr">
        <is>
          <t>열기</t>
        </is>
      </c>
    </row>
    <row r="91">
      <c r="A91" s="20" t="inlineStr">
        <is>
          <t>2023-10-10</t>
        </is>
      </c>
      <c r="B91" s="20" t="inlineStr">
        <is>
          <t>주식등의대량보유상황보고서(일반)</t>
        </is>
      </c>
      <c r="C91" s="20" t="inlineStr">
        <is>
          <t>김준석</t>
        </is>
      </c>
      <c r="D91" s="20" t="inlineStr">
        <is>
          <t>5% 대량보유</t>
        </is>
      </c>
      <c r="E91" s="20" t="inlineStr"/>
      <c r="F91" s="20" t="inlineStr">
        <is>
          <t>20231010000179.html</t>
        </is>
      </c>
      <c r="G91" s="20" t="inlineStr">
        <is>
          <t>20231010000179</t>
        </is>
      </c>
      <c r="H91" s="21" t="inlineStr">
        <is>
          <t>열기</t>
        </is>
      </c>
    </row>
    <row r="92">
      <c r="A92" s="20" t="inlineStr">
        <is>
          <t>2023-09-18</t>
        </is>
      </c>
      <c r="B92" s="20" t="inlineStr">
        <is>
          <t>단일판매ㆍ공급계약체결</t>
        </is>
      </c>
      <c r="C92" s="20" t="inlineStr">
        <is>
          <t>에이디테크놀로지</t>
        </is>
      </c>
      <c r="D92" s="20" t="inlineStr">
        <is>
          <t>공급계약</t>
        </is>
      </c>
      <c r="E92" s="20" t="inlineStr"/>
      <c r="F92" s="20" t="inlineStr">
        <is>
          <t>20230918900407.html</t>
        </is>
      </c>
      <c r="G92" s="20" t="inlineStr">
        <is>
          <t>20230918900407</t>
        </is>
      </c>
      <c r="H92" s="21" t="inlineStr">
        <is>
          <t>열기</t>
        </is>
      </c>
    </row>
    <row r="93">
      <c r="A93" s="20" t="inlineStr">
        <is>
          <t>2023-08-14</t>
        </is>
      </c>
      <c r="B93" s="20" t="inlineStr">
        <is>
          <t>반기보고서 (2023.06)</t>
        </is>
      </c>
      <c r="C93" s="20" t="inlineStr">
        <is>
          <t>에이디테크놀로지</t>
        </is>
      </c>
      <c r="D93" s="20" t="inlineStr">
        <is>
          <t>정기보고서</t>
        </is>
      </c>
      <c r="E93" s="20" t="inlineStr"/>
      <c r="F93" s="20" t="inlineStr">
        <is>
          <t>20230811002626.html</t>
        </is>
      </c>
      <c r="G93" s="20" t="inlineStr">
        <is>
          <t>20230811002626</t>
        </is>
      </c>
      <c r="H93" s="21" t="inlineStr">
        <is>
          <t>열기</t>
        </is>
      </c>
    </row>
    <row r="94">
      <c r="A94" s="20" t="inlineStr">
        <is>
          <t>2023-07-12</t>
        </is>
      </c>
      <c r="B94" s="20" t="inlineStr">
        <is>
          <t>신탁계약해지결과보고서</t>
        </is>
      </c>
      <c r="C94" s="20" t="inlineStr">
        <is>
          <t>에이디테크놀로지</t>
        </is>
      </c>
      <c r="D94" s="20" t="inlineStr">
        <is>
          <t>자기주식</t>
        </is>
      </c>
      <c r="E94" s="20" t="inlineStr"/>
      <c r="F94" s="20" t="inlineStr">
        <is>
          <t>20230712000448.html</t>
        </is>
      </c>
      <c r="G94" s="20" t="inlineStr">
        <is>
          <t>20230712000448</t>
        </is>
      </c>
      <c r="H94" s="21" t="inlineStr">
        <is>
          <t>열기</t>
        </is>
      </c>
    </row>
    <row r="95">
      <c r="A95" s="20" t="inlineStr">
        <is>
          <t>2023-07-06</t>
        </is>
      </c>
      <c r="B95" s="20" t="inlineStr">
        <is>
          <t>주식등의대량보유상황보고서(일반)</t>
        </is>
      </c>
      <c r="C95" s="20" t="inlineStr">
        <is>
          <t>김준석</t>
        </is>
      </c>
      <c r="D95" s="20" t="inlineStr">
        <is>
          <t>5% 대량보유</t>
        </is>
      </c>
      <c r="E95" s="20" t="inlineStr"/>
      <c r="F95" s="20" t="inlineStr">
        <is>
          <t>20230706000229.html</t>
        </is>
      </c>
      <c r="G95" s="20" t="inlineStr">
        <is>
          <t>20230706000229</t>
        </is>
      </c>
      <c r="H95" s="21" t="inlineStr">
        <is>
          <t>열기</t>
        </is>
      </c>
    </row>
    <row r="96">
      <c r="A96" s="20" t="inlineStr">
        <is>
          <t>2023-07-03</t>
        </is>
      </c>
      <c r="B96" s="20" t="inlineStr">
        <is>
          <t>단일판매ㆍ공급계약체결</t>
        </is>
      </c>
      <c r="C96" s="20" t="inlineStr">
        <is>
          <t>에이디테크놀로지</t>
        </is>
      </c>
      <c r="D96" s="20" t="inlineStr">
        <is>
          <t>공급계약</t>
        </is>
      </c>
      <c r="E96" s="20" t="inlineStr"/>
      <c r="F96" s="20" t="inlineStr">
        <is>
          <t>20230703900282.html</t>
        </is>
      </c>
      <c r="G96" s="20" t="inlineStr">
        <is>
          <t>20230703900282</t>
        </is>
      </c>
      <c r="H96" s="21" t="inlineStr">
        <is>
          <t>열기</t>
        </is>
      </c>
    </row>
    <row r="97">
      <c r="A97" s="20" t="inlineStr">
        <is>
          <t>2023-06-23</t>
        </is>
      </c>
      <c r="B97" s="20" t="inlineStr">
        <is>
          <t>[기재정정]주식매수선택권부여에관한신고</t>
        </is>
      </c>
      <c r="C97" s="20" t="inlineStr">
        <is>
          <t>에이디테크놀로지</t>
        </is>
      </c>
      <c r="D97" s="20" t="inlineStr">
        <is>
          <t>스톡옵션</t>
        </is>
      </c>
      <c r="E97" s="20" t="inlineStr">
        <is>
          <t>정정</t>
        </is>
      </c>
      <c r="F97" s="20" t="inlineStr">
        <is>
          <t>20230623000283.html</t>
        </is>
      </c>
      <c r="G97" s="20" t="inlineStr">
        <is>
          <t>20230623000283</t>
        </is>
      </c>
      <c r="H97" s="21" t="inlineStr">
        <is>
          <t>열기</t>
        </is>
      </c>
    </row>
    <row r="98">
      <c r="A98" s="20" t="inlineStr">
        <is>
          <t>2023-06-23</t>
        </is>
      </c>
      <c r="B98" s="20" t="inlineStr">
        <is>
          <t>[기재정정]주식매수선택권부여에관한신고</t>
        </is>
      </c>
      <c r="C98" s="20" t="inlineStr">
        <is>
          <t>에이디테크놀로지</t>
        </is>
      </c>
      <c r="D98" s="20" t="inlineStr">
        <is>
          <t>스톡옵션</t>
        </is>
      </c>
      <c r="E98" s="20" t="inlineStr">
        <is>
          <t>정정</t>
        </is>
      </c>
      <c r="F98" s="20" t="inlineStr">
        <is>
          <t>20230623000281.html</t>
        </is>
      </c>
      <c r="G98" s="20" t="inlineStr">
        <is>
          <t>20230623000281</t>
        </is>
      </c>
      <c r="H98" s="21" t="inlineStr">
        <is>
          <t>열기</t>
        </is>
      </c>
    </row>
    <row r="99">
      <c r="A99" s="20" t="inlineStr">
        <is>
          <t>2023-05-15</t>
        </is>
      </c>
      <c r="B99" s="20" t="inlineStr">
        <is>
          <t>분기보고서 (2023.03)</t>
        </is>
      </c>
      <c r="C99" s="20" t="inlineStr">
        <is>
          <t>에이디테크놀로지</t>
        </is>
      </c>
      <c r="D99" s="20" t="inlineStr">
        <is>
          <t>정기보고서</t>
        </is>
      </c>
      <c r="E99" s="20" t="inlineStr"/>
      <c r="F99" s="20" t="inlineStr">
        <is>
          <t>20230515002772.html</t>
        </is>
      </c>
      <c r="G99" s="20" t="inlineStr">
        <is>
          <t>20230515002772</t>
        </is>
      </c>
      <c r="H99" s="21" t="inlineStr">
        <is>
          <t>열기</t>
        </is>
      </c>
    </row>
    <row r="100">
      <c r="A100" s="20" t="inlineStr">
        <is>
          <t>2023-04-11</t>
        </is>
      </c>
      <c r="B100" s="20" t="inlineStr">
        <is>
          <t>신탁계약에의한취득상황보고서</t>
        </is>
      </c>
      <c r="C100" s="20" t="inlineStr">
        <is>
          <t>에이디테크놀로지</t>
        </is>
      </c>
      <c r="D100" s="20" t="inlineStr">
        <is>
          <t>자기주식</t>
        </is>
      </c>
      <c r="E100" s="20" t="inlineStr"/>
      <c r="F100" s="20" t="inlineStr">
        <is>
          <t>20230411003002.html</t>
        </is>
      </c>
      <c r="G100" s="20" t="inlineStr">
        <is>
          <t>20230411003002</t>
        </is>
      </c>
      <c r="H100" s="21" t="inlineStr">
        <is>
          <t>열기</t>
        </is>
      </c>
    </row>
    <row r="101">
      <c r="A101" s="20" t="inlineStr">
        <is>
          <t>2023-04-05</t>
        </is>
      </c>
      <c r="B101" s="20" t="inlineStr">
        <is>
          <t>주식등의대량보유상황보고서(일반)</t>
        </is>
      </c>
      <c r="C101" s="20" t="inlineStr">
        <is>
          <t>김준석</t>
        </is>
      </c>
      <c r="D101" s="20" t="inlineStr">
        <is>
          <t>5% 대량보유</t>
        </is>
      </c>
      <c r="E101" s="20" t="inlineStr"/>
      <c r="F101" s="20" t="inlineStr">
        <is>
          <t>20230405003213.html</t>
        </is>
      </c>
      <c r="G101" s="20" t="inlineStr">
        <is>
          <t>20230405003213</t>
        </is>
      </c>
      <c r="H101" s="21" t="inlineStr">
        <is>
          <t>열기</t>
        </is>
      </c>
    </row>
    <row r="102">
      <c r="A102" s="20" t="inlineStr">
        <is>
          <t>2023-03-30</t>
        </is>
      </c>
      <c r="B102" s="20" t="inlineStr">
        <is>
          <t>정기주주총회결과</t>
        </is>
      </c>
      <c r="C102" s="20" t="inlineStr">
        <is>
          <t>에이디테크놀로지</t>
        </is>
      </c>
      <c r="D102" s="20" t="inlineStr">
        <is>
          <t>경영권/주총</t>
        </is>
      </c>
      <c r="E102" s="20" t="inlineStr"/>
      <c r="F102" s="20" t="inlineStr">
        <is>
          <t>20230330900776.html</t>
        </is>
      </c>
      <c r="G102" s="20" t="inlineStr">
        <is>
          <t>20230330900776</t>
        </is>
      </c>
      <c r="H102" s="21" t="inlineStr">
        <is>
          <t>열기</t>
        </is>
      </c>
    </row>
    <row r="103">
      <c r="A103" s="20" t="inlineStr">
        <is>
          <t>2023-03-30</t>
        </is>
      </c>
      <c r="B103" s="20" t="inlineStr">
        <is>
          <t>독립이사의선임ㆍ해임또는중도퇴임에관한신고</t>
        </is>
      </c>
      <c r="C103" s="20" t="inlineStr">
        <is>
          <t>에이디테크놀로지</t>
        </is>
      </c>
      <c r="D103" s="20" t="inlineStr">
        <is>
          <t>경영권/주총</t>
        </is>
      </c>
      <c r="E103" s="20" t="inlineStr"/>
      <c r="F103" s="20" t="inlineStr">
        <is>
          <t>20230330000720.html</t>
        </is>
      </c>
      <c r="G103" s="20" t="inlineStr">
        <is>
          <t>20230330000720</t>
        </is>
      </c>
      <c r="H103" s="21" t="inlineStr">
        <is>
          <t>열기</t>
        </is>
      </c>
    </row>
    <row r="104">
      <c r="A104" s="20" t="inlineStr">
        <is>
          <t>2023-03-21</t>
        </is>
      </c>
      <c r="B104" s="20" t="inlineStr">
        <is>
          <t>감사보고서제출</t>
        </is>
      </c>
      <c r="C104" s="20" t="inlineStr">
        <is>
          <t>에이디테크놀로지</t>
        </is>
      </c>
      <c r="D104" s="20" t="inlineStr">
        <is>
          <t>감사보고서</t>
        </is>
      </c>
      <c r="E104" s="20" t="inlineStr"/>
      <c r="F104" s="20" t="inlineStr">
        <is>
          <t>20230321900845.html</t>
        </is>
      </c>
      <c r="G104" s="20" t="inlineStr">
        <is>
          <t>20230321900845</t>
        </is>
      </c>
      <c r="H104" s="21" t="inlineStr">
        <is>
          <t>열기</t>
        </is>
      </c>
    </row>
    <row r="105">
      <c r="A105" s="20" t="inlineStr">
        <is>
          <t>2023-03-21</t>
        </is>
      </c>
      <c r="B105" s="20" t="inlineStr">
        <is>
          <t>사업보고서 (2022.12)</t>
        </is>
      </c>
      <c r="C105" s="20" t="inlineStr">
        <is>
          <t>에이디테크놀로지</t>
        </is>
      </c>
      <c r="D105" s="20" t="inlineStr">
        <is>
          <t>정기보고서</t>
        </is>
      </c>
      <c r="E105" s="20" t="inlineStr"/>
      <c r="F105" s="20" t="inlineStr">
        <is>
          <t>20230321001247.html</t>
        </is>
      </c>
      <c r="G105" s="20" t="inlineStr">
        <is>
          <t>20230321001247</t>
        </is>
      </c>
      <c r="H105" s="21" t="inlineStr">
        <is>
          <t>열기</t>
        </is>
      </c>
    </row>
    <row r="106">
      <c r="A106" s="20" t="inlineStr">
        <is>
          <t>2023-03-17</t>
        </is>
      </c>
      <c r="B106" s="20" t="inlineStr">
        <is>
          <t>[기재정정]유형자산취득결정(자율공시)</t>
        </is>
      </c>
      <c r="C106" s="20" t="inlineStr">
        <is>
          <t>에이디테크놀로지</t>
        </is>
      </c>
      <c r="D106" s="20" t="inlineStr">
        <is>
          <t>자산취득_처분</t>
        </is>
      </c>
      <c r="E106" s="20" t="inlineStr">
        <is>
          <t>정정</t>
        </is>
      </c>
      <c r="F106" s="20" t="inlineStr">
        <is>
          <t>20230317901300.html</t>
        </is>
      </c>
      <c r="G106" s="20" t="inlineStr">
        <is>
          <t>20230317901300</t>
        </is>
      </c>
      <c r="H106" s="21" t="inlineStr">
        <is>
          <t>열기</t>
        </is>
      </c>
    </row>
    <row r="107">
      <c r="A107" s="20" t="inlineStr">
        <is>
          <t>2023-03-09</t>
        </is>
      </c>
      <c r="B107" s="20" t="inlineStr">
        <is>
          <t>[기재정정]주주총회소집결의</t>
        </is>
      </c>
      <c r="C107" s="20" t="inlineStr">
        <is>
          <t>에이디테크놀로지</t>
        </is>
      </c>
      <c r="D107" s="20" t="inlineStr">
        <is>
          <t>경영권/주총</t>
        </is>
      </c>
      <c r="E107" s="20" t="inlineStr">
        <is>
          <t>정정</t>
        </is>
      </c>
      <c r="F107" s="20" t="inlineStr">
        <is>
          <t>20230309901349.html</t>
        </is>
      </c>
      <c r="G107" s="20" t="inlineStr">
        <is>
          <t>20230309901349</t>
        </is>
      </c>
      <c r="H107" s="21" t="inlineStr">
        <is>
          <t>열기</t>
        </is>
      </c>
    </row>
    <row r="108">
      <c r="A108" s="20" t="inlineStr">
        <is>
          <t>2023-03-09</t>
        </is>
      </c>
      <c r="B108" s="20" t="inlineStr">
        <is>
          <t>[기재정정]의결권대리행사권유참고서류</t>
        </is>
      </c>
      <c r="C108" s="20" t="inlineStr">
        <is>
          <t>에이디테크놀로지</t>
        </is>
      </c>
      <c r="D108" s="20" t="inlineStr">
        <is>
          <t>경영권/주총</t>
        </is>
      </c>
      <c r="E108" s="20" t="inlineStr">
        <is>
          <t>정정</t>
        </is>
      </c>
      <c r="F108" s="20" t="inlineStr">
        <is>
          <t>20230309000850.html</t>
        </is>
      </c>
      <c r="G108" s="20" t="inlineStr">
        <is>
          <t>20230309000850</t>
        </is>
      </c>
      <c r="H108" s="21" t="inlineStr">
        <is>
          <t>열기</t>
        </is>
      </c>
    </row>
    <row r="109">
      <c r="A109" s="20" t="inlineStr">
        <is>
          <t>2023-03-09</t>
        </is>
      </c>
      <c r="B109" s="20" t="inlineStr">
        <is>
          <t>[기재정정]주주총회소집공고</t>
        </is>
      </c>
      <c r="C109" s="20" t="inlineStr">
        <is>
          <t>에이디테크놀로지</t>
        </is>
      </c>
      <c r="D109" s="20" t="inlineStr">
        <is>
          <t>경영권/주총</t>
        </is>
      </c>
      <c r="E109" s="20" t="inlineStr">
        <is>
          <t>정정</t>
        </is>
      </c>
      <c r="F109" s="20" t="inlineStr">
        <is>
          <t>20230309000814.html</t>
        </is>
      </c>
      <c r="G109" s="20" t="inlineStr">
        <is>
          <t>20230309000814</t>
        </is>
      </c>
      <c r="H109" s="21" t="inlineStr">
        <is>
          <t>열기</t>
        </is>
      </c>
    </row>
    <row r="110">
      <c r="A110" s="20" t="inlineStr">
        <is>
          <t>2023-03-06</t>
        </is>
      </c>
      <c r="B110" s="20" t="inlineStr">
        <is>
          <t>주주총회집중일개최사유신고</t>
        </is>
      </c>
      <c r="C110" s="20" t="inlineStr">
        <is>
          <t>에이디테크놀로지</t>
        </is>
      </c>
      <c r="D110" s="20" t="inlineStr">
        <is>
          <t>경영권/주총</t>
        </is>
      </c>
      <c r="E110" s="20" t="inlineStr"/>
      <c r="F110" s="20" t="inlineStr">
        <is>
          <t>20230306900832.html</t>
        </is>
      </c>
      <c r="G110" s="20" t="inlineStr">
        <is>
          <t>20230306900832</t>
        </is>
      </c>
      <c r="H110" s="21" t="inlineStr">
        <is>
          <t>열기</t>
        </is>
      </c>
    </row>
    <row r="111">
      <c r="A111" s="20" t="inlineStr">
        <is>
          <t>2023-03-06</t>
        </is>
      </c>
      <c r="B111" s="20" t="inlineStr">
        <is>
          <t>주주총회소집결의</t>
        </is>
      </c>
      <c r="C111" s="20" t="inlineStr">
        <is>
          <t>에이디테크놀로지</t>
        </is>
      </c>
      <c r="D111" s="20" t="inlineStr">
        <is>
          <t>경영권/주총</t>
        </is>
      </c>
      <c r="E111" s="20" t="inlineStr"/>
      <c r="F111" s="20" t="inlineStr">
        <is>
          <t>20230306900829.html</t>
        </is>
      </c>
      <c r="G111" s="20" t="inlineStr">
        <is>
          <t>20230306900829</t>
        </is>
      </c>
      <c r="H111" s="21" t="inlineStr">
        <is>
          <t>열기</t>
        </is>
      </c>
    </row>
    <row r="112">
      <c r="A112" s="20" t="inlineStr">
        <is>
          <t>2023-03-06</t>
        </is>
      </c>
      <c r="B112" s="20" t="inlineStr">
        <is>
          <t>의결권대리행사권유참고서류</t>
        </is>
      </c>
      <c r="C112" s="20" t="inlineStr">
        <is>
          <t>에이디테크놀로지</t>
        </is>
      </c>
      <c r="D112" s="20" t="inlineStr">
        <is>
          <t>경영권/주총</t>
        </is>
      </c>
      <c r="E112" s="20" t="inlineStr"/>
      <c r="F112" s="20" t="inlineStr">
        <is>
          <t>20230306000482.html</t>
        </is>
      </c>
      <c r="G112" s="20" t="inlineStr">
        <is>
          <t>20230306000482</t>
        </is>
      </c>
      <c r="H112" s="21" t="inlineStr">
        <is>
          <t>열기</t>
        </is>
      </c>
    </row>
    <row r="113">
      <c r="A113" s="20" t="inlineStr">
        <is>
          <t>2023-03-06</t>
        </is>
      </c>
      <c r="B113" s="20" t="inlineStr">
        <is>
          <t>주주총회소집공고</t>
        </is>
      </c>
      <c r="C113" s="20" t="inlineStr">
        <is>
          <t>에이디테크놀로지</t>
        </is>
      </c>
      <c r="D113" s="20" t="inlineStr">
        <is>
          <t>경영권/주총</t>
        </is>
      </c>
      <c r="E113" s="20" t="inlineStr"/>
      <c r="F113" s="20" t="inlineStr">
        <is>
          <t>20230306000478.html</t>
        </is>
      </c>
      <c r="G113" s="20" t="inlineStr">
        <is>
          <t>20230306000478</t>
        </is>
      </c>
      <c r="H113" s="21" t="inlineStr">
        <is>
          <t>열기</t>
        </is>
      </c>
    </row>
    <row r="114">
      <c r="A114" s="20" t="inlineStr">
        <is>
          <t>2023-02-06</t>
        </is>
      </c>
      <c r="B114" s="20" t="inlineStr">
        <is>
          <t>매출액또는손익구조30%(대규모법인은15%)이상변동</t>
        </is>
      </c>
      <c r="C114" s="20" t="inlineStr">
        <is>
          <t>에이디테크놀로지</t>
        </is>
      </c>
      <c r="D114" s="20" t="inlineStr">
        <is>
          <t>실적변동</t>
        </is>
      </c>
      <c r="E114" s="20" t="inlineStr"/>
      <c r="F114" s="20" t="inlineStr">
        <is>
          <t>20230206901166.html</t>
        </is>
      </c>
      <c r="G114" s="20" t="inlineStr">
        <is>
          <t>20230206901166</t>
        </is>
      </c>
      <c r="H114" s="21" t="inlineStr">
        <is>
          <t>열기</t>
        </is>
      </c>
    </row>
    <row r="115">
      <c r="A115" s="20" t="inlineStr">
        <is>
          <t>2023-01-25</t>
        </is>
      </c>
      <c r="B115" s="20" t="inlineStr">
        <is>
          <t>유형자산취득결정(자율공시)</t>
        </is>
      </c>
      <c r="C115" s="20" t="inlineStr">
        <is>
          <t>에이디테크놀로지</t>
        </is>
      </c>
      <c r="D115" s="20" t="inlineStr">
        <is>
          <t>자산취득_처분</t>
        </is>
      </c>
      <c r="E115" s="20" t="inlineStr"/>
      <c r="F115" s="20" t="inlineStr">
        <is>
          <t>20230125900634.html</t>
        </is>
      </c>
      <c r="G115" s="20" t="inlineStr">
        <is>
          <t>20230125900634</t>
        </is>
      </c>
      <c r="H115" s="21" t="inlineStr">
        <is>
          <t>열기</t>
        </is>
      </c>
    </row>
    <row r="116">
      <c r="A116" s="20" t="inlineStr">
        <is>
          <t>2023-01-25</t>
        </is>
      </c>
      <c r="B116" s="20" t="inlineStr">
        <is>
          <t>신탁계약해지결과보고서</t>
        </is>
      </c>
      <c r="C116" s="20" t="inlineStr">
        <is>
          <t>에이디테크놀로지</t>
        </is>
      </c>
      <c r="D116" s="20" t="inlineStr">
        <is>
          <t>자기주식</t>
        </is>
      </c>
      <c r="E116" s="20" t="inlineStr"/>
      <c r="F116" s="20" t="inlineStr">
        <is>
          <t>20230125000238.html</t>
        </is>
      </c>
      <c r="G116" s="20" t="inlineStr">
        <is>
          <t>20230125000238</t>
        </is>
      </c>
      <c r="H116" s="21" t="inlineStr">
        <is>
          <t>열기</t>
        </is>
      </c>
    </row>
    <row r="117">
      <c r="A117" s="20" t="inlineStr">
        <is>
          <t>2023-01-12</t>
        </is>
      </c>
      <c r="B117" s="20" t="inlineStr">
        <is>
          <t>주식등의대량보유상황보고서(일반)</t>
        </is>
      </c>
      <c r="C117" s="20" t="inlineStr">
        <is>
          <t>김준석</t>
        </is>
      </c>
      <c r="D117" s="20" t="inlineStr">
        <is>
          <t>5% 대량보유</t>
        </is>
      </c>
      <c r="E117" s="20" t="inlineStr"/>
      <c r="F117" s="20" t="inlineStr">
        <is>
          <t>20230112000231.html</t>
        </is>
      </c>
      <c r="G117" s="20" t="inlineStr">
        <is>
          <t>20230112000231</t>
        </is>
      </c>
      <c r="H117" s="21" t="inlineStr">
        <is>
          <t>열기</t>
        </is>
      </c>
    </row>
    <row r="118">
      <c r="A118" s="20" t="inlineStr">
        <is>
          <t>2023-01-09</t>
        </is>
      </c>
      <c r="B118" s="20" t="inlineStr">
        <is>
          <t>주요사항보고서(자기주식취득신탁계약체결결정)</t>
        </is>
      </c>
      <c r="C118" s="20" t="inlineStr">
        <is>
          <t>에이디테크놀로지</t>
        </is>
      </c>
      <c r="D118" s="20" t="inlineStr">
        <is>
          <t>자기주식</t>
        </is>
      </c>
      <c r="E118" s="20" t="inlineStr"/>
      <c r="F118" s="20" t="inlineStr">
        <is>
          <t>20230109000192.html</t>
        </is>
      </c>
      <c r="G118" s="20" t="inlineStr">
        <is>
          <t>20230109000192</t>
        </is>
      </c>
      <c r="H118" s="21" t="inlineStr">
        <is>
          <t>열기</t>
        </is>
      </c>
    </row>
    <row r="119">
      <c r="A119" s="20" t="inlineStr">
        <is>
          <t>2023-01-06</t>
        </is>
      </c>
      <c r="B119" s="20" t="inlineStr">
        <is>
          <t>주식등의대량보유상황보고서(일반)</t>
        </is>
      </c>
      <c r="C119" s="20" t="inlineStr">
        <is>
          <t>김준석</t>
        </is>
      </c>
      <c r="D119" s="20" t="inlineStr">
        <is>
          <t>5% 대량보유</t>
        </is>
      </c>
      <c r="E119" s="20" t="inlineStr"/>
      <c r="F119" s="20" t="inlineStr">
        <is>
          <t>20230106000616.html</t>
        </is>
      </c>
      <c r="G119" s="20" t="inlineStr">
        <is>
          <t>20230106000616</t>
        </is>
      </c>
      <c r="H119" s="21" t="inlineStr">
        <is>
          <t>열기</t>
        </is>
      </c>
    </row>
    <row r="120">
      <c r="A120" s="20" t="inlineStr">
        <is>
          <t>2022-12-16</t>
        </is>
      </c>
      <c r="B120" s="20" t="inlineStr">
        <is>
          <t>현금ㆍ현물배당을위한주주명부폐쇄(기준일)결정</t>
        </is>
      </c>
      <c r="C120" s="20" t="inlineStr">
        <is>
          <t>에이디테크놀로지</t>
        </is>
      </c>
      <c r="D120" s="20" t="inlineStr">
        <is>
          <t>경영권/주총</t>
        </is>
      </c>
      <c r="E120" s="20" t="inlineStr"/>
      <c r="F120" s="20" t="inlineStr">
        <is>
          <t>20221216900584.html</t>
        </is>
      </c>
      <c r="G120" s="20" t="inlineStr">
        <is>
          <t>20221216900584</t>
        </is>
      </c>
      <c r="H120" s="21" t="inlineStr">
        <is>
          <t>열기</t>
        </is>
      </c>
    </row>
    <row r="121">
      <c r="A121" s="20" t="inlineStr">
        <is>
          <t>2022-12-16</t>
        </is>
      </c>
      <c r="B121" s="20" t="inlineStr">
        <is>
          <t>주주명부폐쇄기간또는기준일설정</t>
        </is>
      </c>
      <c r="C121" s="20" t="inlineStr">
        <is>
          <t>에이디테크놀로지</t>
        </is>
      </c>
      <c r="D121" s="20" t="inlineStr">
        <is>
          <t>경영권/주총</t>
        </is>
      </c>
      <c r="E121" s="20" t="inlineStr"/>
      <c r="F121" s="20" t="inlineStr">
        <is>
          <t>20221216900576.html</t>
        </is>
      </c>
      <c r="G121" s="20" t="inlineStr">
        <is>
          <t>20221216900576</t>
        </is>
      </c>
      <c r="H121" s="21" t="inlineStr">
        <is>
          <t>열기</t>
        </is>
      </c>
    </row>
    <row r="122">
      <c r="A122" s="20" t="inlineStr">
        <is>
          <t>2022-11-11</t>
        </is>
      </c>
      <c r="B122" s="20" t="inlineStr">
        <is>
          <t>분기보고서 (2022.09)</t>
        </is>
      </c>
      <c r="C122" s="20" t="inlineStr">
        <is>
          <t>에이디테크놀로지</t>
        </is>
      </c>
      <c r="D122" s="20" t="inlineStr">
        <is>
          <t>정기보고서</t>
        </is>
      </c>
      <c r="E122" s="20" t="inlineStr"/>
      <c r="F122" s="20" t="inlineStr">
        <is>
          <t>20221111001037.html</t>
        </is>
      </c>
      <c r="G122" s="20" t="inlineStr">
        <is>
          <t>20221111001037</t>
        </is>
      </c>
      <c r="H122" s="21" t="inlineStr">
        <is>
          <t>열기</t>
        </is>
      </c>
    </row>
    <row r="123">
      <c r="A123" s="20" t="inlineStr">
        <is>
          <t>2022-10-28</t>
        </is>
      </c>
      <c r="B123" s="20" t="inlineStr">
        <is>
          <t>신탁계약에의한취득상황보고서</t>
        </is>
      </c>
      <c r="C123" s="20" t="inlineStr">
        <is>
          <t>에이디테크놀로지</t>
        </is>
      </c>
      <c r="D123" s="20" t="inlineStr">
        <is>
          <t>자기주식</t>
        </is>
      </c>
      <c r="E123" s="20" t="inlineStr"/>
      <c r="F123" s="20" t="inlineStr">
        <is>
          <t>20221028000463.html</t>
        </is>
      </c>
      <c r="G123" s="20" t="inlineStr">
        <is>
          <t>20221028000463</t>
        </is>
      </c>
      <c r="H123" s="21" t="inlineStr">
        <is>
          <t>열기</t>
        </is>
      </c>
    </row>
    <row r="124">
      <c r="A124" s="20" t="inlineStr">
        <is>
          <t>2022-10-05</t>
        </is>
      </c>
      <c r="B124" s="20" t="inlineStr">
        <is>
          <t>주식등의대량보유상황보고서(일반)</t>
        </is>
      </c>
      <c r="C124" s="20" t="inlineStr">
        <is>
          <t>김준석</t>
        </is>
      </c>
      <c r="D124" s="20" t="inlineStr">
        <is>
          <t>5% 대량보유</t>
        </is>
      </c>
      <c r="E124" s="20" t="inlineStr"/>
      <c r="F124" s="20" t="inlineStr">
        <is>
          <t>20221005000066.html</t>
        </is>
      </c>
      <c r="G124" s="20" t="inlineStr">
        <is>
          <t>20221005000066</t>
        </is>
      </c>
      <c r="H124" s="21" t="inlineStr">
        <is>
          <t>열기</t>
        </is>
      </c>
    </row>
    <row r="125">
      <c r="A125" s="20" t="inlineStr">
        <is>
          <t>2022-08-29</t>
        </is>
      </c>
      <c r="B125" s="20" t="inlineStr">
        <is>
          <t>전환가액의조정</t>
        </is>
      </c>
      <c r="C125" s="20" t="inlineStr">
        <is>
          <t>에이디테크놀로지</t>
        </is>
      </c>
      <c r="D125" s="20" t="inlineStr">
        <is>
          <t>CB 전환가액조정</t>
        </is>
      </c>
      <c r="E125" s="20" t="inlineStr"/>
      <c r="F125" s="20" t="inlineStr">
        <is>
          <t>20220829900131.html</t>
        </is>
      </c>
      <c r="G125" s="20" t="inlineStr">
        <is>
          <t>20220829900131</t>
        </is>
      </c>
      <c r="H125" s="21" t="inlineStr">
        <is>
          <t>열기</t>
        </is>
      </c>
    </row>
    <row r="126">
      <c r="A126" s="20" t="inlineStr">
        <is>
          <t>2022-08-16</t>
        </is>
      </c>
      <c r="B126" s="20" t="inlineStr">
        <is>
          <t>반기보고서 (2022.06)</t>
        </is>
      </c>
      <c r="C126" s="20" t="inlineStr">
        <is>
          <t>에이디테크놀로지</t>
        </is>
      </c>
      <c r="D126" s="20" t="inlineStr">
        <is>
          <t>정기보고서</t>
        </is>
      </c>
      <c r="E126" s="20" t="inlineStr"/>
      <c r="F126" s="20" t="inlineStr">
        <is>
          <t>20220816001114.html</t>
        </is>
      </c>
      <c r="G126" s="20" t="inlineStr">
        <is>
          <t>20220816001114</t>
        </is>
      </c>
      <c r="H126" s="21" t="inlineStr">
        <is>
          <t>열기</t>
        </is>
      </c>
    </row>
    <row r="127">
      <c r="A127" s="20" t="inlineStr">
        <is>
          <t>2022-07-25</t>
        </is>
      </c>
      <c r="B127" s="20" t="inlineStr">
        <is>
          <t>주요사항보고서(자기주식취득신탁계약체결결정)</t>
        </is>
      </c>
      <c r="C127" s="20" t="inlineStr">
        <is>
          <t>에이디테크놀로지</t>
        </is>
      </c>
      <c r="D127" s="20" t="inlineStr">
        <is>
          <t>자기주식</t>
        </is>
      </c>
      <c r="E127" s="20" t="inlineStr"/>
      <c r="F127" s="20" t="inlineStr">
        <is>
          <t>20220725000051.html</t>
        </is>
      </c>
      <c r="G127" s="20" t="inlineStr">
        <is>
          <t>20220725000051</t>
        </is>
      </c>
      <c r="H127" s="21" t="inlineStr">
        <is>
          <t>열기</t>
        </is>
      </c>
    </row>
    <row r="128">
      <c r="A128" s="20" t="inlineStr">
        <is>
          <t>2022-07-07</t>
        </is>
      </c>
      <c r="B128" s="20" t="inlineStr">
        <is>
          <t>주식등의대량보유상황보고서(일반)</t>
        </is>
      </c>
      <c r="C128" s="20" t="inlineStr">
        <is>
          <t>김준석</t>
        </is>
      </c>
      <c r="D128" s="20" t="inlineStr">
        <is>
          <t>5% 대량보유</t>
        </is>
      </c>
      <c r="E128" s="20" t="inlineStr"/>
      <c r="F128" s="20" t="inlineStr">
        <is>
          <t>20220707000547.html</t>
        </is>
      </c>
      <c r="G128" s="20" t="inlineStr">
        <is>
          <t>20220707000547</t>
        </is>
      </c>
      <c r="H128" s="21" t="inlineStr">
        <is>
          <t>열기</t>
        </is>
      </c>
    </row>
    <row r="129">
      <c r="A129" s="20" t="inlineStr">
        <is>
          <t>2022-06-16</t>
        </is>
      </c>
      <c r="B129" s="20" t="inlineStr">
        <is>
          <t>단기차입금증가결정</t>
        </is>
      </c>
      <c r="C129" s="20" t="inlineStr">
        <is>
          <t>에이디테크놀로지</t>
        </is>
      </c>
      <c r="D129" s="20" t="inlineStr">
        <is>
          <t>차입</t>
        </is>
      </c>
      <c r="E129" s="20" t="inlineStr"/>
      <c r="F129" s="20" t="inlineStr">
        <is>
          <t>20220616900309.html</t>
        </is>
      </c>
      <c r="G129" s="20" t="inlineStr">
        <is>
          <t>20220616900309</t>
        </is>
      </c>
      <c r="H129" s="21" t="inlineStr">
        <is>
          <t>열기</t>
        </is>
      </c>
    </row>
    <row r="130">
      <c r="A130" s="20" t="inlineStr">
        <is>
          <t>2022-06-15</t>
        </is>
      </c>
      <c r="B130" s="20" t="inlineStr">
        <is>
          <t>단일판매ㆍ공급계약체결(자율공시)</t>
        </is>
      </c>
      <c r="C130" s="20" t="inlineStr">
        <is>
          <t>에이디테크놀로지</t>
        </is>
      </c>
      <c r="D130" s="20" t="inlineStr">
        <is>
          <t>공급계약</t>
        </is>
      </c>
      <c r="E130" s="20" t="inlineStr"/>
      <c r="F130" s="20" t="inlineStr">
        <is>
          <t>20220615900136.html</t>
        </is>
      </c>
      <c r="G130" s="20" t="inlineStr">
        <is>
          <t>20220615900136</t>
        </is>
      </c>
      <c r="H130" s="21" t="inlineStr">
        <is>
          <t>열기</t>
        </is>
      </c>
    </row>
    <row r="131">
      <c r="A131" s="20" t="inlineStr">
        <is>
          <t>2022-05-16</t>
        </is>
      </c>
      <c r="B131" s="20" t="inlineStr">
        <is>
          <t>분기보고서 (2022.03)</t>
        </is>
      </c>
      <c r="C131" s="20" t="inlineStr">
        <is>
          <t>에이디테크놀로지</t>
        </is>
      </c>
      <c r="D131" s="20" t="inlineStr">
        <is>
          <t>정기보고서</t>
        </is>
      </c>
      <c r="E131" s="20" t="inlineStr"/>
      <c r="F131" s="20" t="inlineStr">
        <is>
          <t>20220516001397.html</t>
        </is>
      </c>
      <c r="G131" s="20" t="inlineStr">
        <is>
          <t>20220516001397</t>
        </is>
      </c>
      <c r="H131" s="21" t="inlineStr">
        <is>
          <t>열기</t>
        </is>
      </c>
    </row>
    <row r="132">
      <c r="A132" s="20" t="inlineStr">
        <is>
          <t>2022-04-15</t>
        </is>
      </c>
      <c r="B132" s="20" t="inlineStr">
        <is>
          <t>[기재정정]주식매수선택권부여에관한신고</t>
        </is>
      </c>
      <c r="C132" s="20" t="inlineStr">
        <is>
          <t>에이디테크놀로지</t>
        </is>
      </c>
      <c r="D132" s="20" t="inlineStr">
        <is>
          <t>스톡옵션</t>
        </is>
      </c>
      <c r="E132" s="20" t="inlineStr">
        <is>
          <t>정정</t>
        </is>
      </c>
      <c r="F132" s="20" t="inlineStr">
        <is>
          <t>20220415000422.html</t>
        </is>
      </c>
      <c r="G132" s="20" t="inlineStr">
        <is>
          <t>20220415000422</t>
        </is>
      </c>
      <c r="H132" s="21" t="inlineStr">
        <is>
          <t>열기</t>
        </is>
      </c>
    </row>
    <row r="133">
      <c r="A133" s="20" t="inlineStr">
        <is>
          <t>2022-04-15</t>
        </is>
      </c>
      <c r="B133" s="20" t="inlineStr">
        <is>
          <t>[기재정정]주식매수선택권부여에관한신고</t>
        </is>
      </c>
      <c r="C133" s="20" t="inlineStr">
        <is>
          <t>에이디테크놀로지</t>
        </is>
      </c>
      <c r="D133" s="20" t="inlineStr">
        <is>
          <t>스톡옵션</t>
        </is>
      </c>
      <c r="E133" s="20" t="inlineStr">
        <is>
          <t>정정</t>
        </is>
      </c>
      <c r="F133" s="20" t="inlineStr">
        <is>
          <t>20220415000420.html</t>
        </is>
      </c>
      <c r="G133" s="20" t="inlineStr">
        <is>
          <t>20220415000420</t>
        </is>
      </c>
      <c r="H133" s="21" t="inlineStr">
        <is>
          <t>열기</t>
        </is>
      </c>
    </row>
    <row r="134">
      <c r="A134" s="20" t="inlineStr">
        <is>
          <t>2022-04-15</t>
        </is>
      </c>
      <c r="B134" s="20" t="inlineStr">
        <is>
          <t>[기재정정]주식매수선택권부여에관한신고</t>
        </is>
      </c>
      <c r="C134" s="20" t="inlineStr">
        <is>
          <t>에이디테크놀로지</t>
        </is>
      </c>
      <c r="D134" s="20" t="inlineStr">
        <is>
          <t>스톡옵션</t>
        </is>
      </c>
      <c r="E134" s="20" t="inlineStr">
        <is>
          <t>정정</t>
        </is>
      </c>
      <c r="F134" s="20" t="inlineStr">
        <is>
          <t>20220415000415.html</t>
        </is>
      </c>
      <c r="G134" s="20" t="inlineStr">
        <is>
          <t>20220415000415</t>
        </is>
      </c>
      <c r="H134" s="21" t="inlineStr">
        <is>
          <t>열기</t>
        </is>
      </c>
    </row>
    <row r="135">
      <c r="A135" s="20" t="inlineStr">
        <is>
          <t>2022-04-04</t>
        </is>
      </c>
      <c r="B135" s="20" t="inlineStr">
        <is>
          <t>주식등의대량보유상황보고서(일반)</t>
        </is>
      </c>
      <c r="C135" s="20" t="inlineStr">
        <is>
          <t>김준석</t>
        </is>
      </c>
      <c r="D135" s="20" t="inlineStr">
        <is>
          <t>5% 대량보유</t>
        </is>
      </c>
      <c r="E135" s="20" t="inlineStr"/>
      <c r="F135" s="20" t="inlineStr">
        <is>
          <t>20220404002572.html</t>
        </is>
      </c>
      <c r="G135" s="20" t="inlineStr">
        <is>
          <t>20220404002572</t>
        </is>
      </c>
      <c r="H135" s="21" t="inlineStr">
        <is>
          <t>열기</t>
        </is>
      </c>
    </row>
    <row r="136">
      <c r="A136" s="20" t="inlineStr">
        <is>
          <t>2022-03-28</t>
        </is>
      </c>
      <c r="B136" s="20" t="inlineStr">
        <is>
          <t>정기주주총회결과</t>
        </is>
      </c>
      <c r="C136" s="20" t="inlineStr">
        <is>
          <t>에이디테크놀로지</t>
        </is>
      </c>
      <c r="D136" s="20" t="inlineStr">
        <is>
          <t>경영권/주총</t>
        </is>
      </c>
      <c r="E136" s="20" t="inlineStr"/>
      <c r="F136" s="20" t="inlineStr">
        <is>
          <t>20220328900844.html</t>
        </is>
      </c>
      <c r="G136" s="20" t="inlineStr">
        <is>
          <t>20220328900844</t>
        </is>
      </c>
      <c r="H136" s="21" t="inlineStr">
        <is>
          <t>열기</t>
        </is>
      </c>
    </row>
    <row r="137">
      <c r="A137" s="20" t="inlineStr">
        <is>
          <t>2022-03-18</t>
        </is>
      </c>
      <c r="B137" s="20" t="inlineStr">
        <is>
          <t>사업보고서 (2021.12)</t>
        </is>
      </c>
      <c r="C137" s="20" t="inlineStr">
        <is>
          <t>에이디테크놀로지</t>
        </is>
      </c>
      <c r="D137" s="20" t="inlineStr">
        <is>
          <t>정기보고서</t>
        </is>
      </c>
      <c r="E137" s="20" t="inlineStr"/>
      <c r="F137" s="20" t="inlineStr">
        <is>
          <t>20220318000421.html</t>
        </is>
      </c>
      <c r="G137" s="20" t="inlineStr">
        <is>
          <t>20220318000421</t>
        </is>
      </c>
      <c r="H137" s="21" t="inlineStr">
        <is>
          <t>열기</t>
        </is>
      </c>
    </row>
    <row r="138">
      <c r="A138" s="20" t="inlineStr">
        <is>
          <t>2022-03-15</t>
        </is>
      </c>
      <c r="B138" s="20" t="inlineStr">
        <is>
          <t>감사보고서제출</t>
        </is>
      </c>
      <c r="C138" s="20" t="inlineStr">
        <is>
          <t>에이디테크놀로지</t>
        </is>
      </c>
      <c r="D138" s="20" t="inlineStr">
        <is>
          <t>감사보고서</t>
        </is>
      </c>
      <c r="E138" s="20" t="inlineStr"/>
      <c r="F138" s="20" t="inlineStr">
        <is>
          <t>20220315901857.html</t>
        </is>
      </c>
      <c r="G138" s="20" t="inlineStr">
        <is>
          <t>20220315901857</t>
        </is>
      </c>
      <c r="H138" s="21" t="inlineStr">
        <is>
          <t>열기</t>
        </is>
      </c>
    </row>
    <row r="139">
      <c r="A139" s="20" t="inlineStr">
        <is>
          <t>2022-03-04</t>
        </is>
      </c>
      <c r="B139" s="20" t="inlineStr">
        <is>
          <t>주주총회소집결의</t>
        </is>
      </c>
      <c r="C139" s="20" t="inlineStr">
        <is>
          <t>에이디테크놀로지</t>
        </is>
      </c>
      <c r="D139" s="20" t="inlineStr">
        <is>
          <t>경영권/주총</t>
        </is>
      </c>
      <c r="E139" s="20" t="inlineStr"/>
      <c r="F139" s="20" t="inlineStr">
        <is>
          <t>20220304900309.html</t>
        </is>
      </c>
      <c r="G139" s="20" t="inlineStr">
        <is>
          <t>20220304900309</t>
        </is>
      </c>
      <c r="H139" s="21" t="inlineStr">
        <is>
          <t>열기</t>
        </is>
      </c>
    </row>
    <row r="140">
      <c r="A140" s="20" t="inlineStr">
        <is>
          <t>2022-03-04</t>
        </is>
      </c>
      <c r="B140" s="20" t="inlineStr">
        <is>
          <t>의결권대리행사권유참고서류</t>
        </is>
      </c>
      <c r="C140" s="20" t="inlineStr">
        <is>
          <t>에이디테크놀로지</t>
        </is>
      </c>
      <c r="D140" s="20" t="inlineStr">
        <is>
          <t>경영권/주총</t>
        </is>
      </c>
      <c r="E140" s="20" t="inlineStr"/>
      <c r="F140" s="20" t="inlineStr">
        <is>
          <t>20220304000237.html</t>
        </is>
      </c>
      <c r="G140" s="20" t="inlineStr">
        <is>
          <t>20220304000237</t>
        </is>
      </c>
      <c r="H140" s="21" t="inlineStr">
        <is>
          <t>열기</t>
        </is>
      </c>
    </row>
    <row r="141">
      <c r="A141" s="20" t="inlineStr">
        <is>
          <t>2022-03-04</t>
        </is>
      </c>
      <c r="B141" s="20" t="inlineStr">
        <is>
          <t>주주총회소집공고</t>
        </is>
      </c>
      <c r="C141" s="20" t="inlineStr">
        <is>
          <t>에이디테크놀로지</t>
        </is>
      </c>
      <c r="D141" s="20" t="inlineStr">
        <is>
          <t>경영권/주총</t>
        </is>
      </c>
      <c r="E141" s="20" t="inlineStr"/>
      <c r="F141" s="20" t="inlineStr">
        <is>
          <t>20220304000221.html</t>
        </is>
      </c>
      <c r="G141" s="20" t="inlineStr">
        <is>
          <t>20220304000221</t>
        </is>
      </c>
      <c r="H141" s="21" t="inlineStr">
        <is>
          <t>열기</t>
        </is>
      </c>
    </row>
    <row r="142">
      <c r="A142" s="20" t="inlineStr">
        <is>
          <t>2022-03-02</t>
        </is>
      </c>
      <c r="B142" s="20" t="inlineStr">
        <is>
          <t>단일판매ㆍ공급계약체결(자율공시)</t>
        </is>
      </c>
      <c r="C142" s="20" t="inlineStr">
        <is>
          <t>에이디테크놀로지</t>
        </is>
      </c>
      <c r="D142" s="20" t="inlineStr">
        <is>
          <t>공급계약</t>
        </is>
      </c>
      <c r="E142" s="20" t="inlineStr"/>
      <c r="F142" s="20" t="inlineStr">
        <is>
          <t>20220302900643.html</t>
        </is>
      </c>
      <c r="G142" s="20" t="inlineStr">
        <is>
          <t>20220302900643</t>
        </is>
      </c>
      <c r="H142" s="21" t="inlineStr">
        <is>
          <t>열기</t>
        </is>
      </c>
    </row>
    <row r="143">
      <c r="A143" s="20" t="inlineStr">
        <is>
          <t>2022-02-04</t>
        </is>
      </c>
      <c r="B143" s="20" t="inlineStr">
        <is>
          <t>현금ㆍ현물배당결정</t>
        </is>
      </c>
      <c r="C143" s="20" t="inlineStr">
        <is>
          <t>에이디테크놀로지</t>
        </is>
      </c>
      <c r="D143" s="20" t="inlineStr">
        <is>
          <t>배당</t>
        </is>
      </c>
      <c r="E143" s="20" t="inlineStr"/>
      <c r="F143" s="20" t="inlineStr">
        <is>
          <t>20220204900435.html</t>
        </is>
      </c>
      <c r="G143" s="20" t="inlineStr">
        <is>
          <t>20220204900435</t>
        </is>
      </c>
      <c r="H143" s="21" t="inlineStr">
        <is>
          <t>열기</t>
        </is>
      </c>
    </row>
    <row r="144">
      <c r="A144" s="20" t="inlineStr">
        <is>
          <t>2022-02-04</t>
        </is>
      </c>
      <c r="B144" s="20" t="inlineStr">
        <is>
          <t>매출액또는손익구조30%(대규모법인은15%)이상변동</t>
        </is>
      </c>
      <c r="C144" s="20" t="inlineStr">
        <is>
          <t>에이디테크놀로지</t>
        </is>
      </c>
      <c r="D144" s="20" t="inlineStr">
        <is>
          <t>실적변동</t>
        </is>
      </c>
      <c r="E144" s="20" t="inlineStr"/>
      <c r="F144" s="20" t="inlineStr">
        <is>
          <t>20220204900423.html</t>
        </is>
      </c>
      <c r="G144" s="20" t="inlineStr">
        <is>
          <t>20220204900423</t>
        </is>
      </c>
      <c r="H144" s="21" t="inlineStr">
        <is>
          <t>열기</t>
        </is>
      </c>
    </row>
    <row r="145">
      <c r="A145" s="20" t="inlineStr">
        <is>
          <t>2022-01-27</t>
        </is>
      </c>
      <c r="B145" s="20" t="inlineStr">
        <is>
          <t>단일판매ㆍ공급계약체결(자율공시)</t>
        </is>
      </c>
      <c r="C145" s="20" t="inlineStr">
        <is>
          <t>에이디테크놀로지</t>
        </is>
      </c>
      <c r="D145" s="20" t="inlineStr">
        <is>
          <t>공급계약</t>
        </is>
      </c>
      <c r="E145" s="20" t="inlineStr"/>
      <c r="F145" s="20" t="inlineStr">
        <is>
          <t>20220127900197.html</t>
        </is>
      </c>
      <c r="G145" s="20" t="inlineStr">
        <is>
          <t>20220127900197</t>
        </is>
      </c>
      <c r="H145" s="21" t="inlineStr">
        <is>
          <t>열기</t>
        </is>
      </c>
    </row>
    <row r="146">
      <c r="A146" s="20" t="inlineStr">
        <is>
          <t>2022-01-27</t>
        </is>
      </c>
      <c r="B146" s="20" t="inlineStr">
        <is>
          <t>주식매수선택권부여에관한신고</t>
        </is>
      </c>
      <c r="C146" s="20" t="inlineStr">
        <is>
          <t>에이디테크놀로지</t>
        </is>
      </c>
      <c r="D146" s="20" t="inlineStr">
        <is>
          <t>스톡옵션</t>
        </is>
      </c>
      <c r="E146" s="20" t="inlineStr"/>
      <c r="F146" s="20" t="inlineStr">
        <is>
          <t>20220127000359.html</t>
        </is>
      </c>
      <c r="G146" s="20" t="inlineStr">
        <is>
          <t>20220127000359</t>
        </is>
      </c>
      <c r="H146" s="21" t="inlineStr">
        <is>
          <t>열기</t>
        </is>
      </c>
    </row>
    <row r="147">
      <c r="A147" s="20" t="inlineStr">
        <is>
          <t>2021-12-16</t>
        </is>
      </c>
      <c r="B147" s="20" t="inlineStr">
        <is>
          <t>현금ㆍ현물배당을위한주주명부폐쇄(기준일)결정</t>
        </is>
      </c>
      <c r="C147" s="20" t="inlineStr">
        <is>
          <t>에이디테크놀로지</t>
        </is>
      </c>
      <c r="D147" s="20" t="inlineStr">
        <is>
          <t>경영권/주총</t>
        </is>
      </c>
      <c r="E147" s="20" t="inlineStr"/>
      <c r="F147" s="20" t="inlineStr">
        <is>
          <t>20211216901305.html</t>
        </is>
      </c>
      <c r="G147" s="20" t="inlineStr">
        <is>
          <t>20211216901305</t>
        </is>
      </c>
      <c r="H147" s="21" t="inlineStr">
        <is>
          <t>열기</t>
        </is>
      </c>
    </row>
    <row r="148">
      <c r="A148" s="20" t="inlineStr">
        <is>
          <t>2021-12-16</t>
        </is>
      </c>
      <c r="B148" s="20" t="inlineStr">
        <is>
          <t>주주명부폐쇄기간또는기준일설정</t>
        </is>
      </c>
      <c r="C148" s="20" t="inlineStr">
        <is>
          <t>에이디테크놀로지</t>
        </is>
      </c>
      <c r="D148" s="20" t="inlineStr">
        <is>
          <t>경영권/주총</t>
        </is>
      </c>
      <c r="E148" s="20" t="inlineStr"/>
      <c r="F148" s="20" t="inlineStr">
        <is>
          <t>20211216901302.html</t>
        </is>
      </c>
      <c r="G148" s="20" t="inlineStr">
        <is>
          <t>20211216901302</t>
        </is>
      </c>
      <c r="H148" s="21" t="inlineStr">
        <is>
          <t>열기</t>
        </is>
      </c>
    </row>
    <row r="149">
      <c r="A149" s="20" t="inlineStr">
        <is>
          <t>2021-11-17</t>
        </is>
      </c>
      <c r="B149" s="20" t="inlineStr">
        <is>
          <t>단기차입금증가결정</t>
        </is>
      </c>
      <c r="C149" s="20" t="inlineStr">
        <is>
          <t>에이디테크놀로지</t>
        </is>
      </c>
      <c r="D149" s="20" t="inlineStr">
        <is>
          <t>차입</t>
        </is>
      </c>
      <c r="E149" s="20" t="inlineStr"/>
      <c r="F149" s="20" t="inlineStr">
        <is>
          <t>20211117900354.html</t>
        </is>
      </c>
      <c r="G149" s="20" t="inlineStr">
        <is>
          <t>20211117900354</t>
        </is>
      </c>
      <c r="H149" s="21" t="inlineStr">
        <is>
          <t>열기</t>
        </is>
      </c>
    </row>
    <row r="150">
      <c r="A150" s="20" t="inlineStr">
        <is>
          <t>2021-11-15</t>
        </is>
      </c>
      <c r="B150" s="20" t="inlineStr">
        <is>
          <t>분기보고서 (2021.09)</t>
        </is>
      </c>
      <c r="C150" s="20" t="inlineStr">
        <is>
          <t>에이디테크놀로지</t>
        </is>
      </c>
      <c r="D150" s="20" t="inlineStr">
        <is>
          <t>정기보고서</t>
        </is>
      </c>
      <c r="E150" s="20" t="inlineStr"/>
      <c r="F150" s="20" t="inlineStr">
        <is>
          <t>20211115000114.html</t>
        </is>
      </c>
      <c r="G150" s="20" t="inlineStr">
        <is>
          <t>20211115000114</t>
        </is>
      </c>
      <c r="H150" s="21" t="inlineStr">
        <is>
          <t>열기</t>
        </is>
      </c>
    </row>
    <row r="151">
      <c r="A151" s="20" t="inlineStr">
        <is>
          <t>2021-10-07</t>
        </is>
      </c>
      <c r="B151" s="20" t="inlineStr">
        <is>
          <t>[기재정정]단일판매ㆍ공급계약체결(자율공시)</t>
        </is>
      </c>
      <c r="C151" s="20" t="inlineStr">
        <is>
          <t>에이디테크놀로지</t>
        </is>
      </c>
      <c r="D151" s="20" t="inlineStr">
        <is>
          <t>공급계약</t>
        </is>
      </c>
      <c r="E151" s="20" t="inlineStr">
        <is>
          <t>정정</t>
        </is>
      </c>
      <c r="F151" s="20" t="inlineStr">
        <is>
          <t>20211007900593.html</t>
        </is>
      </c>
      <c r="G151" s="20" t="inlineStr">
        <is>
          <t>20211007900593</t>
        </is>
      </c>
      <c r="H151" s="21" t="inlineStr">
        <is>
          <t>열기</t>
        </is>
      </c>
    </row>
    <row r="152">
      <c r="A152" s="20" t="inlineStr">
        <is>
          <t>2021-10-07</t>
        </is>
      </c>
      <c r="B152" s="20" t="inlineStr">
        <is>
          <t>[기재정정]단일판매ㆍ공급계약체결(자율공시)</t>
        </is>
      </c>
      <c r="C152" s="20" t="inlineStr">
        <is>
          <t>에이디테크놀로지</t>
        </is>
      </c>
      <c r="D152" s="20" t="inlineStr">
        <is>
          <t>공급계약</t>
        </is>
      </c>
      <c r="E152" s="20" t="inlineStr">
        <is>
          <t>정정</t>
        </is>
      </c>
      <c r="F152" s="20" t="inlineStr">
        <is>
          <t>20211007900590.html</t>
        </is>
      </c>
      <c r="G152" s="20" t="inlineStr">
        <is>
          <t>20211007900590</t>
        </is>
      </c>
      <c r="H152" s="21" t="inlineStr">
        <is>
          <t>열기</t>
        </is>
      </c>
    </row>
    <row r="153">
      <c r="A153" s="20" t="inlineStr">
        <is>
          <t>2021-10-05</t>
        </is>
      </c>
      <c r="B153" s="20" t="inlineStr">
        <is>
          <t>주식등의대량보유상황보고서(일반)</t>
        </is>
      </c>
      <c r="C153" s="20" t="inlineStr">
        <is>
          <t>김준석</t>
        </is>
      </c>
      <c r="D153" s="20" t="inlineStr">
        <is>
          <t>5% 대량보유</t>
        </is>
      </c>
      <c r="E153" s="20" t="inlineStr"/>
      <c r="F153" s="20" t="inlineStr">
        <is>
          <t>20211005000071.html</t>
        </is>
      </c>
      <c r="G153" s="20" t="inlineStr">
        <is>
          <t>20211005000071</t>
        </is>
      </c>
      <c r="H153" s="21" t="inlineStr">
        <is>
          <t>열기</t>
        </is>
      </c>
    </row>
    <row r="154">
      <c r="A154" s="20" t="inlineStr">
        <is>
          <t>2021-08-17</t>
        </is>
      </c>
      <c r="B154" s="20" t="inlineStr">
        <is>
          <t>반기보고서 (2021.06)</t>
        </is>
      </c>
      <c r="C154" s="20" t="inlineStr">
        <is>
          <t>에이디테크놀로지</t>
        </is>
      </c>
      <c r="D154" s="20" t="inlineStr">
        <is>
          <t>정기보고서</t>
        </is>
      </c>
      <c r="E154" s="20" t="inlineStr"/>
      <c r="F154" s="20" t="inlineStr">
        <is>
          <t>20210817002183.html</t>
        </is>
      </c>
      <c r="G154" s="20" t="inlineStr">
        <is>
          <t>20210817002183</t>
        </is>
      </c>
      <c r="H154" s="21" t="inlineStr">
        <is>
          <t>열기</t>
        </is>
      </c>
    </row>
    <row r="155">
      <c r="A155" s="20" t="inlineStr">
        <is>
          <t>2021-08-13</t>
        </is>
      </c>
      <c r="B155" s="20" t="inlineStr">
        <is>
          <t>[기재정정]사업보고서 (2020.12)</t>
        </is>
      </c>
      <c r="C155" s="20" t="inlineStr">
        <is>
          <t>에이디테크놀로지</t>
        </is>
      </c>
      <c r="D155" s="20" t="inlineStr">
        <is>
          <t>정기보고서</t>
        </is>
      </c>
      <c r="E155" s="20" t="inlineStr">
        <is>
          <t>정정</t>
        </is>
      </c>
      <c r="F155" s="20" t="inlineStr">
        <is>
          <t>20210813001133.html</t>
        </is>
      </c>
      <c r="G155" s="20" t="inlineStr">
        <is>
          <t>20210813001133</t>
        </is>
      </c>
      <c r="H155" s="21" t="inlineStr">
        <is>
          <t>열기</t>
        </is>
      </c>
    </row>
    <row r="156">
      <c r="A156" s="20" t="inlineStr">
        <is>
          <t>2021-07-12</t>
        </is>
      </c>
      <c r="B156" s="20" t="inlineStr">
        <is>
          <t>[기재정정]단일판매ㆍ공급계약체결(자율공시)</t>
        </is>
      </c>
      <c r="C156" s="20" t="inlineStr">
        <is>
          <t>에이디테크놀로지</t>
        </is>
      </c>
      <c r="D156" s="20" t="inlineStr">
        <is>
          <t>공급계약</t>
        </is>
      </c>
      <c r="E156" s="20" t="inlineStr">
        <is>
          <t>정정</t>
        </is>
      </c>
      <c r="F156" s="20" t="inlineStr">
        <is>
          <t>20210712900530.html</t>
        </is>
      </c>
      <c r="G156" s="20" t="inlineStr">
        <is>
          <t>20210712900530</t>
        </is>
      </c>
      <c r="H156" s="21" t="inlineStr">
        <is>
          <t>열기</t>
        </is>
      </c>
    </row>
    <row r="157">
      <c r="A157" s="20" t="inlineStr">
        <is>
          <t>2021-07-12</t>
        </is>
      </c>
      <c r="B157" s="20" t="inlineStr">
        <is>
          <t>[기재정정]단일판매ㆍ공급계약체결(자율공시)</t>
        </is>
      </c>
      <c r="C157" s="20" t="inlineStr">
        <is>
          <t>에이디테크놀로지</t>
        </is>
      </c>
      <c r="D157" s="20" t="inlineStr">
        <is>
          <t>공급계약</t>
        </is>
      </c>
      <c r="E157" s="20" t="inlineStr">
        <is>
          <t>정정</t>
        </is>
      </c>
      <c r="F157" s="20" t="inlineStr">
        <is>
          <t>20210712900524.html</t>
        </is>
      </c>
      <c r="G157" s="20" t="inlineStr">
        <is>
          <t>20210712900524</t>
        </is>
      </c>
      <c r="H157" s="21" t="inlineStr">
        <is>
          <t>열기</t>
        </is>
      </c>
    </row>
    <row r="158">
      <c r="A158" s="20" t="inlineStr">
        <is>
          <t>2021-07-05</t>
        </is>
      </c>
      <c r="B158" s="20" t="inlineStr">
        <is>
          <t>주식등의대량보유상황보고서(일반)</t>
        </is>
      </c>
      <c r="C158" s="20" t="inlineStr">
        <is>
          <t>김준석</t>
        </is>
      </c>
      <c r="D158" s="20" t="inlineStr">
        <is>
          <t>5% 대량보유</t>
        </is>
      </c>
      <c r="E158" s="20" t="inlineStr"/>
      <c r="F158" s="20" t="inlineStr">
        <is>
          <t>20210705000086.html</t>
        </is>
      </c>
      <c r="G158" s="20" t="inlineStr">
        <is>
          <t>20210705000086</t>
        </is>
      </c>
      <c r="H158" s="21" t="inlineStr">
        <is>
          <t>열기</t>
        </is>
      </c>
    </row>
    <row r="159">
      <c r="A159" s="20" t="inlineStr">
        <is>
          <t>2021-06-01</t>
        </is>
      </c>
      <c r="B159" s="20" t="inlineStr">
        <is>
          <t>대표이사변경</t>
        </is>
      </c>
      <c r="C159" s="20" t="inlineStr">
        <is>
          <t>에이디테크놀로지</t>
        </is>
      </c>
      <c r="D159" s="20" t="inlineStr">
        <is>
          <t>기타</t>
        </is>
      </c>
      <c r="E159" s="20" t="inlineStr"/>
      <c r="F159" s="20" t="inlineStr">
        <is>
          <t>20210601900246.html</t>
        </is>
      </c>
      <c r="G159" s="20" t="inlineStr">
        <is>
          <t>20210601900246</t>
        </is>
      </c>
      <c r="H159" s="21" t="inlineStr">
        <is>
          <t>열기</t>
        </is>
      </c>
    </row>
    <row r="160">
      <c r="A160" s="20" t="inlineStr">
        <is>
          <t>2021-05-28</t>
        </is>
      </c>
      <c r="B160" s="20" t="inlineStr">
        <is>
          <t>단일판매ㆍ공급계약체결(자율공시)</t>
        </is>
      </c>
      <c r="C160" s="20" t="inlineStr">
        <is>
          <t>에이디테크놀로지</t>
        </is>
      </c>
      <c r="D160" s="20" t="inlineStr">
        <is>
          <t>공급계약</t>
        </is>
      </c>
      <c r="E160" s="20" t="inlineStr"/>
      <c r="F160" s="20" t="inlineStr">
        <is>
          <t>20210528900170.html</t>
        </is>
      </c>
      <c r="G160" s="20" t="inlineStr">
        <is>
          <t>20210528900170</t>
        </is>
      </c>
      <c r="H160" s="21" t="inlineStr">
        <is>
          <t>열기</t>
        </is>
      </c>
    </row>
    <row r="161">
      <c r="A161" s="20" t="inlineStr">
        <is>
          <t>2021-05-17</t>
        </is>
      </c>
      <c r="B161" s="20" t="inlineStr">
        <is>
          <t>분기보고서 (2021.03)</t>
        </is>
      </c>
      <c r="C161" s="20" t="inlineStr">
        <is>
          <t>에이디테크놀로지</t>
        </is>
      </c>
      <c r="D161" s="20" t="inlineStr">
        <is>
          <t>정기보고서</t>
        </is>
      </c>
      <c r="E161" s="20" t="inlineStr"/>
      <c r="F161" s="20" t="inlineStr">
        <is>
          <t>20210517001455.html</t>
        </is>
      </c>
      <c r="G161" s="20" t="inlineStr">
        <is>
          <t>20210517001455</t>
        </is>
      </c>
      <c r="H161" s="21" t="inlineStr">
        <is>
          <t>열기</t>
        </is>
      </c>
    </row>
    <row r="162">
      <c r="A162" s="20" t="inlineStr">
        <is>
          <t>2021-04-30</t>
        </is>
      </c>
      <c r="B162" s="20" t="inlineStr">
        <is>
          <t>[기재정정]단일판매ㆍ공급계약체결</t>
        </is>
      </c>
      <c r="C162" s="20" t="inlineStr">
        <is>
          <t>에이디테크놀로지</t>
        </is>
      </c>
      <c r="D162" s="20" t="inlineStr">
        <is>
          <t>공급계약</t>
        </is>
      </c>
      <c r="E162" s="20" t="inlineStr">
        <is>
          <t>정정</t>
        </is>
      </c>
      <c r="F162" s="20" t="inlineStr">
        <is>
          <t>20210430900416.html</t>
        </is>
      </c>
      <c r="G162" s="20" t="inlineStr">
        <is>
          <t>20210430900416</t>
        </is>
      </c>
      <c r="H162" s="21" t="inlineStr">
        <is>
          <t>열기</t>
        </is>
      </c>
    </row>
    <row r="163">
      <c r="A163" s="20" t="inlineStr">
        <is>
          <t>2021-04-27</t>
        </is>
      </c>
      <c r="B163" s="20" t="inlineStr">
        <is>
          <t>임원ㆍ주요주주특정증권등소유상황보고서</t>
        </is>
      </c>
      <c r="C163" s="20" t="inlineStr">
        <is>
          <t>이은주</t>
        </is>
      </c>
      <c r="D163" s="20" t="inlineStr">
        <is>
          <t>임원 소유상황/거래계획</t>
        </is>
      </c>
      <c r="E163" s="20" t="inlineStr"/>
      <c r="F163" s="20" t="inlineStr">
        <is>
          <t>20210427000095.html</t>
        </is>
      </c>
      <c r="G163" s="20" t="inlineStr">
        <is>
          <t>20210427000095</t>
        </is>
      </c>
      <c r="H163" s="21" t="inlineStr">
        <is>
          <t>열기</t>
        </is>
      </c>
    </row>
    <row r="164">
      <c r="A164" s="20" t="inlineStr">
        <is>
          <t>2021-04-21</t>
        </is>
      </c>
      <c r="B164" s="20" t="inlineStr">
        <is>
          <t>단일판매ㆍ공급계약체결(자율공시)</t>
        </is>
      </c>
      <c r="C164" s="20" t="inlineStr">
        <is>
          <t>에이디테크놀로지</t>
        </is>
      </c>
      <c r="D164" s="20" t="inlineStr">
        <is>
          <t>공급계약</t>
        </is>
      </c>
      <c r="E164" s="20" t="inlineStr"/>
      <c r="F164" s="20" t="inlineStr">
        <is>
          <t>20210421900496.html</t>
        </is>
      </c>
      <c r="G164" s="20" t="inlineStr">
        <is>
          <t>20210421900496</t>
        </is>
      </c>
      <c r="H164" s="21" t="inlineStr">
        <is>
          <t>열기</t>
        </is>
      </c>
    </row>
    <row r="165">
      <c r="A165" s="20" t="inlineStr">
        <is>
          <t>2021-04-05</t>
        </is>
      </c>
      <c r="B165" s="20" t="inlineStr">
        <is>
          <t>주식등의대량보유상황보고서(일반)</t>
        </is>
      </c>
      <c r="C165" s="20" t="inlineStr">
        <is>
          <t>김준석</t>
        </is>
      </c>
      <c r="D165" s="20" t="inlineStr">
        <is>
          <t>5% 대량보유</t>
        </is>
      </c>
      <c r="E165" s="20" t="inlineStr"/>
      <c r="F165" s="20" t="inlineStr">
        <is>
          <t>20210405002438.html</t>
        </is>
      </c>
      <c r="G165" s="20" t="inlineStr">
        <is>
          <t>20210405002438</t>
        </is>
      </c>
      <c r="H165" s="21" t="inlineStr">
        <is>
          <t>열기</t>
        </is>
      </c>
    </row>
    <row r="166">
      <c r="A166" s="20" t="inlineStr">
        <is>
          <t>2021-04-05</t>
        </is>
      </c>
      <c r="B166" s="20" t="inlineStr">
        <is>
          <t>임원ㆍ주요주주특정증권등소유상황보고서</t>
        </is>
      </c>
      <c r="C166" s="20" t="inlineStr">
        <is>
          <t>문갑주</t>
        </is>
      </c>
      <c r="D166" s="20" t="inlineStr">
        <is>
          <t>임원 소유상황/거래계획</t>
        </is>
      </c>
      <c r="E166" s="20" t="inlineStr"/>
      <c r="F166" s="20" t="inlineStr">
        <is>
          <t>20210405002319.html</t>
        </is>
      </c>
      <c r="G166" s="20" t="inlineStr">
        <is>
          <t>20210405002319</t>
        </is>
      </c>
      <c r="H166" s="21" t="inlineStr">
        <is>
          <t>열기</t>
        </is>
      </c>
    </row>
    <row r="167">
      <c r="A167" s="20" t="inlineStr">
        <is>
          <t>2021-03-29</t>
        </is>
      </c>
      <c r="B167" s="20" t="inlineStr">
        <is>
          <t>본점소재지변경</t>
        </is>
      </c>
      <c r="C167" s="20" t="inlineStr">
        <is>
          <t>에이디테크놀로지</t>
        </is>
      </c>
      <c r="D167" s="20" t="inlineStr">
        <is>
          <t>기타</t>
        </is>
      </c>
      <c r="E167" s="20" t="inlineStr"/>
      <c r="F167" s="20" t="inlineStr">
        <is>
          <t>20210329900832.html</t>
        </is>
      </c>
      <c r="G167" s="20" t="inlineStr">
        <is>
          <t>20210329900832</t>
        </is>
      </c>
      <c r="H167" s="21" t="inlineStr">
        <is>
          <t>열기</t>
        </is>
      </c>
    </row>
    <row r="168">
      <c r="A168" s="20" t="inlineStr">
        <is>
          <t>2021-03-29</t>
        </is>
      </c>
      <c r="B168" s="20" t="inlineStr">
        <is>
          <t>정기주주총회결과</t>
        </is>
      </c>
      <c r="C168" s="20" t="inlineStr">
        <is>
          <t>에이디테크놀로지</t>
        </is>
      </c>
      <c r="D168" s="20" t="inlineStr">
        <is>
          <t>경영권/주총</t>
        </is>
      </c>
      <c r="E168" s="20" t="inlineStr"/>
      <c r="F168" s="20" t="inlineStr">
        <is>
          <t>20210329900793.html</t>
        </is>
      </c>
      <c r="G168" s="20" t="inlineStr">
        <is>
          <t>20210329900793</t>
        </is>
      </c>
      <c r="H168" s="21" t="inlineStr">
        <is>
          <t>열기</t>
        </is>
      </c>
    </row>
    <row r="169">
      <c r="A169" s="20" t="inlineStr">
        <is>
          <t>2021-03-19</t>
        </is>
      </c>
      <c r="B169" s="20" t="inlineStr">
        <is>
          <t>사업보고서 (2020.12)</t>
        </is>
      </c>
      <c r="C169" s="20" t="inlineStr">
        <is>
          <t>에이디테크놀로지</t>
        </is>
      </c>
      <c r="D169" s="20" t="inlineStr">
        <is>
          <t>정기보고서</t>
        </is>
      </c>
      <c r="E169" s="20" t="inlineStr"/>
      <c r="F169" s="20" t="inlineStr">
        <is>
          <t>20210319001008.html</t>
        </is>
      </c>
      <c r="G169" s="20" t="inlineStr">
        <is>
          <t>20210319001008</t>
        </is>
      </c>
      <c r="H169" s="21" t="inlineStr">
        <is>
          <t>열기</t>
        </is>
      </c>
    </row>
    <row r="170">
      <c r="A170" s="20" t="inlineStr">
        <is>
          <t>2021-03-18</t>
        </is>
      </c>
      <c r="B170" s="20" t="inlineStr">
        <is>
          <t>감사보고서제출</t>
        </is>
      </c>
      <c r="C170" s="20" t="inlineStr">
        <is>
          <t>에이디테크놀로지</t>
        </is>
      </c>
      <c r="D170" s="20" t="inlineStr">
        <is>
          <t>감사보고서</t>
        </is>
      </c>
      <c r="E170" s="20" t="inlineStr"/>
      <c r="F170" s="20" t="inlineStr">
        <is>
          <t>20210318901037.html</t>
        </is>
      </c>
      <c r="G170" s="20" t="inlineStr">
        <is>
          <t>20210318901037</t>
        </is>
      </c>
      <c r="H170" s="21" t="inlineStr">
        <is>
          <t>열기</t>
        </is>
      </c>
    </row>
    <row r="171">
      <c r="A171" s="20" t="inlineStr">
        <is>
          <t>2021-03-12</t>
        </is>
      </c>
      <c r="B171" s="20" t="inlineStr">
        <is>
          <t>주주총회소집결의</t>
        </is>
      </c>
      <c r="C171" s="20" t="inlineStr">
        <is>
          <t>에이디테크놀로지</t>
        </is>
      </c>
      <c r="D171" s="20" t="inlineStr">
        <is>
          <t>경영권/주총</t>
        </is>
      </c>
      <c r="E171" s="20" t="inlineStr"/>
      <c r="F171" s="20" t="inlineStr">
        <is>
          <t>20210312900157.html</t>
        </is>
      </c>
      <c r="G171" s="20" t="inlineStr">
        <is>
          <t>20210312900157</t>
        </is>
      </c>
      <c r="H171" s="21" t="inlineStr">
        <is>
          <t>열기</t>
        </is>
      </c>
    </row>
    <row r="172">
      <c r="A172" s="20" t="inlineStr">
        <is>
          <t>2021-03-12</t>
        </is>
      </c>
      <c r="B172" s="20" t="inlineStr">
        <is>
          <t>의결권대리행사권유참고서류</t>
        </is>
      </c>
      <c r="C172" s="20" t="inlineStr">
        <is>
          <t>에이디테크놀로지</t>
        </is>
      </c>
      <c r="D172" s="20" t="inlineStr">
        <is>
          <t>경영권/주총</t>
        </is>
      </c>
      <c r="E172" s="20" t="inlineStr"/>
      <c r="F172" s="20" t="inlineStr">
        <is>
          <t>20210312000244.html</t>
        </is>
      </c>
      <c r="G172" s="20" t="inlineStr">
        <is>
          <t>20210312000244</t>
        </is>
      </c>
      <c r="H172" s="21" t="inlineStr">
        <is>
          <t>열기</t>
        </is>
      </c>
    </row>
    <row r="173">
      <c r="A173" s="20" t="inlineStr">
        <is>
          <t>2021-03-12</t>
        </is>
      </c>
      <c r="B173" s="20" t="inlineStr">
        <is>
          <t>주주총회소집공고</t>
        </is>
      </c>
      <c r="C173" s="20" t="inlineStr">
        <is>
          <t>에이디테크놀로지</t>
        </is>
      </c>
      <c r="D173" s="20" t="inlineStr">
        <is>
          <t>경영권/주총</t>
        </is>
      </c>
      <c r="E173" s="20" t="inlineStr"/>
      <c r="F173" s="20" t="inlineStr">
        <is>
          <t>20210312000164.html</t>
        </is>
      </c>
      <c r="G173" s="20" t="inlineStr">
        <is>
          <t>20210312000164</t>
        </is>
      </c>
      <c r="H173" s="21" t="inlineStr">
        <is>
          <t>열기</t>
        </is>
      </c>
    </row>
    <row r="174">
      <c r="A174" s="20" t="inlineStr">
        <is>
          <t>2021-02-26</t>
        </is>
      </c>
      <c r="B174" s="20" t="inlineStr">
        <is>
          <t>매출액또는손익구조30%(대규모법인은15%)이상변동</t>
        </is>
      </c>
      <c r="C174" s="20" t="inlineStr">
        <is>
          <t>에이디테크놀로지</t>
        </is>
      </c>
      <c r="D174" s="20" t="inlineStr">
        <is>
          <t>실적변동</t>
        </is>
      </c>
      <c r="E174" s="20" t="inlineStr"/>
      <c r="F174" s="20" t="inlineStr">
        <is>
          <t>20210226900632.html</t>
        </is>
      </c>
      <c r="G174" s="20" t="inlineStr">
        <is>
          <t>20210226900632</t>
        </is>
      </c>
      <c r="H174" s="21" t="inlineStr">
        <is>
          <t>열기</t>
        </is>
      </c>
    </row>
    <row r="175">
      <c r="A175" s="20" t="inlineStr">
        <is>
          <t>2021-02-26</t>
        </is>
      </c>
      <c r="B175" s="20" t="inlineStr">
        <is>
          <t>[기재정정]주식매수선택권부여에관한신고</t>
        </is>
      </c>
      <c r="C175" s="20" t="inlineStr">
        <is>
          <t>에이디테크놀로지</t>
        </is>
      </c>
      <c r="D175" s="20" t="inlineStr">
        <is>
          <t>스톡옵션</t>
        </is>
      </c>
      <c r="E175" s="20" t="inlineStr">
        <is>
          <t>정정</t>
        </is>
      </c>
      <c r="F175" s="20" t="inlineStr">
        <is>
          <t>20210226004017.html</t>
        </is>
      </c>
      <c r="G175" s="20" t="inlineStr">
        <is>
          <t>20210226004017</t>
        </is>
      </c>
      <c r="H175" s="21" t="inlineStr">
        <is>
          <t>열기</t>
        </is>
      </c>
    </row>
    <row r="176">
      <c r="A176" s="20" t="inlineStr">
        <is>
          <t>2021-02-26</t>
        </is>
      </c>
      <c r="B176" s="20" t="inlineStr">
        <is>
          <t>[기재정정]주식매수선택권부여에관한신고</t>
        </is>
      </c>
      <c r="C176" s="20" t="inlineStr">
        <is>
          <t>에이디테크놀로지</t>
        </is>
      </c>
      <c r="D176" s="20" t="inlineStr">
        <is>
          <t>스톡옵션</t>
        </is>
      </c>
      <c r="E176" s="20" t="inlineStr">
        <is>
          <t>정정</t>
        </is>
      </c>
      <c r="F176" s="20" t="inlineStr">
        <is>
          <t>20210226003985.html</t>
        </is>
      </c>
      <c r="G176" s="20" t="inlineStr">
        <is>
          <t>20210226003985</t>
        </is>
      </c>
      <c r="H176" s="21" t="inlineStr">
        <is>
          <t>열기</t>
        </is>
      </c>
    </row>
    <row r="177">
      <c r="A177" s="20" t="inlineStr">
        <is>
          <t>2021-01-28</t>
        </is>
      </c>
      <c r="B177" s="20" t="inlineStr">
        <is>
          <t>[기재정정]주식등의대량보유상황보고서(일반)</t>
        </is>
      </c>
      <c r="C177" s="20" t="inlineStr">
        <is>
          <t>김준석</t>
        </is>
      </c>
      <c r="D177" s="20" t="inlineStr">
        <is>
          <t>5% 대량보유</t>
        </is>
      </c>
      <c r="E177" s="20" t="inlineStr">
        <is>
          <t>정정</t>
        </is>
      </c>
      <c r="F177" s="20" t="inlineStr">
        <is>
          <t>20210128000465.html</t>
        </is>
      </c>
      <c r="G177" s="20" t="inlineStr">
        <is>
          <t>20210128000465</t>
        </is>
      </c>
      <c r="H177" s="21" t="inlineStr">
        <is>
          <t>열기</t>
        </is>
      </c>
    </row>
    <row r="178">
      <c r="A178" s="20" t="inlineStr">
        <is>
          <t>2021-01-19</t>
        </is>
      </c>
      <c r="B178" s="20" t="inlineStr">
        <is>
          <t>단일판매ㆍ공급계약체결</t>
        </is>
      </c>
      <c r="C178" s="20" t="inlineStr">
        <is>
          <t>에이디테크놀로지</t>
        </is>
      </c>
      <c r="D178" s="20" t="inlineStr">
        <is>
          <t>공급계약</t>
        </is>
      </c>
      <c r="E178" s="20" t="inlineStr"/>
      <c r="F178" s="20" t="inlineStr">
        <is>
          <t>20210119900132.html</t>
        </is>
      </c>
      <c r="G178" s="20" t="inlineStr">
        <is>
          <t>20210119900132</t>
        </is>
      </c>
      <c r="H178" s="21" t="inlineStr">
        <is>
          <t>열기</t>
        </is>
      </c>
    </row>
    <row r="179">
      <c r="A179" s="20" t="inlineStr">
        <is>
          <t>2021-01-08</t>
        </is>
      </c>
      <c r="B179" s="20" t="inlineStr">
        <is>
          <t>주식등의대량보유상황보고서(일반)</t>
        </is>
      </c>
      <c r="C179" s="20" t="inlineStr">
        <is>
          <t>김준석</t>
        </is>
      </c>
      <c r="D179" s="20" t="inlineStr">
        <is>
          <t>5% 대량보유</t>
        </is>
      </c>
      <c r="E179" s="20" t="inlineStr"/>
      <c r="F179" s="20" t="inlineStr">
        <is>
          <t>20210108000870.html</t>
        </is>
      </c>
      <c r="G179" s="20" t="inlineStr">
        <is>
          <t>20210108000870</t>
        </is>
      </c>
      <c r="H179" s="21" t="inlineStr">
        <is>
          <t>열기</t>
        </is>
      </c>
    </row>
    <row r="180">
      <c r="A180" s="20" t="inlineStr">
        <is>
          <t>2021-01-08</t>
        </is>
      </c>
      <c r="B180" s="20" t="inlineStr">
        <is>
          <t>임원ㆍ주요주주특정증권등소유상황보고서</t>
        </is>
      </c>
      <c r="C180" s="20" t="inlineStr">
        <is>
          <t>이강렬</t>
        </is>
      </c>
      <c r="D180" s="20" t="inlineStr">
        <is>
          <t>임원 소유상황/거래계획</t>
        </is>
      </c>
      <c r="E180" s="20" t="inlineStr"/>
      <c r="F180" s="20" t="inlineStr">
        <is>
          <t>20210108000861.html</t>
        </is>
      </c>
      <c r="G180" s="20" t="inlineStr">
        <is>
          <t>20210108000861</t>
        </is>
      </c>
      <c r="H180" s="21" t="inlineStr">
        <is>
          <t>열기</t>
        </is>
      </c>
    </row>
    <row r="181">
      <c r="A181" s="20" t="inlineStr">
        <is>
          <t>2021-01-08</t>
        </is>
      </c>
      <c r="B181" s="20" t="inlineStr">
        <is>
          <t>임원ㆍ주요주주특정증권등소유상황보고서</t>
        </is>
      </c>
      <c r="C181" s="20" t="inlineStr">
        <is>
          <t>이현석</t>
        </is>
      </c>
      <c r="D181" s="20" t="inlineStr">
        <is>
          <t>임원 소유상황/거래계획</t>
        </is>
      </c>
      <c r="E181" s="20" t="inlineStr"/>
      <c r="F181" s="20" t="inlineStr">
        <is>
          <t>20210108000844.html</t>
        </is>
      </c>
      <c r="G181" s="20" t="inlineStr">
        <is>
          <t>20210108000844</t>
        </is>
      </c>
      <c r="H181" s="21" t="inlineStr">
        <is>
          <t>열기</t>
        </is>
      </c>
    </row>
    <row r="182">
      <c r="A182" s="20" t="inlineStr">
        <is>
          <t>2021-01-08</t>
        </is>
      </c>
      <c r="B182" s="20" t="inlineStr">
        <is>
          <t>임원ㆍ주요주주특정증권등소유상황보고서</t>
        </is>
      </c>
      <c r="C182" s="20" t="inlineStr">
        <is>
          <t>강종민</t>
        </is>
      </c>
      <c r="D182" s="20" t="inlineStr">
        <is>
          <t>임원 소유상황/거래계획</t>
        </is>
      </c>
      <c r="E182" s="20" t="inlineStr"/>
      <c r="F182" s="20" t="inlineStr">
        <is>
          <t>20210108000811.html</t>
        </is>
      </c>
      <c r="G182" s="20" t="inlineStr">
        <is>
          <t>20210108000811</t>
        </is>
      </c>
      <c r="H182" s="21" t="inlineStr">
        <is>
          <t>열기</t>
        </is>
      </c>
    </row>
    <row r="183">
      <c r="A183" s="20" t="inlineStr">
        <is>
          <t>2021-01-08</t>
        </is>
      </c>
      <c r="B183" s="20" t="inlineStr">
        <is>
          <t>독립이사의선임ㆍ해임또는중도퇴임에관한신고</t>
        </is>
      </c>
      <c r="C183" s="20" t="inlineStr">
        <is>
          <t>에이디테크놀로지</t>
        </is>
      </c>
      <c r="D183" s="20" t="inlineStr">
        <is>
          <t>경영권/주총</t>
        </is>
      </c>
      <c r="E183" s="20" t="inlineStr"/>
      <c r="F183" s="20" t="inlineStr">
        <is>
          <t>20210108000748.html</t>
        </is>
      </c>
      <c r="G183" s="20" t="inlineStr">
        <is>
          <t>20210108000748</t>
        </is>
      </c>
      <c r="H183" s="21" t="inlineStr">
        <is>
          <t>열기</t>
        </is>
      </c>
    </row>
    <row r="184">
      <c r="A184" s="20" t="inlineStr">
        <is>
          <t>2020-12-29</t>
        </is>
      </c>
      <c r="B184" s="20" t="inlineStr">
        <is>
          <t>[기재정정]현금ㆍ현물배당결정</t>
        </is>
      </c>
      <c r="C184" s="20" t="inlineStr">
        <is>
          <t>에이디테크놀로지</t>
        </is>
      </c>
      <c r="D184" s="20" t="inlineStr">
        <is>
          <t>배당</t>
        </is>
      </c>
      <c r="E184" s="20" t="inlineStr">
        <is>
          <t>정정</t>
        </is>
      </c>
      <c r="F184" s="20" t="inlineStr">
        <is>
          <t>20201229900144.html</t>
        </is>
      </c>
      <c r="G184" s="20" t="inlineStr">
        <is>
          <t>20201229900144</t>
        </is>
      </c>
      <c r="H184" s="21" t="inlineStr">
        <is>
          <t>열기</t>
        </is>
      </c>
    </row>
    <row r="185">
      <c r="A185" s="20" t="inlineStr">
        <is>
          <t>2020-12-21</t>
        </is>
      </c>
      <c r="B185" s="20" t="inlineStr">
        <is>
          <t>현금ㆍ현물배당결정</t>
        </is>
      </c>
      <c r="C185" s="20" t="inlineStr">
        <is>
          <t>에이디테크놀로지</t>
        </is>
      </c>
      <c r="D185" s="20" t="inlineStr">
        <is>
          <t>배당</t>
        </is>
      </c>
      <c r="E185" s="20" t="inlineStr"/>
      <c r="F185" s="20" t="inlineStr">
        <is>
          <t>20201221900605.html</t>
        </is>
      </c>
      <c r="G185" s="20" t="inlineStr">
        <is>
          <t>20201221900605</t>
        </is>
      </c>
      <c r="H185" s="21" t="inlineStr">
        <is>
          <t>열기</t>
        </is>
      </c>
    </row>
    <row r="186">
      <c r="A186" s="20" t="inlineStr">
        <is>
          <t>2020-12-14</t>
        </is>
      </c>
      <c r="B186" s="20" t="inlineStr">
        <is>
          <t>주주명부폐쇄기간또는기준일설정</t>
        </is>
      </c>
      <c r="C186" s="20" t="inlineStr">
        <is>
          <t>에이디테크놀로지</t>
        </is>
      </c>
      <c r="D186" s="20" t="inlineStr">
        <is>
          <t>경영권/주총</t>
        </is>
      </c>
      <c r="E186" s="20" t="inlineStr"/>
      <c r="F186" s="20" t="inlineStr">
        <is>
          <t>20201214900417.html</t>
        </is>
      </c>
      <c r="G186" s="20" t="inlineStr">
        <is>
          <t>20201214900417</t>
        </is>
      </c>
      <c r="H186" s="21" t="inlineStr">
        <is>
          <t>열기</t>
        </is>
      </c>
    </row>
    <row r="187">
      <c r="A187" s="20" t="inlineStr">
        <is>
          <t>2020-11-16</t>
        </is>
      </c>
      <c r="B187" s="20" t="inlineStr">
        <is>
          <t>분기보고서 (2020.09)</t>
        </is>
      </c>
      <c r="C187" s="20" t="inlineStr">
        <is>
          <t>에이디테크놀로지</t>
        </is>
      </c>
      <c r="D187" s="20" t="inlineStr">
        <is>
          <t>정기보고서</t>
        </is>
      </c>
      <c r="E187" s="20" t="inlineStr"/>
      <c r="F187" s="20" t="inlineStr">
        <is>
          <t>20201116001194.html</t>
        </is>
      </c>
      <c r="G187" s="20" t="inlineStr">
        <is>
          <t>20201116001194</t>
        </is>
      </c>
      <c r="H187" s="21" t="inlineStr">
        <is>
          <t>열기</t>
        </is>
      </c>
    </row>
    <row r="188">
      <c r="A188" s="20" t="inlineStr">
        <is>
          <t>2020-10-23</t>
        </is>
      </c>
      <c r="B188" s="20" t="inlineStr">
        <is>
          <t>[기재정정]단일판매ㆍ공급계약체결</t>
        </is>
      </c>
      <c r="C188" s="20" t="inlineStr">
        <is>
          <t>에이디테크놀로지</t>
        </is>
      </c>
      <c r="D188" s="20" t="inlineStr">
        <is>
          <t>공급계약</t>
        </is>
      </c>
      <c r="E188" s="20" t="inlineStr">
        <is>
          <t>정정</t>
        </is>
      </c>
      <c r="F188" s="20" t="inlineStr">
        <is>
          <t>20201023900376.html</t>
        </is>
      </c>
      <c r="G188" s="20" t="inlineStr">
        <is>
          <t>20201023900376</t>
        </is>
      </c>
      <c r="H188" s="21" t="inlineStr">
        <is>
          <t>열기</t>
        </is>
      </c>
    </row>
    <row r="189">
      <c r="A189" s="20" t="inlineStr">
        <is>
          <t>2020-10-07</t>
        </is>
      </c>
      <c r="B189" s="20" t="inlineStr">
        <is>
          <t>임원ㆍ주요주주특정증권등소유상황보고서</t>
        </is>
      </c>
      <c r="C189" s="20" t="inlineStr">
        <is>
          <t>김준석</t>
        </is>
      </c>
      <c r="D189" s="20" t="inlineStr">
        <is>
          <t>임원 소유상황/거래계획</t>
        </is>
      </c>
      <c r="E189" s="20" t="inlineStr"/>
      <c r="F189" s="20" t="inlineStr">
        <is>
          <t>20201007000109.html</t>
        </is>
      </c>
      <c r="G189" s="20" t="inlineStr">
        <is>
          <t>20201007000109</t>
        </is>
      </c>
      <c r="H189" s="21" t="inlineStr">
        <is>
          <t>열기</t>
        </is>
      </c>
    </row>
    <row r="190">
      <c r="A190" s="20" t="inlineStr">
        <is>
          <t>2020-10-07</t>
        </is>
      </c>
      <c r="B190" s="20" t="inlineStr">
        <is>
          <t>주식등의대량보유상황보고서(일반)</t>
        </is>
      </c>
      <c r="C190" s="20" t="inlineStr">
        <is>
          <t>김준석</t>
        </is>
      </c>
      <c r="D190" s="20" t="inlineStr">
        <is>
          <t>5% 대량보유</t>
        </is>
      </c>
      <c r="E190" s="20" t="inlineStr"/>
      <c r="F190" s="20" t="inlineStr">
        <is>
          <t>20201007000104.html</t>
        </is>
      </c>
      <c r="G190" s="20" t="inlineStr">
        <is>
          <t>20201007000104</t>
        </is>
      </c>
      <c r="H190" s="21" t="inlineStr">
        <is>
          <t>열기</t>
        </is>
      </c>
    </row>
    <row r="191">
      <c r="A191" s="20" t="inlineStr">
        <is>
          <t>2020-09-29</t>
        </is>
      </c>
      <c r="B191" s="20" t="inlineStr">
        <is>
          <t>전환청구권행사</t>
        </is>
      </c>
      <c r="C191" s="20" t="inlineStr">
        <is>
          <t>에이디테크놀로지</t>
        </is>
      </c>
      <c r="D191" s="20" t="inlineStr">
        <is>
          <t>CB 전환청구</t>
        </is>
      </c>
      <c r="E191" s="20" t="inlineStr"/>
      <c r="F191" s="20" t="inlineStr">
        <is>
          <t>20200929900579.html</t>
        </is>
      </c>
      <c r="G191" s="20" t="inlineStr">
        <is>
          <t>20200929900579</t>
        </is>
      </c>
      <c r="H191" s="21" t="inlineStr">
        <is>
          <t>열기</t>
        </is>
      </c>
    </row>
    <row r="192">
      <c r="A192" s="20" t="inlineStr">
        <is>
          <t>2020-09-28</t>
        </is>
      </c>
      <c r="B192" s="20" t="inlineStr">
        <is>
          <t>합병등종료보고서(합병)</t>
        </is>
      </c>
      <c r="C192" s="20" t="inlineStr">
        <is>
          <t>에이디테크놀로지</t>
        </is>
      </c>
      <c r="D192" s="20" t="inlineStr">
        <is>
          <t>증권신고/합병</t>
        </is>
      </c>
      <c r="E192" s="20" t="inlineStr"/>
      <c r="F192" s="20" t="inlineStr">
        <is>
          <t>20200928000237.html</t>
        </is>
      </c>
      <c r="G192" s="20" t="inlineStr">
        <is>
          <t>20200928000237</t>
        </is>
      </c>
      <c r="H192" s="21" t="inlineStr">
        <is>
          <t>열기</t>
        </is>
      </c>
    </row>
    <row r="193">
      <c r="A193" s="20" t="inlineStr">
        <is>
          <t>2020-09-02</t>
        </is>
      </c>
      <c r="B193" s="20" t="inlineStr">
        <is>
          <t>[기재정정]전환청구권행사</t>
        </is>
      </c>
      <c r="C193" s="20" t="inlineStr">
        <is>
          <t>에이디테크놀로지</t>
        </is>
      </c>
      <c r="D193" s="20" t="inlineStr">
        <is>
          <t>CB 전환청구</t>
        </is>
      </c>
      <c r="E193" s="20" t="inlineStr">
        <is>
          <t>정정</t>
        </is>
      </c>
      <c r="F193" s="20" t="inlineStr">
        <is>
          <t>20200902900099.html</t>
        </is>
      </c>
      <c r="G193" s="20" t="inlineStr">
        <is>
          <t>20200902900099</t>
        </is>
      </c>
      <c r="H193" s="21" t="inlineStr">
        <is>
          <t>열기</t>
        </is>
      </c>
    </row>
    <row r="194">
      <c r="A194" s="20" t="inlineStr">
        <is>
          <t>2020-08-28</t>
        </is>
      </c>
      <c r="B194" s="20" t="inlineStr">
        <is>
          <t>전환청구권행사</t>
        </is>
      </c>
      <c r="C194" s="20" t="inlineStr">
        <is>
          <t>에이디테크놀로지</t>
        </is>
      </c>
      <c r="D194" s="20" t="inlineStr">
        <is>
          <t>CB 전환청구</t>
        </is>
      </c>
      <c r="E194" s="20" t="inlineStr"/>
      <c r="F194" s="20" t="inlineStr">
        <is>
          <t>20200828900265.html</t>
        </is>
      </c>
      <c r="G194" s="20" t="inlineStr">
        <is>
          <t>20200828900265</t>
        </is>
      </c>
      <c r="H194" s="21" t="inlineStr">
        <is>
          <t>열기</t>
        </is>
      </c>
    </row>
    <row r="195">
      <c r="A195" s="20" t="inlineStr">
        <is>
          <t>2020-08-26</t>
        </is>
      </c>
      <c r="B195" s="20" t="inlineStr">
        <is>
          <t>[기재정정]주요사항보고서(회사합병결정)</t>
        </is>
      </c>
      <c r="C195" s="20" t="inlineStr">
        <is>
          <t>에이디테크놀로지</t>
        </is>
      </c>
      <c r="D195" s="20" t="inlineStr">
        <is>
          <t>증권신고/합병</t>
        </is>
      </c>
      <c r="E195" s="20" t="inlineStr">
        <is>
          <t>정정</t>
        </is>
      </c>
      <c r="F195" s="20" t="inlineStr">
        <is>
          <t>20200826000296.html</t>
        </is>
      </c>
      <c r="G195" s="20" t="inlineStr">
        <is>
          <t>20200826000296</t>
        </is>
      </c>
      <c r="H195" s="21" t="inlineStr">
        <is>
          <t>열기</t>
        </is>
      </c>
    </row>
    <row r="196">
      <c r="A196" s="20" t="inlineStr">
        <is>
          <t>2020-08-14</t>
        </is>
      </c>
      <c r="B196" s="20" t="inlineStr">
        <is>
          <t>반기보고서 (2020.06)</t>
        </is>
      </c>
      <c r="C196" s="20" t="inlineStr">
        <is>
          <t>에이디테크놀로지</t>
        </is>
      </c>
      <c r="D196" s="20" t="inlineStr">
        <is>
          <t>정기보고서</t>
        </is>
      </c>
      <c r="E196" s="20" t="inlineStr"/>
      <c r="F196" s="20" t="inlineStr">
        <is>
          <t>20200814002031.html</t>
        </is>
      </c>
      <c r="G196" s="20" t="inlineStr">
        <is>
          <t>20200814002031</t>
        </is>
      </c>
      <c r="H196" s="21" t="inlineStr">
        <is>
          <t>열기</t>
        </is>
      </c>
    </row>
    <row r="197">
      <c r="A197" s="20" t="inlineStr">
        <is>
          <t>2020-08-13</t>
        </is>
      </c>
      <c r="B197" s="22" t="inlineStr">
        <is>
          <t>기타경영사항(자율공시)(소규모합병 승인 이사회 결의(주주총회 갈음) 결과 보고)</t>
        </is>
      </c>
      <c r="C197" s="20" t="inlineStr">
        <is>
          <t>에이디테크놀로지</t>
        </is>
      </c>
      <c r="D197" s="20" t="inlineStr">
        <is>
          <t>경영권/주총</t>
        </is>
      </c>
      <c r="E197" s="20" t="inlineStr"/>
      <c r="F197" s="20" t="inlineStr">
        <is>
          <t>20200813900310.html</t>
        </is>
      </c>
      <c r="G197" s="20" t="inlineStr">
        <is>
          <t>20200813900310</t>
        </is>
      </c>
      <c r="H197" s="21" t="inlineStr">
        <is>
          <t>열기</t>
        </is>
      </c>
    </row>
    <row r="198">
      <c r="A198" s="20" t="inlineStr">
        <is>
          <t>2020-07-28</t>
        </is>
      </c>
      <c r="B198" s="20" t="inlineStr">
        <is>
          <t>임원ㆍ주요주주특정증권등소유상황보고서</t>
        </is>
      </c>
      <c r="C198" s="20" t="inlineStr">
        <is>
          <t>문갑주</t>
        </is>
      </c>
      <c r="D198" s="20" t="inlineStr">
        <is>
          <t>임원 소유상황/거래계획</t>
        </is>
      </c>
      <c r="E198" s="20" t="inlineStr"/>
      <c r="F198" s="20" t="inlineStr">
        <is>
          <t>20200728000137.html</t>
        </is>
      </c>
      <c r="G198" s="20" t="inlineStr">
        <is>
          <t>20200728000137</t>
        </is>
      </c>
      <c r="H198" s="21" t="inlineStr">
        <is>
          <t>열기</t>
        </is>
      </c>
    </row>
    <row r="199">
      <c r="A199" s="20" t="inlineStr">
        <is>
          <t>2020-07-22</t>
        </is>
      </c>
      <c r="B199" s="20" t="inlineStr">
        <is>
          <t>단기차입금증가결정</t>
        </is>
      </c>
      <c r="C199" s="20" t="inlineStr">
        <is>
          <t>에이디테크놀로지</t>
        </is>
      </c>
      <c r="D199" s="20" t="inlineStr">
        <is>
          <t>차입</t>
        </is>
      </c>
      <c r="E199" s="20" t="inlineStr"/>
      <c r="F199" s="20" t="inlineStr">
        <is>
          <t>20200722900267.html</t>
        </is>
      </c>
      <c r="G199" s="20" t="inlineStr">
        <is>
          <t>20200722900267</t>
        </is>
      </c>
      <c r="H199" s="21" t="inlineStr">
        <is>
          <t>열기</t>
        </is>
      </c>
    </row>
    <row r="200">
      <c r="A200" s="20" t="inlineStr">
        <is>
          <t>2020-07-22</t>
        </is>
      </c>
      <c r="B200" s="20" t="inlineStr">
        <is>
          <t>임원ㆍ주요주주특정증권등소유상황보고서</t>
        </is>
      </c>
      <c r="C200" s="20" t="inlineStr">
        <is>
          <t>이은주</t>
        </is>
      </c>
      <c r="D200" s="20" t="inlineStr">
        <is>
          <t>임원 소유상황/거래계획</t>
        </is>
      </c>
      <c r="E200" s="20" t="inlineStr"/>
      <c r="F200" s="20" t="inlineStr">
        <is>
          <t>20200722000252.html</t>
        </is>
      </c>
      <c r="G200" s="20" t="inlineStr">
        <is>
          <t>20200722000252</t>
        </is>
      </c>
      <c r="H200" s="21" t="inlineStr">
        <is>
          <t>열기</t>
        </is>
      </c>
    </row>
    <row r="201">
      <c r="A201" s="20" t="inlineStr">
        <is>
          <t>2020-07-22</t>
        </is>
      </c>
      <c r="B201" s="20" t="inlineStr">
        <is>
          <t>임원ㆍ주요주주특정증권등소유상황보고서</t>
        </is>
      </c>
      <c r="C201" s="20" t="inlineStr">
        <is>
          <t>이강렬</t>
        </is>
      </c>
      <c r="D201" s="20" t="inlineStr">
        <is>
          <t>임원 소유상황/거래계획</t>
        </is>
      </c>
      <c r="E201" s="20" t="inlineStr"/>
      <c r="F201" s="20" t="inlineStr">
        <is>
          <t>20200722000251.html</t>
        </is>
      </c>
      <c r="G201" s="20" t="inlineStr">
        <is>
          <t>20200722000251</t>
        </is>
      </c>
      <c r="H201" s="21" t="inlineStr">
        <is>
          <t>열기</t>
        </is>
      </c>
    </row>
    <row r="202">
      <c r="A202" s="20" t="inlineStr">
        <is>
          <t>2020-07-22</t>
        </is>
      </c>
      <c r="B202" s="20" t="inlineStr">
        <is>
          <t>임원ㆍ주요주주특정증권등소유상황보고서</t>
        </is>
      </c>
      <c r="C202" s="20" t="inlineStr">
        <is>
          <t>박영선</t>
        </is>
      </c>
      <c r="D202" s="20" t="inlineStr">
        <is>
          <t>임원 소유상황/거래계획</t>
        </is>
      </c>
      <c r="E202" s="20" t="inlineStr"/>
      <c r="F202" s="20" t="inlineStr">
        <is>
          <t>20200722000243.html</t>
        </is>
      </c>
      <c r="G202" s="20" t="inlineStr">
        <is>
          <t>20200722000243</t>
        </is>
      </c>
      <c r="H202" s="21" t="inlineStr">
        <is>
          <t>열기</t>
        </is>
      </c>
    </row>
    <row r="203">
      <c r="A203" s="20" t="inlineStr">
        <is>
          <t>2020-07-22</t>
        </is>
      </c>
      <c r="B203" s="20" t="inlineStr">
        <is>
          <t>임원ㆍ주요주주특정증권등소유상황보고서</t>
        </is>
      </c>
      <c r="C203" s="20" t="inlineStr">
        <is>
          <t>김준석</t>
        </is>
      </c>
      <c r="D203" s="20" t="inlineStr">
        <is>
          <t>임원 소유상황/거래계획</t>
        </is>
      </c>
      <c r="E203" s="20" t="inlineStr"/>
      <c r="F203" s="20" t="inlineStr">
        <is>
          <t>20200722000240.html</t>
        </is>
      </c>
      <c r="G203" s="20" t="inlineStr">
        <is>
          <t>20200722000240</t>
        </is>
      </c>
      <c r="H203" s="21" t="inlineStr">
        <is>
          <t>열기</t>
        </is>
      </c>
    </row>
    <row r="204">
      <c r="A204" s="20" t="inlineStr">
        <is>
          <t>2020-07-22</t>
        </is>
      </c>
      <c r="B204" s="20" t="inlineStr">
        <is>
          <t>주식등의대량보유상황보고서(일반)</t>
        </is>
      </c>
      <c r="C204" s="20" t="inlineStr">
        <is>
          <t>김준석</t>
        </is>
      </c>
      <c r="D204" s="20" t="inlineStr">
        <is>
          <t>5% 대량보유</t>
        </is>
      </c>
      <c r="E204" s="20" t="inlineStr"/>
      <c r="F204" s="20" t="inlineStr">
        <is>
          <t>20200722000230.html</t>
        </is>
      </c>
      <c r="G204" s="20" t="inlineStr">
        <is>
          <t>20200722000230</t>
        </is>
      </c>
      <c r="H204" s="21" t="inlineStr">
        <is>
          <t>열기</t>
        </is>
      </c>
    </row>
    <row r="205">
      <c r="A205" s="20" t="inlineStr">
        <is>
          <t>2020-07-21</t>
        </is>
      </c>
      <c r="B205" s="20" t="inlineStr">
        <is>
          <t>[기재정정]주주명부폐쇄기간또는기준일설정</t>
        </is>
      </c>
      <c r="C205" s="20" t="inlineStr">
        <is>
          <t>에이디테크놀로지</t>
        </is>
      </c>
      <c r="D205" s="20" t="inlineStr">
        <is>
          <t>경영권/주총</t>
        </is>
      </c>
      <c r="E205" s="20" t="inlineStr">
        <is>
          <t>정정</t>
        </is>
      </c>
      <c r="F205" s="20" t="inlineStr">
        <is>
          <t>20200721900342.html</t>
        </is>
      </c>
      <c r="G205" s="20" t="inlineStr">
        <is>
          <t>20200721900342</t>
        </is>
      </c>
      <c r="H205" s="21" t="inlineStr">
        <is>
          <t>열기</t>
        </is>
      </c>
    </row>
    <row r="206">
      <c r="A206" s="20" t="inlineStr">
        <is>
          <t>2020-07-21</t>
        </is>
      </c>
      <c r="B206" s="20" t="inlineStr">
        <is>
          <t>[기재정정]주요사항보고서(회사합병결정)</t>
        </is>
      </c>
      <c r="C206" s="20" t="inlineStr">
        <is>
          <t>에이디테크놀로지</t>
        </is>
      </c>
      <c r="D206" s="20" t="inlineStr">
        <is>
          <t>증권신고/합병</t>
        </is>
      </c>
      <c r="E206" s="20" t="inlineStr">
        <is>
          <t>정정</t>
        </is>
      </c>
      <c r="F206" s="20" t="inlineStr">
        <is>
          <t>20200721000266.html</t>
        </is>
      </c>
      <c r="G206" s="20" t="inlineStr">
        <is>
          <t>20200721000266</t>
        </is>
      </c>
      <c r="H206" s="21" t="inlineStr">
        <is>
          <t>열기</t>
        </is>
      </c>
    </row>
    <row r="207">
      <c r="A207" s="20" t="inlineStr">
        <is>
          <t>2020-07-20</t>
        </is>
      </c>
      <c r="B207" s="20" t="inlineStr">
        <is>
          <t>[기재정정]주주명부폐쇄기간또는기준일설정</t>
        </is>
      </c>
      <c r="C207" s="20" t="inlineStr">
        <is>
          <t>에이디테크놀로지</t>
        </is>
      </c>
      <c r="D207" s="20" t="inlineStr">
        <is>
          <t>경영권/주총</t>
        </is>
      </c>
      <c r="E207" s="20" t="inlineStr">
        <is>
          <t>정정</t>
        </is>
      </c>
      <c r="F207" s="20" t="inlineStr">
        <is>
          <t>20200720900228.html</t>
        </is>
      </c>
      <c r="G207" s="20" t="inlineStr">
        <is>
          <t>20200720900228</t>
        </is>
      </c>
      <c r="H207" s="21" t="inlineStr">
        <is>
          <t>열기</t>
        </is>
      </c>
    </row>
    <row r="208">
      <c r="A208" s="20" t="inlineStr">
        <is>
          <t>2020-07-20</t>
        </is>
      </c>
      <c r="B208" s="20" t="inlineStr">
        <is>
          <t>자기주식처분결과보고서</t>
        </is>
      </c>
      <c r="C208" s="20" t="inlineStr">
        <is>
          <t>에이디테크놀로지</t>
        </is>
      </c>
      <c r="D208" s="20" t="inlineStr">
        <is>
          <t>자기주식</t>
        </is>
      </c>
      <c r="E208" s="20" t="inlineStr"/>
      <c r="F208" s="20" t="inlineStr">
        <is>
          <t>20200720000173.html</t>
        </is>
      </c>
      <c r="G208" s="20" t="inlineStr">
        <is>
          <t>20200720000173</t>
        </is>
      </c>
      <c r="H208" s="21" t="inlineStr">
        <is>
          <t>열기</t>
        </is>
      </c>
    </row>
    <row r="209">
      <c r="A209" s="20" t="inlineStr">
        <is>
          <t>2020-07-20</t>
        </is>
      </c>
      <c r="B209" s="20" t="inlineStr">
        <is>
          <t>[기재정정]주요사항보고서(회사합병결정)</t>
        </is>
      </c>
      <c r="C209" s="20" t="inlineStr">
        <is>
          <t>에이디테크놀로지</t>
        </is>
      </c>
      <c r="D209" s="20" t="inlineStr">
        <is>
          <t>증권신고/합병</t>
        </is>
      </c>
      <c r="E209" s="20" t="inlineStr">
        <is>
          <t>정정</t>
        </is>
      </c>
      <c r="F209" s="20" t="inlineStr">
        <is>
          <t>20200720000160.html</t>
        </is>
      </c>
      <c r="G209" s="20" t="inlineStr">
        <is>
          <t>20200720000160</t>
        </is>
      </c>
      <c r="H209" s="21" t="inlineStr">
        <is>
          <t>열기</t>
        </is>
      </c>
    </row>
    <row r="210">
      <c r="A210" s="20" t="inlineStr">
        <is>
          <t>2020-07-17</t>
        </is>
      </c>
      <c r="B210" s="20" t="inlineStr">
        <is>
          <t>[기재정정]단일판매ㆍ공급계약체결</t>
        </is>
      </c>
      <c r="C210" s="20" t="inlineStr">
        <is>
          <t>에이디테크놀로지</t>
        </is>
      </c>
      <c r="D210" s="20" t="inlineStr">
        <is>
          <t>공급계약</t>
        </is>
      </c>
      <c r="E210" s="20" t="inlineStr">
        <is>
          <t>정정</t>
        </is>
      </c>
      <c r="F210" s="20" t="inlineStr">
        <is>
          <t>20200717900167.html</t>
        </is>
      </c>
      <c r="G210" s="20" t="inlineStr">
        <is>
          <t>20200717900167</t>
        </is>
      </c>
      <c r="H210" s="21" t="inlineStr">
        <is>
          <t>열기</t>
        </is>
      </c>
    </row>
    <row r="211">
      <c r="A211" s="20" t="inlineStr">
        <is>
          <t>2020-07-15</t>
        </is>
      </c>
      <c r="B211" s="20" t="inlineStr">
        <is>
          <t>전환가액의조정</t>
        </is>
      </c>
      <c r="C211" s="20" t="inlineStr">
        <is>
          <t>에이디테크놀로지</t>
        </is>
      </c>
      <c r="D211" s="20" t="inlineStr">
        <is>
          <t>CB 전환가액조정</t>
        </is>
      </c>
      <c r="E211" s="20" t="inlineStr"/>
      <c r="F211" s="20" t="inlineStr">
        <is>
          <t>20200715900335.html</t>
        </is>
      </c>
      <c r="G211" s="20" t="inlineStr">
        <is>
          <t>20200715900335</t>
        </is>
      </c>
      <c r="H211" s="21" t="inlineStr">
        <is>
          <t>열기</t>
        </is>
      </c>
    </row>
    <row r="212">
      <c r="A212" s="20" t="inlineStr">
        <is>
          <t>2020-07-15</t>
        </is>
      </c>
      <c r="B212" s="20" t="inlineStr">
        <is>
          <t>주요사항보고서(자기주식처분결정)</t>
        </is>
      </c>
      <c r="C212" s="20" t="inlineStr">
        <is>
          <t>에이디테크놀로지</t>
        </is>
      </c>
      <c r="D212" s="20" t="inlineStr">
        <is>
          <t>자기주식</t>
        </is>
      </c>
      <c r="E212" s="20" t="inlineStr"/>
      <c r="F212" s="20" t="inlineStr">
        <is>
          <t>20200715000286.html</t>
        </is>
      </c>
      <c r="G212" s="20" t="inlineStr">
        <is>
          <t>20200715000286</t>
        </is>
      </c>
      <c r="H212" s="21" t="inlineStr">
        <is>
          <t>열기</t>
        </is>
      </c>
    </row>
    <row r="213">
      <c r="A213" s="20" t="inlineStr">
        <is>
          <t>2020-07-14</t>
        </is>
      </c>
      <c r="B213" s="20" t="inlineStr">
        <is>
          <t>증권발행결과(자율공시)</t>
        </is>
      </c>
      <c r="C213" s="20" t="inlineStr">
        <is>
          <t>에이디테크놀로지</t>
        </is>
      </c>
      <c r="D213" s="20" t="inlineStr">
        <is>
          <t>증권신고/합병</t>
        </is>
      </c>
      <c r="E213" s="20" t="inlineStr"/>
      <c r="F213" s="20" t="inlineStr">
        <is>
          <t>20200714900150.html</t>
        </is>
      </c>
      <c r="G213" s="20" t="inlineStr">
        <is>
          <t>20200714900150</t>
        </is>
      </c>
      <c r="H213" s="21" t="inlineStr">
        <is>
          <t>열기</t>
        </is>
      </c>
    </row>
    <row r="214">
      <c r="A214" s="20" t="inlineStr">
        <is>
          <t>2020-07-14</t>
        </is>
      </c>
      <c r="B214" s="20" t="inlineStr">
        <is>
          <t>주주명부폐쇄기간또는기준일설정</t>
        </is>
      </c>
      <c r="C214" s="20" t="inlineStr">
        <is>
          <t>에이디테크놀로지</t>
        </is>
      </c>
      <c r="D214" s="20" t="inlineStr">
        <is>
          <t>경영권/주총</t>
        </is>
      </c>
      <c r="E214" s="20" t="inlineStr"/>
      <c r="F214" s="20" t="inlineStr">
        <is>
          <t>20200714900085.html</t>
        </is>
      </c>
      <c r="G214" s="20" t="inlineStr">
        <is>
          <t>20200714900085</t>
        </is>
      </c>
      <c r="H214" s="21" t="inlineStr">
        <is>
          <t>열기</t>
        </is>
      </c>
    </row>
    <row r="215">
      <c r="A215" s="20" t="inlineStr">
        <is>
          <t>2020-07-14</t>
        </is>
      </c>
      <c r="B215" s="20" t="inlineStr">
        <is>
          <t>증권발행실적보고서</t>
        </is>
      </c>
      <c r="C215" s="20" t="inlineStr">
        <is>
          <t>에이디테크놀로지</t>
        </is>
      </c>
      <c r="D215" s="20" t="inlineStr">
        <is>
          <t>증권신고/합병</t>
        </is>
      </c>
      <c r="E215" s="20" t="inlineStr"/>
      <c r="F215" s="20" t="inlineStr">
        <is>
          <t>20200714000182.html</t>
        </is>
      </c>
      <c r="G215" s="20" t="inlineStr">
        <is>
          <t>20200714000182</t>
        </is>
      </c>
      <c r="H215" s="21" t="inlineStr">
        <is>
          <t>열기</t>
        </is>
      </c>
    </row>
    <row r="216">
      <c r="A216" s="20" t="inlineStr">
        <is>
          <t>2020-07-13</t>
        </is>
      </c>
      <c r="B216" s="20" t="inlineStr">
        <is>
          <t>[첨부추가]주요사항보고서(회사합병결정)</t>
        </is>
      </c>
      <c r="C216" s="20" t="inlineStr">
        <is>
          <t>에이디테크놀로지</t>
        </is>
      </c>
      <c r="D216" s="20" t="inlineStr">
        <is>
          <t>증권신고/합병</t>
        </is>
      </c>
      <c r="E216" s="20" t="inlineStr"/>
      <c r="F216" s="20" t="inlineStr">
        <is>
          <t>20200713000174.html</t>
        </is>
      </c>
      <c r="G216" s="20" t="inlineStr">
        <is>
          <t>20200713000174</t>
        </is>
      </c>
      <c r="H216" s="21" t="inlineStr">
        <is>
          <t>열기</t>
        </is>
      </c>
    </row>
    <row r="217">
      <c r="A217" s="20" t="inlineStr">
        <is>
          <t>2020-07-08</t>
        </is>
      </c>
      <c r="B217" s="20" t="inlineStr">
        <is>
          <t>유상증자또는주식관련사채등의청약결과(자율공시)</t>
        </is>
      </c>
      <c r="C217" s="20" t="inlineStr">
        <is>
          <t>에이디테크놀로지</t>
        </is>
      </c>
      <c r="D217" s="20" t="inlineStr">
        <is>
          <t>증자</t>
        </is>
      </c>
      <c r="E217" s="20" t="inlineStr"/>
      <c r="F217" s="20" t="inlineStr">
        <is>
          <t>20200708900081.html</t>
        </is>
      </c>
      <c r="G217" s="20" t="inlineStr">
        <is>
          <t>20200708900081</t>
        </is>
      </c>
      <c r="H217" s="21" t="inlineStr">
        <is>
          <t>열기</t>
        </is>
      </c>
    </row>
    <row r="218">
      <c r="A218" s="20" t="inlineStr">
        <is>
          <t>2020-07-08</t>
        </is>
      </c>
      <c r="B218" s="20" t="inlineStr">
        <is>
          <t>주식등의대량보유상황보고서(일반)</t>
        </is>
      </c>
      <c r="C218" s="20" t="inlineStr">
        <is>
          <t>김준석</t>
        </is>
      </c>
      <c r="D218" s="20" t="inlineStr">
        <is>
          <t>5% 대량보유</t>
        </is>
      </c>
      <c r="E218" s="20" t="inlineStr"/>
      <c r="F218" s="20" t="inlineStr">
        <is>
          <t>20200708000327.html</t>
        </is>
      </c>
      <c r="G218" s="20" t="inlineStr">
        <is>
          <t>20200708000327</t>
        </is>
      </c>
      <c r="H218" s="21" t="inlineStr">
        <is>
          <t>열기</t>
        </is>
      </c>
    </row>
    <row r="219">
      <c r="A219" s="20" t="inlineStr">
        <is>
          <t>2020-07-02</t>
        </is>
      </c>
      <c r="B219" s="20" t="inlineStr">
        <is>
          <t>유상증자최종발행가액확정</t>
        </is>
      </c>
      <c r="C219" s="20" t="inlineStr">
        <is>
          <t>에이디테크놀로지</t>
        </is>
      </c>
      <c r="D219" s="20" t="inlineStr">
        <is>
          <t>증자</t>
        </is>
      </c>
      <c r="E219" s="20" t="inlineStr"/>
      <c r="F219" s="20" t="inlineStr">
        <is>
          <t>20200702900084.html</t>
        </is>
      </c>
      <c r="G219" s="20" t="inlineStr">
        <is>
          <t>20200702900084</t>
        </is>
      </c>
      <c r="H219" s="21" t="inlineStr">
        <is>
          <t>열기</t>
        </is>
      </c>
    </row>
    <row r="220">
      <c r="A220" s="20" t="inlineStr">
        <is>
          <t>2020-07-02</t>
        </is>
      </c>
      <c r="B220" s="20" t="inlineStr">
        <is>
          <t>주요사항보고서(유형자산양수결정)</t>
        </is>
      </c>
      <c r="C220" s="20" t="inlineStr">
        <is>
          <t>에이디테크놀로지</t>
        </is>
      </c>
      <c r="D220" s="20" t="inlineStr">
        <is>
          <t>자산취득_처분</t>
        </is>
      </c>
      <c r="E220" s="20" t="inlineStr"/>
      <c r="F220" s="20" t="inlineStr">
        <is>
          <t>20200702000253.html</t>
        </is>
      </c>
      <c r="G220" s="20" t="inlineStr">
        <is>
          <t>20200702000253</t>
        </is>
      </c>
      <c r="H220" s="21" t="inlineStr">
        <is>
          <t>열기</t>
        </is>
      </c>
    </row>
    <row r="221">
      <c r="A221" s="20" t="inlineStr">
        <is>
          <t>2020-07-02</t>
        </is>
      </c>
      <c r="B221" s="20" t="inlineStr">
        <is>
          <t>[발행조건확정]증권신고서(지분증권)</t>
        </is>
      </c>
      <c r="C221" s="20" t="inlineStr">
        <is>
          <t>에이디테크놀로지</t>
        </is>
      </c>
      <c r="D221" s="20" t="inlineStr">
        <is>
          <t>증권신고/합병</t>
        </is>
      </c>
      <c r="E221" s="20" t="inlineStr"/>
      <c r="F221" s="20" t="inlineStr">
        <is>
          <t>20200702000027.html</t>
        </is>
      </c>
      <c r="G221" s="20" t="inlineStr">
        <is>
          <t>20200702000027</t>
        </is>
      </c>
      <c r="H221" s="21" t="inlineStr">
        <is>
          <t>열기</t>
        </is>
      </c>
    </row>
    <row r="222">
      <c r="A222" s="20" t="inlineStr">
        <is>
          <t>2020-07-02</t>
        </is>
      </c>
      <c r="B222" s="20" t="inlineStr">
        <is>
          <t>[기재정정]투자설명서</t>
        </is>
      </c>
      <c r="C222" s="20" t="inlineStr">
        <is>
          <t>에이디테크놀로지</t>
        </is>
      </c>
      <c r="D222" s="20" t="inlineStr">
        <is>
          <t>증권신고/합병</t>
        </is>
      </c>
      <c r="E222" s="20" t="inlineStr">
        <is>
          <t>정정</t>
        </is>
      </c>
      <c r="F222" s="20" t="inlineStr">
        <is>
          <t>20200702000025.html</t>
        </is>
      </c>
      <c r="G222" s="20" t="inlineStr">
        <is>
          <t>20200702000025</t>
        </is>
      </c>
      <c r="H222" s="21" t="inlineStr">
        <is>
          <t>열기</t>
        </is>
      </c>
    </row>
    <row r="223">
      <c r="A223" s="20" t="inlineStr">
        <is>
          <t>2020-07-02</t>
        </is>
      </c>
      <c r="B223" s="20" t="inlineStr">
        <is>
          <t>[기재정정]주요사항보고서(유상증자결정)</t>
        </is>
      </c>
      <c r="C223" s="20" t="inlineStr">
        <is>
          <t>에이디테크놀로지</t>
        </is>
      </c>
      <c r="D223" s="20" t="inlineStr">
        <is>
          <t>증자</t>
        </is>
      </c>
      <c r="E223" s="20" t="inlineStr">
        <is>
          <t>정정</t>
        </is>
      </c>
      <c r="F223" s="20" t="inlineStr">
        <is>
          <t>20200702000022.html</t>
        </is>
      </c>
      <c r="G223" s="20" t="inlineStr">
        <is>
          <t>20200702000022</t>
        </is>
      </c>
      <c r="H223" s="21" t="inlineStr">
        <is>
          <t>열기</t>
        </is>
      </c>
    </row>
    <row r="224">
      <c r="A224" s="20" t="inlineStr">
        <is>
          <t>2020-06-23</t>
        </is>
      </c>
      <c r="B224" s="20" t="inlineStr">
        <is>
          <t>임원ㆍ주요주주특정증권등소유상황보고서</t>
        </is>
      </c>
      <c r="C224" s="20" t="inlineStr">
        <is>
          <t>이은주</t>
        </is>
      </c>
      <c r="D224" s="20" t="inlineStr">
        <is>
          <t>임원 소유상황/거래계획</t>
        </is>
      </c>
      <c r="E224" s="20" t="inlineStr"/>
      <c r="F224" s="20" t="inlineStr">
        <is>
          <t>20200623000273.html</t>
        </is>
      </c>
      <c r="G224" s="20" t="inlineStr">
        <is>
          <t>20200623000273</t>
        </is>
      </c>
      <c r="H224" s="21" t="inlineStr">
        <is>
          <t>열기</t>
        </is>
      </c>
    </row>
    <row r="225">
      <c r="A225" s="20" t="inlineStr">
        <is>
          <t>2020-06-23</t>
        </is>
      </c>
      <c r="B225" s="20" t="inlineStr">
        <is>
          <t>임원ㆍ주요주주특정증권등소유상황보고서</t>
        </is>
      </c>
      <c r="C225" s="20" t="inlineStr">
        <is>
          <t>박영선</t>
        </is>
      </c>
      <c r="D225" s="20" t="inlineStr">
        <is>
          <t>임원 소유상황/거래계획</t>
        </is>
      </c>
      <c r="E225" s="20" t="inlineStr"/>
      <c r="F225" s="20" t="inlineStr">
        <is>
          <t>20200622000352.html</t>
        </is>
      </c>
      <c r="G225" s="20" t="inlineStr">
        <is>
          <t>20200622000352</t>
        </is>
      </c>
      <c r="H225" s="21" t="inlineStr">
        <is>
          <t>열기</t>
        </is>
      </c>
    </row>
    <row r="226">
      <c r="A226" s="20" t="inlineStr">
        <is>
          <t>2020-06-22</t>
        </is>
      </c>
      <c r="B226" s="20" t="inlineStr">
        <is>
          <t>임원ㆍ주요주주특정증권등소유상황보고서</t>
        </is>
      </c>
      <c r="C226" s="20" t="inlineStr">
        <is>
          <t>강종민</t>
        </is>
      </c>
      <c r="D226" s="20" t="inlineStr">
        <is>
          <t>임원 소유상황/거래계획</t>
        </is>
      </c>
      <c r="E226" s="20" t="inlineStr"/>
      <c r="F226" s="20" t="inlineStr">
        <is>
          <t>20200622000349.html</t>
        </is>
      </c>
      <c r="G226" s="20" t="inlineStr">
        <is>
          <t>20200622000349</t>
        </is>
      </c>
      <c r="H226" s="21" t="inlineStr">
        <is>
          <t>열기</t>
        </is>
      </c>
    </row>
    <row r="227">
      <c r="A227" s="20" t="inlineStr">
        <is>
          <t>2020-06-22</t>
        </is>
      </c>
      <c r="B227" s="20" t="inlineStr">
        <is>
          <t>임원ㆍ주요주주특정증권등소유상황보고서</t>
        </is>
      </c>
      <c r="C227" s="20" t="inlineStr">
        <is>
          <t>이현석</t>
        </is>
      </c>
      <c r="D227" s="20" t="inlineStr">
        <is>
          <t>임원 소유상황/거래계획</t>
        </is>
      </c>
      <c r="E227" s="20" t="inlineStr"/>
      <c r="F227" s="20" t="inlineStr">
        <is>
          <t>20200622000347.html</t>
        </is>
      </c>
      <c r="G227" s="20" t="inlineStr">
        <is>
          <t>20200622000347</t>
        </is>
      </c>
      <c r="H227" s="21" t="inlineStr">
        <is>
          <t>열기</t>
        </is>
      </c>
    </row>
    <row r="228">
      <c r="A228" s="20" t="inlineStr">
        <is>
          <t>2020-06-22</t>
        </is>
      </c>
      <c r="B228" s="20" t="inlineStr">
        <is>
          <t>임원ㆍ주요주주특정증권등소유상황보고서</t>
        </is>
      </c>
      <c r="C228" s="20" t="inlineStr">
        <is>
          <t>이강렬</t>
        </is>
      </c>
      <c r="D228" s="20" t="inlineStr">
        <is>
          <t>임원 소유상황/거래계획</t>
        </is>
      </c>
      <c r="E228" s="20" t="inlineStr"/>
      <c r="F228" s="20" t="inlineStr">
        <is>
          <t>20200622000344.html</t>
        </is>
      </c>
      <c r="G228" s="20" t="inlineStr">
        <is>
          <t>20200622000344</t>
        </is>
      </c>
      <c r="H228" s="21" t="inlineStr">
        <is>
          <t>열기</t>
        </is>
      </c>
    </row>
    <row r="229">
      <c r="A229" s="20" t="inlineStr">
        <is>
          <t>2020-06-22</t>
        </is>
      </c>
      <c r="B229" s="20" t="inlineStr">
        <is>
          <t>임원ㆍ주요주주특정증권등소유상황보고서</t>
        </is>
      </c>
      <c r="C229" s="20" t="inlineStr">
        <is>
          <t>문갑주</t>
        </is>
      </c>
      <c r="D229" s="20" t="inlineStr">
        <is>
          <t>임원 소유상황/거래계획</t>
        </is>
      </c>
      <c r="E229" s="20" t="inlineStr"/>
      <c r="F229" s="20" t="inlineStr">
        <is>
          <t>20200622000342.html</t>
        </is>
      </c>
      <c r="G229" s="20" t="inlineStr">
        <is>
          <t>20200622000342</t>
        </is>
      </c>
      <c r="H229" s="21" t="inlineStr">
        <is>
          <t>열기</t>
        </is>
      </c>
    </row>
    <row r="230">
      <c r="A230" s="20" t="inlineStr">
        <is>
          <t>2020-06-22</t>
        </is>
      </c>
      <c r="B230" s="20" t="inlineStr">
        <is>
          <t>임원ㆍ주요주주특정증권등소유상황보고서</t>
        </is>
      </c>
      <c r="C230" s="20" t="inlineStr">
        <is>
          <t>김준석</t>
        </is>
      </c>
      <c r="D230" s="20" t="inlineStr">
        <is>
          <t>임원 소유상황/거래계획</t>
        </is>
      </c>
      <c r="E230" s="20" t="inlineStr"/>
      <c r="F230" s="20" t="inlineStr">
        <is>
          <t>20200622000337.html</t>
        </is>
      </c>
      <c r="G230" s="20" t="inlineStr">
        <is>
          <t>20200622000337</t>
        </is>
      </c>
      <c r="H230" s="21" t="inlineStr">
        <is>
          <t>열기</t>
        </is>
      </c>
    </row>
    <row r="231">
      <c r="A231" s="20" t="inlineStr">
        <is>
          <t>2020-06-18</t>
        </is>
      </c>
      <c r="B231" s="20" t="inlineStr">
        <is>
          <t>신탁계약해지결과보고서</t>
        </is>
      </c>
      <c r="C231" s="20" t="inlineStr">
        <is>
          <t>에이디테크놀로지</t>
        </is>
      </c>
      <c r="D231" s="20" t="inlineStr">
        <is>
          <t>자기주식</t>
        </is>
      </c>
      <c r="E231" s="20" t="inlineStr"/>
      <c r="F231" s="20" t="inlineStr">
        <is>
          <t>20200618000281.html</t>
        </is>
      </c>
      <c r="G231" s="20" t="inlineStr">
        <is>
          <t>20200618000281</t>
        </is>
      </c>
      <c r="H231" s="21" t="inlineStr">
        <is>
          <t>열기</t>
        </is>
      </c>
    </row>
    <row r="232">
      <c r="A232" s="20" t="inlineStr">
        <is>
          <t>2020-06-16</t>
        </is>
      </c>
      <c r="B232" s="20" t="inlineStr">
        <is>
          <t>주요사항보고서(자기주식취득신탁계약해지결정)</t>
        </is>
      </c>
      <c r="C232" s="20" t="inlineStr">
        <is>
          <t>에이디테크놀로지</t>
        </is>
      </c>
      <c r="D232" s="20" t="inlineStr">
        <is>
          <t>자기주식</t>
        </is>
      </c>
      <c r="E232" s="20" t="inlineStr"/>
      <c r="F232" s="20" t="inlineStr">
        <is>
          <t>20200616000180.html</t>
        </is>
      </c>
      <c r="G232" s="20" t="inlineStr">
        <is>
          <t>20200616000180</t>
        </is>
      </c>
      <c r="H232" s="21" t="inlineStr">
        <is>
          <t>열기</t>
        </is>
      </c>
    </row>
    <row r="233">
      <c r="A233" s="20" t="inlineStr">
        <is>
          <t>2020-06-02</t>
        </is>
      </c>
      <c r="B233" s="20" t="inlineStr">
        <is>
          <t>권리락(유상증자)</t>
        </is>
      </c>
      <c r="C233" s="20" t="inlineStr">
        <is>
          <t>코스닥시장본부</t>
        </is>
      </c>
      <c r="D233" s="20" t="inlineStr">
        <is>
          <t>증자</t>
        </is>
      </c>
      <c r="E233" s="20" t="inlineStr"/>
      <c r="F233" s="20" t="inlineStr">
        <is>
          <t>20200602900358.html</t>
        </is>
      </c>
      <c r="G233" s="20" t="inlineStr">
        <is>
          <t>20200602900358</t>
        </is>
      </c>
      <c r="H233" s="21" t="inlineStr">
        <is>
          <t>열기</t>
        </is>
      </c>
    </row>
    <row r="234">
      <c r="A234" s="20" t="inlineStr">
        <is>
          <t>2020-06-02</t>
        </is>
      </c>
      <c r="B234" s="20" t="inlineStr">
        <is>
          <t>유상증자1차발행가액결정</t>
        </is>
      </c>
      <c r="C234" s="20" t="inlineStr">
        <is>
          <t>에이디테크놀로지</t>
        </is>
      </c>
      <c r="D234" s="20" t="inlineStr">
        <is>
          <t>증자</t>
        </is>
      </c>
      <c r="E234" s="20" t="inlineStr"/>
      <c r="F234" s="20" t="inlineStr">
        <is>
          <t>20200602900170.html</t>
        </is>
      </c>
      <c r="G234" s="20" t="inlineStr">
        <is>
          <t>20200602900170</t>
        </is>
      </c>
      <c r="H234" s="21" t="inlineStr">
        <is>
          <t>열기</t>
        </is>
      </c>
    </row>
    <row r="235">
      <c r="A235" s="20" t="inlineStr">
        <is>
          <t>2020-06-02</t>
        </is>
      </c>
      <c r="B235" s="20" t="inlineStr">
        <is>
          <t>[기재정정]투자설명서</t>
        </is>
      </c>
      <c r="C235" s="20" t="inlineStr">
        <is>
          <t>에이디테크놀로지</t>
        </is>
      </c>
      <c r="D235" s="20" t="inlineStr">
        <is>
          <t>증권신고/합병</t>
        </is>
      </c>
      <c r="E235" s="20" t="inlineStr">
        <is>
          <t>정정</t>
        </is>
      </c>
      <c r="F235" s="20" t="inlineStr">
        <is>
          <t>20200602000108.html</t>
        </is>
      </c>
      <c r="G235" s="20" t="inlineStr">
        <is>
          <t>20200602000108</t>
        </is>
      </c>
      <c r="H235" s="21" t="inlineStr">
        <is>
          <t>열기</t>
        </is>
      </c>
    </row>
    <row r="236">
      <c r="A236" s="20" t="inlineStr">
        <is>
          <t>2020-06-02</t>
        </is>
      </c>
      <c r="B236" s="20" t="inlineStr">
        <is>
          <t>[발행조건확정]증권신고서(지분증권)</t>
        </is>
      </c>
      <c r="C236" s="20" t="inlineStr">
        <is>
          <t>에이디테크놀로지</t>
        </is>
      </c>
      <c r="D236" s="20" t="inlineStr">
        <is>
          <t>증권신고/합병</t>
        </is>
      </c>
      <c r="E236" s="20" t="inlineStr"/>
      <c r="F236" s="20" t="inlineStr">
        <is>
          <t>20200602000107.html</t>
        </is>
      </c>
      <c r="G236" s="20" t="inlineStr">
        <is>
          <t>20200602000107</t>
        </is>
      </c>
      <c r="H236" s="21" t="inlineStr">
        <is>
          <t>열기</t>
        </is>
      </c>
    </row>
    <row r="237">
      <c r="A237" s="20" t="inlineStr">
        <is>
          <t>2020-06-02</t>
        </is>
      </c>
      <c r="B237" s="20" t="inlineStr">
        <is>
          <t>[기재정정]주요사항보고서(유상증자결정)</t>
        </is>
      </c>
      <c r="C237" s="20" t="inlineStr">
        <is>
          <t>에이디테크놀로지</t>
        </is>
      </c>
      <c r="D237" s="20" t="inlineStr">
        <is>
          <t>증자</t>
        </is>
      </c>
      <c r="E237" s="20" t="inlineStr">
        <is>
          <t>정정</t>
        </is>
      </c>
      <c r="F237" s="20" t="inlineStr">
        <is>
          <t>20200602000101.html</t>
        </is>
      </c>
      <c r="G237" s="20" t="inlineStr">
        <is>
          <t>20200602000101</t>
        </is>
      </c>
      <c r="H237" s="21" t="inlineStr">
        <is>
          <t>열기</t>
        </is>
      </c>
    </row>
    <row r="238">
      <c r="A238" s="20" t="inlineStr">
        <is>
          <t>2020-06-01</t>
        </is>
      </c>
      <c r="B238" s="20" t="inlineStr">
        <is>
          <t>[기재정정]투자설명서</t>
        </is>
      </c>
      <c r="C238" s="20" t="inlineStr">
        <is>
          <t>에이디테크놀로지</t>
        </is>
      </c>
      <c r="D238" s="20" t="inlineStr">
        <is>
          <t>증권신고/합병</t>
        </is>
      </c>
      <c r="E238" s="20" t="inlineStr">
        <is>
          <t>정정</t>
        </is>
      </c>
      <c r="F238" s="20" t="inlineStr">
        <is>
          <t>20200601000073.html</t>
        </is>
      </c>
      <c r="G238" s="20" t="inlineStr">
        <is>
          <t>20200601000073</t>
        </is>
      </c>
      <c r="H238" s="21" t="inlineStr">
        <is>
          <t>열기</t>
        </is>
      </c>
    </row>
    <row r="239">
      <c r="A239" s="20" t="inlineStr">
        <is>
          <t>2020-05-29</t>
        </is>
      </c>
      <c r="B239" s="20" t="inlineStr">
        <is>
          <t>[기재정정]증권신고서(지분증권)</t>
        </is>
      </c>
      <c r="C239" s="20" t="inlineStr">
        <is>
          <t>에이디테크놀로지</t>
        </is>
      </c>
      <c r="D239" s="20" t="inlineStr">
        <is>
          <t>증권신고/합병</t>
        </is>
      </c>
      <c r="E239" s="20" t="inlineStr">
        <is>
          <t>정정</t>
        </is>
      </c>
      <c r="F239" s="20" t="inlineStr">
        <is>
          <t>20200529001280.html</t>
        </is>
      </c>
      <c r="G239" s="20" t="inlineStr">
        <is>
          <t>20200529001280</t>
        </is>
      </c>
      <c r="H239" s="21" t="inlineStr">
        <is>
          <t>열기</t>
        </is>
      </c>
    </row>
    <row r="240">
      <c r="A240" s="20" t="inlineStr">
        <is>
          <t>2020-05-22</t>
        </is>
      </c>
      <c r="B240" s="20" t="inlineStr">
        <is>
          <t>[기재정정]단일판매ㆍ공급계약체결</t>
        </is>
      </c>
      <c r="C240" s="20" t="inlineStr">
        <is>
          <t>에이디테크놀로지</t>
        </is>
      </c>
      <c r="D240" s="20" t="inlineStr">
        <is>
          <t>공급계약</t>
        </is>
      </c>
      <c r="E240" s="20" t="inlineStr">
        <is>
          <t>정정</t>
        </is>
      </c>
      <c r="F240" s="20" t="inlineStr">
        <is>
          <t>20200522900253.html</t>
        </is>
      </c>
      <c r="G240" s="20" t="inlineStr">
        <is>
          <t>20200522900253</t>
        </is>
      </c>
      <c r="H240" s="21" t="inlineStr">
        <is>
          <t>열기</t>
        </is>
      </c>
    </row>
    <row r="241">
      <c r="A241" s="20" t="inlineStr">
        <is>
          <t>2020-05-21</t>
        </is>
      </c>
      <c r="B241" s="20" t="inlineStr">
        <is>
          <t>주주명부폐쇄기간또는기준일설정</t>
        </is>
      </c>
      <c r="C241" s="20" t="inlineStr">
        <is>
          <t>에이디테크놀로지</t>
        </is>
      </c>
      <c r="D241" s="20" t="inlineStr">
        <is>
          <t>경영권/주총</t>
        </is>
      </c>
      <c r="E241" s="20" t="inlineStr"/>
      <c r="F241" s="20" t="inlineStr">
        <is>
          <t>20200521900205.html</t>
        </is>
      </c>
      <c r="G241" s="20" t="inlineStr">
        <is>
          <t>20200521900205</t>
        </is>
      </c>
      <c r="H241" s="21" t="inlineStr">
        <is>
          <t>열기</t>
        </is>
      </c>
    </row>
    <row r="242">
      <c r="A242" s="20" t="inlineStr">
        <is>
          <t>2020-05-15</t>
        </is>
      </c>
      <c r="B242" s="20" t="inlineStr">
        <is>
          <t>[기재정정]증권신고서(지분증권)</t>
        </is>
      </c>
      <c r="C242" s="20" t="inlineStr">
        <is>
          <t>에이디테크놀로지</t>
        </is>
      </c>
      <c r="D242" s="20" t="inlineStr">
        <is>
          <t>증권신고/합병</t>
        </is>
      </c>
      <c r="E242" s="20" t="inlineStr">
        <is>
          <t>정정</t>
        </is>
      </c>
      <c r="F242" s="20" t="inlineStr">
        <is>
          <t>20200515002030.html</t>
        </is>
      </c>
      <c r="G242" s="20" t="inlineStr">
        <is>
          <t>20200515002030</t>
        </is>
      </c>
      <c r="H242" s="21" t="inlineStr">
        <is>
          <t>열기</t>
        </is>
      </c>
    </row>
    <row r="243">
      <c r="A243" s="20" t="inlineStr">
        <is>
          <t>2020-05-15</t>
        </is>
      </c>
      <c r="B243" s="20" t="inlineStr">
        <is>
          <t>분기보고서 (2020.03)</t>
        </is>
      </c>
      <c r="C243" s="20" t="inlineStr">
        <is>
          <t>에이디테크놀로지</t>
        </is>
      </c>
      <c r="D243" s="20" t="inlineStr">
        <is>
          <t>정기보고서</t>
        </is>
      </c>
      <c r="E243" s="20" t="inlineStr"/>
      <c r="F243" s="20" t="inlineStr">
        <is>
          <t>20200515000302.html</t>
        </is>
      </c>
      <c r="G243" s="20" t="inlineStr">
        <is>
          <t>20200515000302</t>
        </is>
      </c>
      <c r="H243" s="21" t="inlineStr">
        <is>
          <t>열기</t>
        </is>
      </c>
    </row>
    <row r="244">
      <c r="A244" s="20" t="inlineStr">
        <is>
          <t>2020-05-07</t>
        </is>
      </c>
      <c r="B244" s="20" t="inlineStr">
        <is>
          <t>투자설명서</t>
        </is>
      </c>
      <c r="C244" s="20" t="inlineStr">
        <is>
          <t>에이디테크놀로지</t>
        </is>
      </c>
      <c r="D244" s="20" t="inlineStr">
        <is>
          <t>증권신고/합병</t>
        </is>
      </c>
      <c r="E244" s="20" t="inlineStr"/>
      <c r="F244" s="20" t="inlineStr">
        <is>
          <t>20200507000078.html</t>
        </is>
      </c>
      <c r="G244" s="20" t="inlineStr">
        <is>
          <t>20200507000078</t>
        </is>
      </c>
      <c r="H244" s="21" t="inlineStr">
        <is>
          <t>열기</t>
        </is>
      </c>
    </row>
    <row r="245">
      <c r="A245" s="20" t="inlineStr">
        <is>
          <t>2020-05-06</t>
        </is>
      </c>
      <c r="B245" s="20" t="inlineStr">
        <is>
          <t>영업(잠정)실적(공정공시)</t>
        </is>
      </c>
      <c r="C245" s="20" t="inlineStr">
        <is>
          <t>에이디테크놀로지</t>
        </is>
      </c>
      <c r="D245" s="20" t="inlineStr">
        <is>
          <t>잠정실적</t>
        </is>
      </c>
      <c r="E245" s="20" t="inlineStr"/>
      <c r="F245" s="20" t="inlineStr">
        <is>
          <t>20200506900589.html</t>
        </is>
      </c>
      <c r="G245" s="20" t="inlineStr">
        <is>
          <t>20200506900589</t>
        </is>
      </c>
      <c r="H245" s="21" t="inlineStr">
        <is>
          <t>열기</t>
        </is>
      </c>
    </row>
    <row r="246">
      <c r="A246" s="20" t="inlineStr">
        <is>
          <t>2020-05-06</t>
        </is>
      </c>
      <c r="B246" s="20" t="inlineStr">
        <is>
          <t>[기재정정]증권신고서(지분증권)</t>
        </is>
      </c>
      <c r="C246" s="20" t="inlineStr">
        <is>
          <t>에이디테크놀로지</t>
        </is>
      </c>
      <c r="D246" s="20" t="inlineStr">
        <is>
          <t>증권신고/합병</t>
        </is>
      </c>
      <c r="E246" s="20" t="inlineStr">
        <is>
          <t>정정</t>
        </is>
      </c>
      <c r="F246" s="20" t="inlineStr">
        <is>
          <t>20200506000650.html</t>
        </is>
      </c>
      <c r="G246" s="20" t="inlineStr">
        <is>
          <t>20200506000650</t>
        </is>
      </c>
      <c r="H246" s="21" t="inlineStr">
        <is>
          <t>열기</t>
        </is>
      </c>
    </row>
    <row r="247">
      <c r="A247" s="20" t="inlineStr">
        <is>
          <t>2020-04-29</t>
        </is>
      </c>
      <c r="B247" s="20" t="inlineStr">
        <is>
          <t>소속부변경</t>
        </is>
      </c>
      <c r="C247" s="20" t="inlineStr">
        <is>
          <t>코스닥시장본부</t>
        </is>
      </c>
      <c r="D247" s="20" t="inlineStr">
        <is>
          <t>기타</t>
        </is>
      </c>
      <c r="E247" s="20" t="inlineStr"/>
      <c r="F247" s="20" t="inlineStr">
        <is>
          <t>20200429901104.html</t>
        </is>
      </c>
      <c r="G247" s="20" t="inlineStr">
        <is>
          <t>20200429901104</t>
        </is>
      </c>
      <c r="H247" s="21" t="inlineStr">
        <is>
          <t>열기</t>
        </is>
      </c>
    </row>
    <row r="248">
      <c r="A248" s="20" t="inlineStr">
        <is>
          <t>2020-04-17</t>
        </is>
      </c>
      <c r="B248" s="20" t="inlineStr">
        <is>
          <t>증권신고서(지분증권)</t>
        </is>
      </c>
      <c r="C248" s="20" t="inlineStr">
        <is>
          <t>에이디테크놀로지</t>
        </is>
      </c>
      <c r="D248" s="20" t="inlineStr">
        <is>
          <t>증권신고/합병</t>
        </is>
      </c>
      <c r="E248" s="20" t="inlineStr"/>
      <c r="F248" s="20" t="inlineStr">
        <is>
          <t>20200417000577.html</t>
        </is>
      </c>
      <c r="G248" s="20" t="inlineStr">
        <is>
          <t>20200417000577</t>
        </is>
      </c>
      <c r="H248" s="21" t="inlineStr">
        <is>
          <t>열기</t>
        </is>
      </c>
    </row>
    <row r="249">
      <c r="A249" s="20" t="inlineStr">
        <is>
          <t>2020-04-17</t>
        </is>
      </c>
      <c r="B249" s="20" t="inlineStr">
        <is>
          <t>주요사항보고서(유상증자결정)</t>
        </is>
      </c>
      <c r="C249" s="20" t="inlineStr">
        <is>
          <t>에이디테크놀로지</t>
        </is>
      </c>
      <c r="D249" s="20" t="inlineStr">
        <is>
          <t>증자</t>
        </is>
      </c>
      <c r="E249" s="20" t="inlineStr"/>
      <c r="F249" s="20" t="inlineStr">
        <is>
          <t>20200417000353.html</t>
        </is>
      </c>
      <c r="G249" s="20" t="inlineStr">
        <is>
          <t>20200417000353</t>
        </is>
      </c>
      <c r="H249" s="21" t="inlineStr">
        <is>
          <t>열기</t>
        </is>
      </c>
    </row>
    <row r="250">
      <c r="A250" s="20" t="inlineStr">
        <is>
          <t>2020-04-10</t>
        </is>
      </c>
      <c r="B250" s="20" t="inlineStr">
        <is>
          <t>주식등의대량보유상황보고서(약식)</t>
        </is>
      </c>
      <c r="C250" s="20" t="inlineStr">
        <is>
          <t>한국증권금융</t>
        </is>
      </c>
      <c r="D250" s="20" t="inlineStr">
        <is>
          <t>5% 대량보유</t>
        </is>
      </c>
      <c r="E250" s="20" t="inlineStr"/>
      <c r="F250" s="20" t="inlineStr">
        <is>
          <t>20200410002428.html</t>
        </is>
      </c>
      <c r="G250" s="20" t="inlineStr">
        <is>
          <t>20200410002428</t>
        </is>
      </c>
      <c r="H250" s="21" t="inlineStr">
        <is>
          <t>열기</t>
        </is>
      </c>
    </row>
    <row r="251">
      <c r="A251" s="20" t="inlineStr">
        <is>
          <t>2020-04-03</t>
        </is>
      </c>
      <c r="B251" s="20" t="inlineStr">
        <is>
          <t>주식등의대량보유상황보고서(일반)</t>
        </is>
      </c>
      <c r="C251" s="20" t="inlineStr">
        <is>
          <t>김준석</t>
        </is>
      </c>
      <c r="D251" s="20" t="inlineStr">
        <is>
          <t>5% 대량보유</t>
        </is>
      </c>
      <c r="E251" s="20" t="inlineStr"/>
      <c r="F251" s="20" t="inlineStr">
        <is>
          <t>20200403002139.html</t>
        </is>
      </c>
      <c r="G251" s="20" t="inlineStr">
        <is>
          <t>20200403002139</t>
        </is>
      </c>
      <c r="H251" s="21" t="inlineStr">
        <is>
          <t>열기</t>
        </is>
      </c>
    </row>
    <row r="252">
      <c r="A252" s="20" t="inlineStr">
        <is>
          <t>2020-03-30</t>
        </is>
      </c>
      <c r="B252" s="20" t="inlineStr">
        <is>
          <t>정기주주총회결과</t>
        </is>
      </c>
      <c r="C252" s="20" t="inlineStr">
        <is>
          <t>에이디테크놀로지</t>
        </is>
      </c>
      <c r="D252" s="20" t="inlineStr">
        <is>
          <t>경영권/주총</t>
        </is>
      </c>
      <c r="E252" s="20" t="inlineStr"/>
      <c r="F252" s="20" t="inlineStr">
        <is>
          <t>20200330901343.html</t>
        </is>
      </c>
      <c r="G252" s="20" t="inlineStr">
        <is>
          <t>20200330901343</t>
        </is>
      </c>
      <c r="H252" s="21" t="inlineStr">
        <is>
          <t>열기</t>
        </is>
      </c>
    </row>
    <row r="253">
      <c r="A253" s="20" t="inlineStr">
        <is>
          <t>2020-03-30</t>
        </is>
      </c>
      <c r="B253" s="20" t="inlineStr">
        <is>
          <t>사업보고서 (2019.12)</t>
        </is>
      </c>
      <c r="C253" s="20" t="inlineStr">
        <is>
          <t>에이디테크놀로지</t>
        </is>
      </c>
      <c r="D253" s="20" t="inlineStr">
        <is>
          <t>정기보고서</t>
        </is>
      </c>
      <c r="E253" s="20" t="inlineStr"/>
      <c r="F253" s="20" t="inlineStr">
        <is>
          <t>20200330002940.html</t>
        </is>
      </c>
      <c r="G253" s="20" t="inlineStr">
        <is>
          <t>20200330002940</t>
        </is>
      </c>
      <c r="H253" s="21" t="inlineStr">
        <is>
          <t>열기</t>
        </is>
      </c>
    </row>
    <row r="254">
      <c r="A254" s="20" t="inlineStr">
        <is>
          <t>2020-03-13</t>
        </is>
      </c>
      <c r="B254" s="20" t="inlineStr">
        <is>
          <t>감사보고서제출</t>
        </is>
      </c>
      <c r="C254" s="20" t="inlineStr">
        <is>
          <t>에이디테크놀로지</t>
        </is>
      </c>
      <c r="D254" s="20" t="inlineStr">
        <is>
          <t>감사보고서</t>
        </is>
      </c>
      <c r="E254" s="20" t="inlineStr"/>
      <c r="F254" s="20" t="inlineStr">
        <is>
          <t>20200313900690.html</t>
        </is>
      </c>
      <c r="G254" s="20" t="inlineStr">
        <is>
          <t>20200313900690</t>
        </is>
      </c>
      <c r="H254" s="21" t="inlineStr">
        <is>
          <t>열기</t>
        </is>
      </c>
    </row>
    <row r="255">
      <c r="A255" s="20" t="inlineStr">
        <is>
          <t>2020-03-13</t>
        </is>
      </c>
      <c r="B255" s="20" t="inlineStr">
        <is>
          <t>의결권대리행사권유참고서류</t>
        </is>
      </c>
      <c r="C255" s="20" t="inlineStr">
        <is>
          <t>에이디테크놀로지</t>
        </is>
      </c>
      <c r="D255" s="20" t="inlineStr">
        <is>
          <t>경영권/주총</t>
        </is>
      </c>
      <c r="E255" s="20" t="inlineStr"/>
      <c r="F255" s="20" t="inlineStr">
        <is>
          <t>20200313000288.html</t>
        </is>
      </c>
      <c r="G255" s="20" t="inlineStr">
        <is>
          <t>20200313000288</t>
        </is>
      </c>
      <c r="H255" s="21" t="inlineStr">
        <is>
          <t>열기</t>
        </is>
      </c>
    </row>
    <row r="256">
      <c r="A256" s="20" t="inlineStr">
        <is>
          <t>2020-03-12</t>
        </is>
      </c>
      <c r="B256" s="20" t="inlineStr">
        <is>
          <t>주주총회집중일개최사유신고</t>
        </is>
      </c>
      <c r="C256" s="20" t="inlineStr">
        <is>
          <t>에이디테크놀로지</t>
        </is>
      </c>
      <c r="D256" s="20" t="inlineStr">
        <is>
          <t>경영권/주총</t>
        </is>
      </c>
      <c r="E256" s="20" t="inlineStr"/>
      <c r="F256" s="20" t="inlineStr">
        <is>
          <t>20200312901193.html</t>
        </is>
      </c>
      <c r="G256" s="20" t="inlineStr">
        <is>
          <t>20200312901193</t>
        </is>
      </c>
      <c r="H256" s="21" t="inlineStr">
        <is>
          <t>열기</t>
        </is>
      </c>
    </row>
    <row r="257">
      <c r="A257" s="20" t="inlineStr">
        <is>
          <t>2020-03-12</t>
        </is>
      </c>
      <c r="B257" s="20" t="inlineStr">
        <is>
          <t>주주총회소집결의</t>
        </is>
      </c>
      <c r="C257" s="20" t="inlineStr">
        <is>
          <t>에이디테크놀로지</t>
        </is>
      </c>
      <c r="D257" s="20" t="inlineStr">
        <is>
          <t>경영권/주총</t>
        </is>
      </c>
      <c r="E257" s="20" t="inlineStr"/>
      <c r="F257" s="20" t="inlineStr">
        <is>
          <t>20200312901114.html</t>
        </is>
      </c>
      <c r="G257" s="20" t="inlineStr">
        <is>
          <t>20200312901114</t>
        </is>
      </c>
      <c r="H257" s="21" t="inlineStr">
        <is>
          <t>열기</t>
        </is>
      </c>
    </row>
    <row r="258">
      <c r="A258" s="20" t="inlineStr">
        <is>
          <t>2020-03-12</t>
        </is>
      </c>
      <c r="B258" s="20" t="inlineStr">
        <is>
          <t>주주총회소집공고</t>
        </is>
      </c>
      <c r="C258" s="20" t="inlineStr">
        <is>
          <t>에이디테크놀로지</t>
        </is>
      </c>
      <c r="D258" s="20" t="inlineStr">
        <is>
          <t>경영권/주총</t>
        </is>
      </c>
      <c r="E258" s="20" t="inlineStr"/>
      <c r="F258" s="20" t="inlineStr">
        <is>
          <t>20200312000656.html</t>
        </is>
      </c>
      <c r="G258" s="20" t="inlineStr">
        <is>
          <t>20200312000656</t>
        </is>
      </c>
      <c r="H258" s="21" t="inlineStr">
        <is>
          <t>열기</t>
        </is>
      </c>
    </row>
    <row r="259">
      <c r="A259" s="20" t="inlineStr">
        <is>
          <t>2020-03-12</t>
        </is>
      </c>
      <c r="B259" s="20" t="inlineStr">
        <is>
          <t>신탁계약에의한취득상황보고서</t>
        </is>
      </c>
      <c r="C259" s="20" t="inlineStr">
        <is>
          <t>에이디테크놀로지</t>
        </is>
      </c>
      <c r="D259" s="20" t="inlineStr">
        <is>
          <t>자기주식</t>
        </is>
      </c>
      <c r="E259" s="20" t="inlineStr"/>
      <c r="F259" s="20" t="inlineStr">
        <is>
          <t>20200312000221.html</t>
        </is>
      </c>
      <c r="G259" s="20" t="inlineStr">
        <is>
          <t>20200312000221</t>
        </is>
      </c>
      <c r="H259" s="21" t="inlineStr">
        <is>
          <t>열기</t>
        </is>
      </c>
    </row>
    <row r="260">
      <c r="A260" s="20" t="inlineStr">
        <is>
          <t>2020-03-11</t>
        </is>
      </c>
      <c r="B260" s="20" t="inlineStr">
        <is>
          <t>주식매수선택권부여에관한신고</t>
        </is>
      </c>
      <c r="C260" s="20" t="inlineStr">
        <is>
          <t>에이디테크놀로지</t>
        </is>
      </c>
      <c r="D260" s="20" t="inlineStr">
        <is>
          <t>스톡옵션</t>
        </is>
      </c>
      <c r="E260" s="20" t="inlineStr"/>
      <c r="F260" s="20" t="inlineStr">
        <is>
          <t>20200311000831.html</t>
        </is>
      </c>
      <c r="G260" s="20" t="inlineStr">
        <is>
          <t>20200311000831</t>
        </is>
      </c>
      <c r="H260" s="21" t="inlineStr">
        <is>
          <t>열기</t>
        </is>
      </c>
    </row>
    <row r="261">
      <c r="A261" s="20" t="inlineStr">
        <is>
          <t>2020-02-28</t>
        </is>
      </c>
      <c r="B261" s="20" t="inlineStr">
        <is>
          <t>[기재정정]주식매수선택권부여에관한신고</t>
        </is>
      </c>
      <c r="C261" s="20" t="inlineStr">
        <is>
          <t>에이디테크놀로지</t>
        </is>
      </c>
      <c r="D261" s="20" t="inlineStr">
        <is>
          <t>스톡옵션</t>
        </is>
      </c>
      <c r="E261" s="20" t="inlineStr">
        <is>
          <t>정정</t>
        </is>
      </c>
      <c r="F261" s="20" t="inlineStr">
        <is>
          <t>원문 없음(DART 미제공)</t>
        </is>
      </c>
      <c r="G261" s="20" t="inlineStr">
        <is>
          <t>20200228004775</t>
        </is>
      </c>
      <c r="H261" s="21" t="inlineStr">
        <is>
          <t>열기</t>
        </is>
      </c>
    </row>
    <row r="262">
      <c r="A262" s="20" t="inlineStr">
        <is>
          <t>2020-02-21</t>
        </is>
      </c>
      <c r="B262" s="20" t="inlineStr">
        <is>
          <t>[기재정정]단일판매ㆍ공급계약체결</t>
        </is>
      </c>
      <c r="C262" s="20" t="inlineStr">
        <is>
          <t>에이디테크놀로지</t>
        </is>
      </c>
      <c r="D262" s="20" t="inlineStr">
        <is>
          <t>공급계약</t>
        </is>
      </c>
      <c r="E262" s="20" t="inlineStr">
        <is>
          <t>정정</t>
        </is>
      </c>
      <c r="F262" s="20" t="inlineStr">
        <is>
          <t>원문 없음(DART 미제공)</t>
        </is>
      </c>
      <c r="G262" s="20" t="inlineStr">
        <is>
          <t>20200221900570</t>
        </is>
      </c>
      <c r="H262" s="21" t="inlineStr">
        <is>
          <t>열기</t>
        </is>
      </c>
    </row>
    <row r="263">
      <c r="A263" s="20" t="inlineStr">
        <is>
          <t>2020-02-05</t>
        </is>
      </c>
      <c r="B263" s="20" t="inlineStr">
        <is>
          <t>단일판매ㆍ공급계약체결</t>
        </is>
      </c>
      <c r="C263" s="20" t="inlineStr">
        <is>
          <t>에이디테크놀로지</t>
        </is>
      </c>
      <c r="D263" s="20" t="inlineStr">
        <is>
          <t>공급계약</t>
        </is>
      </c>
      <c r="E263" s="20" t="inlineStr"/>
      <c r="F263" s="20" t="inlineStr">
        <is>
          <t>20200205900496.html</t>
        </is>
      </c>
      <c r="G263" s="20" t="inlineStr">
        <is>
          <t>20200205900496</t>
        </is>
      </c>
      <c r="H263" s="21" t="inlineStr">
        <is>
          <t>열기</t>
        </is>
      </c>
    </row>
    <row r="264">
      <c r="A264" s="20" t="inlineStr">
        <is>
          <t>2020-01-31</t>
        </is>
      </c>
      <c r="B264" s="20" t="inlineStr">
        <is>
          <t>매출액또는손익구조30%(대규모법인은15%)이상변동</t>
        </is>
      </c>
      <c r="C264" s="20" t="inlineStr">
        <is>
          <t>에이디테크놀로지</t>
        </is>
      </c>
      <c r="D264" s="20" t="inlineStr">
        <is>
          <t>실적변동</t>
        </is>
      </c>
      <c r="E264" s="20" t="inlineStr"/>
      <c r="F264" s="20" t="inlineStr">
        <is>
          <t>20200131900514.html</t>
        </is>
      </c>
      <c r="G264" s="20" t="inlineStr">
        <is>
          <t>20200131900514</t>
        </is>
      </c>
      <c r="H264" s="21" t="inlineStr">
        <is>
          <t>열기</t>
        </is>
      </c>
    </row>
    <row r="265">
      <c r="A265" s="20" t="inlineStr">
        <is>
          <t>2020-01-22</t>
        </is>
      </c>
      <c r="B265" s="20" t="inlineStr">
        <is>
          <t>[기재정정]단일판매ㆍ공급계약체결</t>
        </is>
      </c>
      <c r="C265" s="20" t="inlineStr">
        <is>
          <t>에이디테크놀로지</t>
        </is>
      </c>
      <c r="D265" s="20" t="inlineStr">
        <is>
          <t>공급계약</t>
        </is>
      </c>
      <c r="E265" s="20" t="inlineStr">
        <is>
          <t>정정</t>
        </is>
      </c>
      <c r="F265" s="20" t="inlineStr">
        <is>
          <t>원문 없음(DART 미제공)</t>
        </is>
      </c>
      <c r="G265" s="20" t="inlineStr">
        <is>
          <t>20200122900411</t>
        </is>
      </c>
      <c r="H265" s="21" t="inlineStr">
        <is>
          <t>열기</t>
        </is>
      </c>
    </row>
    <row r="266">
      <c r="A266" s="20" t="inlineStr">
        <is>
          <t>2020-01-10</t>
        </is>
      </c>
      <c r="B266" s="20" t="inlineStr">
        <is>
          <t>주식등의대량보유상황보고서(약식)</t>
        </is>
      </c>
      <c r="C266" s="20" t="inlineStr">
        <is>
          <t>한국증권금융</t>
        </is>
      </c>
      <c r="D266" s="20" t="inlineStr">
        <is>
          <t>5% 대량보유</t>
        </is>
      </c>
      <c r="E266" s="20" t="inlineStr"/>
      <c r="F266" s="20" t="inlineStr">
        <is>
          <t>20200110000660.html</t>
        </is>
      </c>
      <c r="G266" s="20" t="inlineStr">
        <is>
          <t>20200110000660</t>
        </is>
      </c>
      <c r="H266" s="21" t="inlineStr">
        <is>
          <t>열기</t>
        </is>
      </c>
    </row>
    <row r="267">
      <c r="A267" s="20" t="inlineStr">
        <is>
          <t>2020-01-03</t>
        </is>
      </c>
      <c r="B267" s="20" t="inlineStr">
        <is>
          <t>[기재정정]단일판매ㆍ공급계약체결</t>
        </is>
      </c>
      <c r="C267" s="20" t="inlineStr">
        <is>
          <t>에이디테크놀로지</t>
        </is>
      </c>
      <c r="D267" s="20" t="inlineStr">
        <is>
          <t>공급계약</t>
        </is>
      </c>
      <c r="E267" s="20" t="inlineStr">
        <is>
          <t>정정</t>
        </is>
      </c>
      <c r="F267" s="20" t="inlineStr">
        <is>
          <t>원문 없음(DART 미제공)</t>
        </is>
      </c>
      <c r="G267" s="20" t="inlineStr">
        <is>
          <t>20200103900430</t>
        </is>
      </c>
      <c r="H267" s="21" t="inlineStr">
        <is>
          <t>열기</t>
        </is>
      </c>
    </row>
    <row r="268">
      <c r="A268" s="20" t="inlineStr">
        <is>
          <t>2019-12-31</t>
        </is>
      </c>
      <c r="B268" s="20" t="inlineStr">
        <is>
          <t>임원ㆍ주요주주특정증권등소유상황보고서</t>
        </is>
      </c>
      <c r="C268" s="20" t="inlineStr">
        <is>
          <t>강종민</t>
        </is>
      </c>
      <c r="D268" s="20" t="inlineStr">
        <is>
          <t>임원 소유상황/거래계획</t>
        </is>
      </c>
      <c r="E268" s="20" t="inlineStr"/>
      <c r="F268" s="20" t="inlineStr">
        <is>
          <t>20191231000135.html</t>
        </is>
      </c>
      <c r="G268" s="20" t="inlineStr">
        <is>
          <t>20191231000135</t>
        </is>
      </c>
      <c r="H268" s="21" t="inlineStr">
        <is>
          <t>열기</t>
        </is>
      </c>
    </row>
    <row r="269">
      <c r="A269" s="20" t="inlineStr">
        <is>
          <t>2019-12-20</t>
        </is>
      </c>
      <c r="B269" s="20" t="inlineStr">
        <is>
          <t>[기재정정]단일판매ㆍ공급계약체결</t>
        </is>
      </c>
      <c r="C269" s="20" t="inlineStr">
        <is>
          <t>에이디테크놀로지</t>
        </is>
      </c>
      <c r="D269" s="20" t="inlineStr">
        <is>
          <t>공급계약</t>
        </is>
      </c>
      <c r="E269" s="20" t="inlineStr">
        <is>
          <t>정정</t>
        </is>
      </c>
      <c r="F269" s="20" t="inlineStr">
        <is>
          <t>원문 없음(DART 미제공)</t>
        </is>
      </c>
      <c r="G269" s="20" t="inlineStr">
        <is>
          <t>20191220900845</t>
        </is>
      </c>
      <c r="H269" s="21" t="inlineStr">
        <is>
          <t>열기</t>
        </is>
      </c>
    </row>
    <row r="270">
      <c r="A270" s="20" t="inlineStr">
        <is>
          <t>2019-12-17</t>
        </is>
      </c>
      <c r="B270" s="22" t="inlineStr">
        <is>
          <t>투자판단관련주요경영사항(TSMC VCA(Value Chain Aggregator) 계약 해지)</t>
        </is>
      </c>
      <c r="C270" s="20" t="inlineStr">
        <is>
          <t>에이디테크놀로지</t>
        </is>
      </c>
      <c r="D270" s="20" t="inlineStr">
        <is>
          <t>국책과제/자율공시</t>
        </is>
      </c>
      <c r="E270" s="20" t="inlineStr"/>
      <c r="F270" s="20" t="inlineStr">
        <is>
          <t>20191217900460.html</t>
        </is>
      </c>
      <c r="G270" s="20" t="inlineStr">
        <is>
          <t>20191217900460</t>
        </is>
      </c>
      <c r="H270" s="21" t="inlineStr">
        <is>
          <t>열기</t>
        </is>
      </c>
    </row>
    <row r="271">
      <c r="A271" s="20" t="inlineStr">
        <is>
          <t>2019-12-16</t>
        </is>
      </c>
      <c r="B271" s="20" t="inlineStr">
        <is>
          <t>주주명부폐쇄기간또는기준일설정</t>
        </is>
      </c>
      <c r="C271" s="20" t="inlineStr">
        <is>
          <t>에이디테크놀로지</t>
        </is>
      </c>
      <c r="D271" s="20" t="inlineStr">
        <is>
          <t>경영권/주총</t>
        </is>
      </c>
      <c r="E271" s="20" t="inlineStr"/>
      <c r="F271" s="20" t="inlineStr">
        <is>
          <t>20191216900807.html</t>
        </is>
      </c>
      <c r="G271" s="20" t="inlineStr">
        <is>
          <t>20191216900807</t>
        </is>
      </c>
      <c r="H271" s="21" t="inlineStr">
        <is>
          <t>열기</t>
        </is>
      </c>
    </row>
    <row r="272">
      <c r="A272" s="20" t="inlineStr">
        <is>
          <t>2019-12-13</t>
        </is>
      </c>
      <c r="B272" s="20" t="inlineStr">
        <is>
          <t>주요사항보고서(자기주식취득신탁계약체결결정)</t>
        </is>
      </c>
      <c r="C272" s="20" t="inlineStr">
        <is>
          <t>에이디테크놀로지</t>
        </is>
      </c>
      <c r="D272" s="20" t="inlineStr">
        <is>
          <t>자기주식</t>
        </is>
      </c>
      <c r="E272" s="20" t="inlineStr"/>
      <c r="F272" s="20" t="inlineStr">
        <is>
          <t>20191213000342.html</t>
        </is>
      </c>
      <c r="G272" s="20" t="inlineStr">
        <is>
          <t>20191213000342</t>
        </is>
      </c>
      <c r="H272" s="21" t="inlineStr">
        <is>
          <t>열기</t>
        </is>
      </c>
    </row>
    <row r="273">
      <c r="A273" s="20" t="inlineStr">
        <is>
          <t>2019-11-22</t>
        </is>
      </c>
      <c r="B273" s="20" t="inlineStr">
        <is>
          <t>기업설명회(IR)개최</t>
        </is>
      </c>
      <c r="C273" s="20" t="inlineStr">
        <is>
          <t>에이디테크놀로지</t>
        </is>
      </c>
      <c r="D273" s="20" t="inlineStr">
        <is>
          <t>IR</t>
        </is>
      </c>
      <c r="E273" s="20" t="inlineStr"/>
      <c r="F273" s="20" t="inlineStr">
        <is>
          <t>20191122900344.html</t>
        </is>
      </c>
      <c r="G273" s="20" t="inlineStr">
        <is>
          <t>20191122900344</t>
        </is>
      </c>
      <c r="H273" s="21" t="inlineStr">
        <is>
          <t>열기</t>
        </is>
      </c>
    </row>
    <row r="274">
      <c r="A274" s="20" t="inlineStr">
        <is>
          <t>2019-11-18</t>
        </is>
      </c>
      <c r="B274" s="20" t="inlineStr">
        <is>
          <t>주식등의대량보유상황보고서(일반)</t>
        </is>
      </c>
      <c r="C274" s="20" t="inlineStr">
        <is>
          <t>김준석</t>
        </is>
      </c>
      <c r="D274" s="20" t="inlineStr">
        <is>
          <t>5% 대량보유</t>
        </is>
      </c>
      <c r="E274" s="20" t="inlineStr"/>
      <c r="F274" s="20" t="inlineStr">
        <is>
          <t>20191118000182.html</t>
        </is>
      </c>
      <c r="G274" s="20" t="inlineStr">
        <is>
          <t>20191118000182</t>
        </is>
      </c>
      <c r="H274" s="21" t="inlineStr">
        <is>
          <t>열기</t>
        </is>
      </c>
    </row>
    <row r="275">
      <c r="A275" s="20" t="inlineStr">
        <is>
          <t>2019-11-18</t>
        </is>
      </c>
      <c r="B275" s="20" t="inlineStr">
        <is>
          <t>임원ㆍ주요주주특정증권등소유상황보고서</t>
        </is>
      </c>
      <c r="C275" s="20" t="inlineStr">
        <is>
          <t>이현석</t>
        </is>
      </c>
      <c r="D275" s="20" t="inlineStr">
        <is>
          <t>임원 소유상황/거래계획</t>
        </is>
      </c>
      <c r="E275" s="20" t="inlineStr"/>
      <c r="F275" s="20" t="inlineStr">
        <is>
          <t>20191118000174.html</t>
        </is>
      </c>
      <c r="G275" s="20" t="inlineStr">
        <is>
          <t>20191118000174</t>
        </is>
      </c>
      <c r="H275" s="21" t="inlineStr">
        <is>
          <t>열기</t>
        </is>
      </c>
    </row>
    <row r="276">
      <c r="A276" s="20" t="inlineStr">
        <is>
          <t>2019-11-14</t>
        </is>
      </c>
      <c r="B276" s="20" t="inlineStr">
        <is>
          <t>분기보고서 (2019.09)</t>
        </is>
      </c>
      <c r="C276" s="20" t="inlineStr">
        <is>
          <t>에이디테크놀로지</t>
        </is>
      </c>
      <c r="D276" s="20" t="inlineStr">
        <is>
          <t>정기보고서</t>
        </is>
      </c>
      <c r="E276" s="20" t="inlineStr"/>
      <c r="F276" s="20" t="inlineStr">
        <is>
          <t>20191114001557.html</t>
        </is>
      </c>
      <c r="G276" s="20" t="inlineStr">
        <is>
          <t>20191114001557</t>
        </is>
      </c>
      <c r="H276" s="21" t="inlineStr">
        <is>
          <t>열기</t>
        </is>
      </c>
    </row>
    <row r="277">
      <c r="A277" s="20" t="inlineStr">
        <is>
          <t>2019-11-12</t>
        </is>
      </c>
      <c r="B277" s="20" t="inlineStr">
        <is>
          <t>[기재정정]단일판매ㆍ공급계약체결</t>
        </is>
      </c>
      <c r="C277" s="20" t="inlineStr">
        <is>
          <t>에이디테크놀로지</t>
        </is>
      </c>
      <c r="D277" s="20" t="inlineStr">
        <is>
          <t>공급계약</t>
        </is>
      </c>
      <c r="E277" s="20" t="inlineStr">
        <is>
          <t>정정</t>
        </is>
      </c>
      <c r="F277" s="20" t="inlineStr">
        <is>
          <t>원문 없음(DART 미제공)</t>
        </is>
      </c>
      <c r="G277" s="20" t="inlineStr">
        <is>
          <t>20191112900532</t>
        </is>
      </c>
      <c r="H277" s="21" t="inlineStr">
        <is>
          <t>열기</t>
        </is>
      </c>
    </row>
    <row r="278">
      <c r="A278" s="20" t="inlineStr">
        <is>
          <t>2019-11-12</t>
        </is>
      </c>
      <c r="B278" s="20" t="inlineStr">
        <is>
          <t>[기재정정]단일판매ㆍ공급계약체결</t>
        </is>
      </c>
      <c r="C278" s="20" t="inlineStr">
        <is>
          <t>에이디테크놀로지</t>
        </is>
      </c>
      <c r="D278" s="20" t="inlineStr">
        <is>
          <t>공급계약</t>
        </is>
      </c>
      <c r="E278" s="20" t="inlineStr">
        <is>
          <t>정정</t>
        </is>
      </c>
      <c r="F278" s="20" t="inlineStr">
        <is>
          <t>원문 없음(DART 미제공)</t>
        </is>
      </c>
      <c r="G278" s="20" t="inlineStr">
        <is>
          <t>20191112900488</t>
        </is>
      </c>
      <c r="H278" s="21" t="inlineStr">
        <is>
          <t>열기</t>
        </is>
      </c>
    </row>
    <row r="279">
      <c r="A279" s="20" t="inlineStr">
        <is>
          <t>2019-11-08</t>
        </is>
      </c>
      <c r="B279" s="20" t="inlineStr">
        <is>
          <t>단일판매ㆍ공급계약체결</t>
        </is>
      </c>
      <c r="C279" s="20" t="inlineStr">
        <is>
          <t>에이디테크놀로지</t>
        </is>
      </c>
      <c r="D279" s="20" t="inlineStr">
        <is>
          <t>공급계약</t>
        </is>
      </c>
      <c r="E279" s="20" t="inlineStr"/>
      <c r="F279" s="20" t="inlineStr">
        <is>
          <t>20191108900343.html</t>
        </is>
      </c>
      <c r="G279" s="20" t="inlineStr">
        <is>
          <t>20191108900343</t>
        </is>
      </c>
      <c r="H279" s="21" t="inlineStr">
        <is>
          <t>열기</t>
        </is>
      </c>
    </row>
    <row r="280">
      <c r="A280" s="20" t="inlineStr">
        <is>
          <t>2019-10-25</t>
        </is>
      </c>
      <c r="B280" s="20" t="inlineStr">
        <is>
          <t>[기재정정]단일판매ㆍ공급계약체결</t>
        </is>
      </c>
      <c r="C280" s="20" t="inlineStr">
        <is>
          <t>에이디테크놀로지</t>
        </is>
      </c>
      <c r="D280" s="20" t="inlineStr">
        <is>
          <t>공급계약</t>
        </is>
      </c>
      <c r="E280" s="20" t="inlineStr">
        <is>
          <t>정정</t>
        </is>
      </c>
      <c r="F280" s="20" t="inlineStr">
        <is>
          <t>원문 없음(DART 미제공)</t>
        </is>
      </c>
      <c r="G280" s="20" t="inlineStr">
        <is>
          <t>20191025900271</t>
        </is>
      </c>
      <c r="H280" s="21" t="inlineStr">
        <is>
          <t>열기</t>
        </is>
      </c>
    </row>
    <row r="281">
      <c r="A281" s="20" t="inlineStr">
        <is>
          <t>2019-10-15</t>
        </is>
      </c>
      <c r="B281" s="20" t="inlineStr">
        <is>
          <t>단일판매ㆍ공급계약체결</t>
        </is>
      </c>
      <c r="C281" s="20" t="inlineStr">
        <is>
          <t>에이디테크놀로지</t>
        </is>
      </c>
      <c r="D281" s="20" t="inlineStr">
        <is>
          <t>공급계약</t>
        </is>
      </c>
      <c r="E281" s="20" t="inlineStr"/>
      <c r="F281" s="20" t="inlineStr">
        <is>
          <t>20191015900342.html</t>
        </is>
      </c>
      <c r="G281" s="20" t="inlineStr">
        <is>
          <t>20191015900342</t>
        </is>
      </c>
      <c r="H281" s="21" t="inlineStr">
        <is>
          <t>열기</t>
        </is>
      </c>
    </row>
    <row r="282">
      <c r="A282" s="20" t="inlineStr">
        <is>
          <t>2019-10-02</t>
        </is>
      </c>
      <c r="B282" s="20" t="inlineStr">
        <is>
          <t>[기재정정]단일판매ㆍ공급계약체결</t>
        </is>
      </c>
      <c r="C282" s="20" t="inlineStr">
        <is>
          <t>에이디테크놀로지</t>
        </is>
      </c>
      <c r="D282" s="20" t="inlineStr">
        <is>
          <t>공급계약</t>
        </is>
      </c>
      <c r="E282" s="20" t="inlineStr">
        <is>
          <t>정정</t>
        </is>
      </c>
      <c r="F282" s="20" t="inlineStr">
        <is>
          <t>원문 없음(DART 미제공)</t>
        </is>
      </c>
      <c r="G282" s="20" t="inlineStr">
        <is>
          <t>20191002900537</t>
        </is>
      </c>
      <c r="H282" s="21" t="inlineStr">
        <is>
          <t>열기</t>
        </is>
      </c>
    </row>
    <row r="283">
      <c r="A283" s="20" t="inlineStr">
        <is>
          <t>2019-10-02</t>
        </is>
      </c>
      <c r="B283" s="20" t="inlineStr">
        <is>
          <t>[기재정정]단일판매ㆍ공급계약체결</t>
        </is>
      </c>
      <c r="C283" s="20" t="inlineStr">
        <is>
          <t>에이디테크놀로지</t>
        </is>
      </c>
      <c r="D283" s="20" t="inlineStr">
        <is>
          <t>공급계약</t>
        </is>
      </c>
      <c r="E283" s="20" t="inlineStr">
        <is>
          <t>정정</t>
        </is>
      </c>
      <c r="F283" s="20" t="inlineStr">
        <is>
          <t>원문 없음(DART 미제공)</t>
        </is>
      </c>
      <c r="G283" s="20" t="inlineStr">
        <is>
          <t>20191002900536</t>
        </is>
      </c>
      <c r="H283" s="21" t="inlineStr">
        <is>
          <t>열기</t>
        </is>
      </c>
    </row>
    <row r="284">
      <c r="A284" s="20" t="inlineStr">
        <is>
          <t>2019-10-02</t>
        </is>
      </c>
      <c r="B284" s="20" t="inlineStr">
        <is>
          <t>[기재정정]단일판매ㆍ공급계약체결</t>
        </is>
      </c>
      <c r="C284" s="20" t="inlineStr">
        <is>
          <t>에이디테크놀로지</t>
        </is>
      </c>
      <c r="D284" s="20" t="inlineStr">
        <is>
          <t>공급계약</t>
        </is>
      </c>
      <c r="E284" s="20" t="inlineStr">
        <is>
          <t>정정</t>
        </is>
      </c>
      <c r="F284" s="20" t="inlineStr">
        <is>
          <t>원문 없음(DART 미제공)</t>
        </is>
      </c>
      <c r="G284" s="20" t="inlineStr">
        <is>
          <t>20191002900533</t>
        </is>
      </c>
      <c r="H284" s="21" t="inlineStr">
        <is>
          <t>열기</t>
        </is>
      </c>
    </row>
    <row r="285">
      <c r="A285" s="20" t="inlineStr">
        <is>
          <t>2019-09-10</t>
        </is>
      </c>
      <c r="B285" s="20" t="inlineStr">
        <is>
          <t>단일판매ㆍ공급계약체결</t>
        </is>
      </c>
      <c r="C285" s="20" t="inlineStr">
        <is>
          <t>에이디테크놀로지</t>
        </is>
      </c>
      <c r="D285" s="20" t="inlineStr">
        <is>
          <t>공급계약</t>
        </is>
      </c>
      <c r="E285" s="20" t="inlineStr"/>
      <c r="F285" s="20" t="inlineStr">
        <is>
          <t>20190910900230.html</t>
        </is>
      </c>
      <c r="G285" s="20" t="inlineStr">
        <is>
          <t>20190910900230</t>
        </is>
      </c>
      <c r="H285" s="21" t="inlineStr">
        <is>
          <t>열기</t>
        </is>
      </c>
    </row>
    <row r="286">
      <c r="A286" s="20" t="inlineStr">
        <is>
          <t>2019-08-28</t>
        </is>
      </c>
      <c r="B286" s="20" t="inlineStr">
        <is>
          <t>증권발행결과(자율공시)</t>
        </is>
      </c>
      <c r="C286" s="20" t="inlineStr">
        <is>
          <t>에이디테크놀로지</t>
        </is>
      </c>
      <c r="D286" s="20" t="inlineStr">
        <is>
          <t>증권신고/합병</t>
        </is>
      </c>
      <c r="E286" s="20" t="inlineStr"/>
      <c r="F286" s="20" t="inlineStr">
        <is>
          <t>20190828900237.html</t>
        </is>
      </c>
      <c r="G286" s="20" t="inlineStr">
        <is>
          <t>20190828900237</t>
        </is>
      </c>
      <c r="H286" s="21" t="inlineStr">
        <is>
          <t>열기</t>
        </is>
      </c>
    </row>
    <row r="287">
      <c r="A287" s="20" t="inlineStr">
        <is>
          <t>2019-08-20</t>
        </is>
      </c>
      <c r="B287" s="20" t="inlineStr">
        <is>
          <t>주요사항보고서(전환사채권발행결정)</t>
        </is>
      </c>
      <c r="C287" s="20" t="inlineStr">
        <is>
          <t>에이디테크놀로지</t>
        </is>
      </c>
      <c r="D287" s="20" t="inlineStr">
        <is>
          <t>자금조달/CB</t>
        </is>
      </c>
      <c r="E287" s="20" t="inlineStr"/>
      <c r="F287" s="20" t="inlineStr">
        <is>
          <t>20190820000229.html</t>
        </is>
      </c>
      <c r="G287" s="20" t="inlineStr">
        <is>
          <t>20190820000229</t>
        </is>
      </c>
      <c r="H287" s="21" t="inlineStr">
        <is>
          <t>열기</t>
        </is>
      </c>
    </row>
    <row r="288">
      <c r="A288" s="20" t="inlineStr">
        <is>
          <t>2019-08-14</t>
        </is>
      </c>
      <c r="B288" s="20" t="inlineStr">
        <is>
          <t>단일판매ㆍ공급계약체결</t>
        </is>
      </c>
      <c r="C288" s="20" t="inlineStr">
        <is>
          <t>에이디테크놀로지</t>
        </is>
      </c>
      <c r="D288" s="20" t="inlineStr">
        <is>
          <t>공급계약</t>
        </is>
      </c>
      <c r="E288" s="20" t="inlineStr"/>
      <c r="F288" s="20" t="inlineStr">
        <is>
          <t>20190814901197.html</t>
        </is>
      </c>
      <c r="G288" s="20" t="inlineStr">
        <is>
          <t>20190814901197</t>
        </is>
      </c>
      <c r="H288" s="21" t="inlineStr">
        <is>
          <t>열기</t>
        </is>
      </c>
    </row>
    <row r="289">
      <c r="A289" s="20" t="inlineStr">
        <is>
          <t>2019-08-12</t>
        </is>
      </c>
      <c r="B289" s="20" t="inlineStr">
        <is>
          <t>반기보고서 (2019.06)</t>
        </is>
      </c>
      <c r="C289" s="20" t="inlineStr">
        <is>
          <t>에이디테크놀로지</t>
        </is>
      </c>
      <c r="D289" s="20" t="inlineStr">
        <is>
          <t>정기보고서</t>
        </is>
      </c>
      <c r="E289" s="20" t="inlineStr"/>
      <c r="F289" s="20" t="inlineStr">
        <is>
          <t>20190812000258.html</t>
        </is>
      </c>
      <c r="G289" s="20" t="inlineStr">
        <is>
          <t>20190812000258</t>
        </is>
      </c>
      <c r="H289" s="21" t="inlineStr">
        <is>
          <t>열기</t>
        </is>
      </c>
    </row>
    <row r="290">
      <c r="A290" s="20" t="inlineStr">
        <is>
          <t>2019-08-07</t>
        </is>
      </c>
      <c r="B290" s="20" t="inlineStr">
        <is>
          <t>[기재정정]단일판매ㆍ공급계약체결</t>
        </is>
      </c>
      <c r="C290" s="20" t="inlineStr">
        <is>
          <t>에이디테크놀로지</t>
        </is>
      </c>
      <c r="D290" s="20" t="inlineStr">
        <is>
          <t>공급계약</t>
        </is>
      </c>
      <c r="E290" s="20" t="inlineStr">
        <is>
          <t>정정</t>
        </is>
      </c>
      <c r="F290" s="20" t="inlineStr">
        <is>
          <t>원문 없음(DART 미제공)</t>
        </is>
      </c>
      <c r="G290" s="20" t="inlineStr">
        <is>
          <t>20190807900440</t>
        </is>
      </c>
      <c r="H290" s="21" t="inlineStr">
        <is>
          <t>열기</t>
        </is>
      </c>
    </row>
    <row r="291">
      <c r="A291" s="20" t="inlineStr">
        <is>
          <t>2019-08-01</t>
        </is>
      </c>
      <c r="B291" s="20" t="inlineStr">
        <is>
          <t>[기재정정]단일판매ㆍ공급계약체결</t>
        </is>
      </c>
      <c r="C291" s="20" t="inlineStr">
        <is>
          <t>에이디테크놀로지</t>
        </is>
      </c>
      <c r="D291" s="20" t="inlineStr">
        <is>
          <t>공급계약</t>
        </is>
      </c>
      <c r="E291" s="20" t="inlineStr">
        <is>
          <t>정정</t>
        </is>
      </c>
      <c r="F291" s="20" t="inlineStr">
        <is>
          <t>원문 없음(DART 미제공)</t>
        </is>
      </c>
      <c r="G291" s="20" t="inlineStr">
        <is>
          <t>20190801900323</t>
        </is>
      </c>
      <c r="H291" s="21" t="inlineStr">
        <is>
          <t>열기</t>
        </is>
      </c>
    </row>
    <row r="292">
      <c r="A292" s="20" t="inlineStr">
        <is>
          <t>2019-07-23</t>
        </is>
      </c>
      <c r="B292" s="22" t="inlineStr">
        <is>
          <t>기타경영사항(특허권취득)(자율공시)(제어신호와 입력신호의 동시 전이에 따른 출력 오류를 방지하는 래치 회로)</t>
        </is>
      </c>
      <c r="C292" s="20" t="inlineStr">
        <is>
          <t>에이디테크놀로지</t>
        </is>
      </c>
      <c r="D292" s="20" t="inlineStr">
        <is>
          <t>특허</t>
        </is>
      </c>
      <c r="E292" s="20" t="inlineStr"/>
      <c r="F292" s="20" t="inlineStr">
        <is>
          <t>20190723900553.html</t>
        </is>
      </c>
      <c r="G292" s="20" t="inlineStr">
        <is>
          <t>20190723900553</t>
        </is>
      </c>
      <c r="H292" s="21" t="inlineStr">
        <is>
          <t>열기</t>
        </is>
      </c>
    </row>
    <row r="293">
      <c r="A293" s="20" t="inlineStr">
        <is>
          <t>2019-07-16</t>
        </is>
      </c>
      <c r="B293" s="20" t="inlineStr">
        <is>
          <t>단일판매ㆍ공급계약체결</t>
        </is>
      </c>
      <c r="C293" s="20" t="inlineStr">
        <is>
          <t>에이디테크놀로지</t>
        </is>
      </c>
      <c r="D293" s="20" t="inlineStr">
        <is>
          <t>공급계약</t>
        </is>
      </c>
      <c r="E293" s="20" t="inlineStr"/>
      <c r="F293" s="20" t="inlineStr">
        <is>
          <t>20190716900285.html</t>
        </is>
      </c>
      <c r="G293" s="20" t="inlineStr">
        <is>
          <t>20190716900285</t>
        </is>
      </c>
      <c r="H293" s="21" t="inlineStr">
        <is>
          <t>열기</t>
        </is>
      </c>
    </row>
    <row r="294">
      <c r="A294" s="20" t="inlineStr">
        <is>
          <t>2019-07-09</t>
        </is>
      </c>
      <c r="B294" s="20" t="inlineStr">
        <is>
          <t>[기재정정]단일판매ㆍ공급계약체결</t>
        </is>
      </c>
      <c r="C294" s="20" t="inlineStr">
        <is>
          <t>에이디테크놀로지</t>
        </is>
      </c>
      <c r="D294" s="20" t="inlineStr">
        <is>
          <t>공급계약</t>
        </is>
      </c>
      <c r="E294" s="20" t="inlineStr">
        <is>
          <t>정정</t>
        </is>
      </c>
      <c r="F294" s="20" t="inlineStr">
        <is>
          <t>원문 없음(DART 미제공)</t>
        </is>
      </c>
      <c r="G294" s="20" t="inlineStr">
        <is>
          <t>20190709900341</t>
        </is>
      </c>
      <c r="H294" s="21" t="inlineStr">
        <is>
          <t>열기</t>
        </is>
      </c>
    </row>
    <row r="295">
      <c r="A295" s="20" t="inlineStr">
        <is>
          <t>2019-07-09</t>
        </is>
      </c>
      <c r="B295" s="20" t="inlineStr">
        <is>
          <t>[기재정정]단일판매ㆍ공급계약체결</t>
        </is>
      </c>
      <c r="C295" s="20" t="inlineStr">
        <is>
          <t>에이디테크놀로지</t>
        </is>
      </c>
      <c r="D295" s="20" t="inlineStr">
        <is>
          <t>공급계약</t>
        </is>
      </c>
      <c r="E295" s="20" t="inlineStr">
        <is>
          <t>정정</t>
        </is>
      </c>
      <c r="F295" s="20" t="inlineStr">
        <is>
          <t>원문 없음(DART 미제공)</t>
        </is>
      </c>
      <c r="G295" s="20" t="inlineStr">
        <is>
          <t>20190709900338</t>
        </is>
      </c>
      <c r="H295" s="21" t="inlineStr">
        <is>
          <t>열기</t>
        </is>
      </c>
    </row>
    <row r="296">
      <c r="A296" s="20" t="inlineStr">
        <is>
          <t>2019-07-04</t>
        </is>
      </c>
      <c r="B296" s="22" t="inlineStr">
        <is>
          <t>기타경영사항(특허권취득)(자율공시)(제어신호와 입력신호의 동시 전이에 따른 출력 오류를 방지하는 래치 회로)</t>
        </is>
      </c>
      <c r="C296" s="20" t="inlineStr">
        <is>
          <t>에이디테크놀로지</t>
        </is>
      </c>
      <c r="D296" s="20" t="inlineStr">
        <is>
          <t>특허</t>
        </is>
      </c>
      <c r="E296" s="20" t="inlineStr"/>
      <c r="F296" s="20" t="inlineStr">
        <is>
          <t>20190704900379.html</t>
        </is>
      </c>
      <c r="G296" s="20" t="inlineStr">
        <is>
          <t>20190704900379</t>
        </is>
      </c>
      <c r="H296" s="21" t="inlineStr">
        <is>
          <t>열기</t>
        </is>
      </c>
    </row>
    <row r="297">
      <c r="A297" s="20" t="inlineStr">
        <is>
          <t>2019-07-02</t>
        </is>
      </c>
      <c r="B297" s="20" t="inlineStr">
        <is>
          <t>[기재정정]단일판매ㆍ공급계약체결</t>
        </is>
      </c>
      <c r="C297" s="20" t="inlineStr">
        <is>
          <t>에이디테크놀로지</t>
        </is>
      </c>
      <c r="D297" s="20" t="inlineStr">
        <is>
          <t>공급계약</t>
        </is>
      </c>
      <c r="E297" s="20" t="inlineStr">
        <is>
          <t>정정</t>
        </is>
      </c>
      <c r="F297" s="20" t="inlineStr">
        <is>
          <t>원문 없음(DART 미제공)</t>
        </is>
      </c>
      <c r="G297" s="20" t="inlineStr">
        <is>
          <t>20190702900510</t>
        </is>
      </c>
      <c r="H297" s="21" t="inlineStr">
        <is>
          <t>열기</t>
        </is>
      </c>
    </row>
    <row r="298">
      <c r="A298" s="20" t="inlineStr">
        <is>
          <t>2019-06-21</t>
        </is>
      </c>
      <c r="B298" s="20" t="inlineStr">
        <is>
          <t>소속부변경</t>
        </is>
      </c>
      <c r="C298" s="20" t="inlineStr">
        <is>
          <t>코스닥시장본부</t>
        </is>
      </c>
      <c r="D298" s="20" t="inlineStr">
        <is>
          <t>기타</t>
        </is>
      </c>
      <c r="E298" s="20" t="inlineStr"/>
      <c r="F298" s="20" t="inlineStr">
        <is>
          <t>20190621900697.html</t>
        </is>
      </c>
      <c r="G298" s="20" t="inlineStr">
        <is>
          <t>20190621900697</t>
        </is>
      </c>
      <c r="H298" s="21" t="inlineStr">
        <is>
          <t>열기</t>
        </is>
      </c>
    </row>
    <row r="299">
      <c r="A299" s="20" t="inlineStr">
        <is>
          <t>2019-06-11</t>
        </is>
      </c>
      <c r="B299" s="20" t="inlineStr">
        <is>
          <t>단일판매ㆍ공급계약체결</t>
        </is>
      </c>
      <c r="C299" s="20" t="inlineStr">
        <is>
          <t>에이디테크놀로지</t>
        </is>
      </c>
      <c r="D299" s="20" t="inlineStr">
        <is>
          <t>공급계약</t>
        </is>
      </c>
      <c r="E299" s="20" t="inlineStr"/>
      <c r="F299" s="20" t="inlineStr">
        <is>
          <t>20190611900371.html</t>
        </is>
      </c>
      <c r="G299" s="20" t="inlineStr">
        <is>
          <t>20190611900371</t>
        </is>
      </c>
      <c r="H299" s="21" t="inlineStr">
        <is>
          <t>열기</t>
        </is>
      </c>
    </row>
    <row r="300">
      <c r="A300" s="20" t="inlineStr">
        <is>
          <t>2019-06-05</t>
        </is>
      </c>
      <c r="B300" s="20" t="inlineStr">
        <is>
          <t>[기재정정]단일판매ㆍ공급계약체결</t>
        </is>
      </c>
      <c r="C300" s="20" t="inlineStr">
        <is>
          <t>에이디테크놀로지</t>
        </is>
      </c>
      <c r="D300" s="20" t="inlineStr">
        <is>
          <t>공급계약</t>
        </is>
      </c>
      <c r="E300" s="20" t="inlineStr">
        <is>
          <t>정정</t>
        </is>
      </c>
      <c r="F300" s="20" t="inlineStr">
        <is>
          <t>원문 없음(DART 미제공)</t>
        </is>
      </c>
      <c r="G300" s="20" t="inlineStr">
        <is>
          <t>20190605900506</t>
        </is>
      </c>
      <c r="H300" s="21" t="inlineStr">
        <is>
          <t>열기</t>
        </is>
      </c>
    </row>
    <row r="301">
      <c r="A301" s="20" t="inlineStr">
        <is>
          <t>2019-05-16</t>
        </is>
      </c>
      <c r="B301" s="20" t="inlineStr">
        <is>
          <t>[기재정정]단일판매ㆍ공급계약체결</t>
        </is>
      </c>
      <c r="C301" s="20" t="inlineStr">
        <is>
          <t>에이디테크놀로지</t>
        </is>
      </c>
      <c r="D301" s="20" t="inlineStr">
        <is>
          <t>공급계약</t>
        </is>
      </c>
      <c r="E301" s="20" t="inlineStr">
        <is>
          <t>정정</t>
        </is>
      </c>
      <c r="F301" s="20" t="inlineStr">
        <is>
          <t>원문 없음(DART 미제공)</t>
        </is>
      </c>
      <c r="G301" s="20" t="inlineStr">
        <is>
          <t>20190516900274</t>
        </is>
      </c>
      <c r="H301" s="21" t="inlineStr">
        <is>
          <t>열기</t>
        </is>
      </c>
    </row>
    <row r="302">
      <c r="A302" s="20" t="inlineStr">
        <is>
          <t>2019-05-16</t>
        </is>
      </c>
      <c r="B302" s="20" t="inlineStr">
        <is>
          <t>[기재정정]분기보고서 (2019.03)</t>
        </is>
      </c>
      <c r="C302" s="20" t="inlineStr">
        <is>
          <t>에이디테크놀로지</t>
        </is>
      </c>
      <c r="D302" s="20" t="inlineStr">
        <is>
          <t>정기보고서</t>
        </is>
      </c>
      <c r="E302" s="20" t="inlineStr">
        <is>
          <t>정정</t>
        </is>
      </c>
      <c r="F302" s="20" t="inlineStr">
        <is>
          <t>원문 없음(DART 미제공)</t>
        </is>
      </c>
      <c r="G302" s="20" t="inlineStr">
        <is>
          <t>20190516000107</t>
        </is>
      </c>
      <c r="H302" s="21" t="inlineStr">
        <is>
          <t>열기</t>
        </is>
      </c>
    </row>
    <row r="303">
      <c r="A303" s="20" t="inlineStr">
        <is>
          <t>2019-05-15</t>
        </is>
      </c>
      <c r="B303" s="20" t="inlineStr">
        <is>
          <t>[기재정정]단일판매ㆍ공급계약체결</t>
        </is>
      </c>
      <c r="C303" s="20" t="inlineStr">
        <is>
          <t>에이디테크놀로지</t>
        </is>
      </c>
      <c r="D303" s="20" t="inlineStr">
        <is>
          <t>공급계약</t>
        </is>
      </c>
      <c r="E303" s="20" t="inlineStr">
        <is>
          <t>정정</t>
        </is>
      </c>
      <c r="F303" s="20" t="inlineStr">
        <is>
          <t>원문 없음(DART 미제공)</t>
        </is>
      </c>
      <c r="G303" s="20" t="inlineStr">
        <is>
          <t>20190515902643</t>
        </is>
      </c>
      <c r="H303" s="21" t="inlineStr">
        <is>
          <t>열기</t>
        </is>
      </c>
    </row>
    <row r="304">
      <c r="A304" s="20" t="inlineStr">
        <is>
          <t>2019-05-15</t>
        </is>
      </c>
      <c r="B304" s="20" t="inlineStr">
        <is>
          <t>[기재정정]단일판매ㆍ공급계약체결</t>
        </is>
      </c>
      <c r="C304" s="20" t="inlineStr">
        <is>
          <t>에이디테크놀로지</t>
        </is>
      </c>
      <c r="D304" s="20" t="inlineStr">
        <is>
          <t>공급계약</t>
        </is>
      </c>
      <c r="E304" s="20" t="inlineStr">
        <is>
          <t>정정</t>
        </is>
      </c>
      <c r="F304" s="20" t="inlineStr">
        <is>
          <t>원문 없음(DART 미제공)</t>
        </is>
      </c>
      <c r="G304" s="20" t="inlineStr">
        <is>
          <t>20190515901053</t>
        </is>
      </c>
      <c r="H304" s="21" t="inlineStr">
        <is>
          <t>열기</t>
        </is>
      </c>
    </row>
    <row r="305">
      <c r="A305" s="20" t="inlineStr">
        <is>
          <t>2019-05-15</t>
        </is>
      </c>
      <c r="B305" s="20" t="inlineStr">
        <is>
          <t>분기보고서 (2019.03)</t>
        </is>
      </c>
      <c r="C305" s="20" t="inlineStr">
        <is>
          <t>에이디테크놀로지</t>
        </is>
      </c>
      <c r="D305" s="20" t="inlineStr">
        <is>
          <t>정기보고서</t>
        </is>
      </c>
      <c r="E305" s="20" t="inlineStr"/>
      <c r="F305" s="20" t="inlineStr">
        <is>
          <t>20190515001055.html</t>
        </is>
      </c>
      <c r="G305" s="20" t="inlineStr">
        <is>
          <t>20190515001055</t>
        </is>
      </c>
      <c r="H305" s="21" t="inlineStr">
        <is>
          <t>열기</t>
        </is>
      </c>
    </row>
    <row r="306">
      <c r="A306" s="20" t="inlineStr">
        <is>
          <t>2019-05-09</t>
        </is>
      </c>
      <c r="B306" s="20" t="inlineStr">
        <is>
          <t>단일판매ㆍ공급계약체결</t>
        </is>
      </c>
      <c r="C306" s="20" t="inlineStr">
        <is>
          <t>에이디테크놀로지</t>
        </is>
      </c>
      <c r="D306" s="20" t="inlineStr">
        <is>
          <t>공급계약</t>
        </is>
      </c>
      <c r="E306" s="20" t="inlineStr"/>
      <c r="F306" s="20" t="inlineStr">
        <is>
          <t>20190509900346.html</t>
        </is>
      </c>
      <c r="G306" s="20" t="inlineStr">
        <is>
          <t>20190509900346</t>
        </is>
      </c>
      <c r="H306" s="21" t="inlineStr">
        <is>
          <t>열기</t>
        </is>
      </c>
    </row>
    <row r="307">
      <c r="A307" s="20" t="inlineStr">
        <is>
          <t>2019-05-09</t>
        </is>
      </c>
      <c r="B307" s="20" t="inlineStr">
        <is>
          <t>[기재정정]단일판매ㆍ공급계약체결</t>
        </is>
      </c>
      <c r="C307" s="20" t="inlineStr">
        <is>
          <t>에이디테크놀로지</t>
        </is>
      </c>
      <c r="D307" s="20" t="inlineStr">
        <is>
          <t>공급계약</t>
        </is>
      </c>
      <c r="E307" s="20" t="inlineStr">
        <is>
          <t>정정</t>
        </is>
      </c>
      <c r="F307" s="20" t="inlineStr">
        <is>
          <t>원문 없음(DART 미제공)</t>
        </is>
      </c>
      <c r="G307" s="20" t="inlineStr">
        <is>
          <t>20190509900317</t>
        </is>
      </c>
      <c r="H307" s="21" t="inlineStr">
        <is>
          <t>열기</t>
        </is>
      </c>
    </row>
    <row r="308">
      <c r="A308" s="20" t="inlineStr">
        <is>
          <t>2019-05-09</t>
        </is>
      </c>
      <c r="B308" s="20" t="inlineStr">
        <is>
          <t>[기재정정]단일판매ㆍ공급계약체결</t>
        </is>
      </c>
      <c r="C308" s="20" t="inlineStr">
        <is>
          <t>에이디테크놀로지</t>
        </is>
      </c>
      <c r="D308" s="20" t="inlineStr">
        <is>
          <t>공급계약</t>
        </is>
      </c>
      <c r="E308" s="20" t="inlineStr">
        <is>
          <t>정정</t>
        </is>
      </c>
      <c r="F308" s="20" t="inlineStr">
        <is>
          <t>원문 없음(DART 미제공)</t>
        </is>
      </c>
      <c r="G308" s="20" t="inlineStr">
        <is>
          <t>20190509900316</t>
        </is>
      </c>
      <c r="H308" s="21" t="inlineStr">
        <is>
          <t>열기</t>
        </is>
      </c>
    </row>
    <row r="309">
      <c r="A309" s="20" t="inlineStr">
        <is>
          <t>2019-04-19</t>
        </is>
      </c>
      <c r="B309" s="20" t="inlineStr">
        <is>
          <t>[기재정정]단일판매ㆍ공급계약체결</t>
        </is>
      </c>
      <c r="C309" s="20" t="inlineStr">
        <is>
          <t>에이디테크놀로지</t>
        </is>
      </c>
      <c r="D309" s="20" t="inlineStr">
        <is>
          <t>공급계약</t>
        </is>
      </c>
      <c r="E309" s="20" t="inlineStr">
        <is>
          <t>정정</t>
        </is>
      </c>
      <c r="F309" s="20" t="inlineStr">
        <is>
          <t>원문 없음(DART 미제공)</t>
        </is>
      </c>
      <c r="G309" s="20" t="inlineStr">
        <is>
          <t>20190419900696</t>
        </is>
      </c>
      <c r="H309" s="21" t="inlineStr">
        <is>
          <t>열기</t>
        </is>
      </c>
    </row>
    <row r="310">
      <c r="A310" s="20" t="inlineStr">
        <is>
          <t>2019-04-19</t>
        </is>
      </c>
      <c r="B310" s="20" t="inlineStr">
        <is>
          <t>[기재정정]단일판매ㆍ공급계약체결</t>
        </is>
      </c>
      <c r="C310" s="20" t="inlineStr">
        <is>
          <t>에이디테크놀로지</t>
        </is>
      </c>
      <c r="D310" s="20" t="inlineStr">
        <is>
          <t>공급계약</t>
        </is>
      </c>
      <c r="E310" s="20" t="inlineStr">
        <is>
          <t>정정</t>
        </is>
      </c>
      <c r="F310" s="20" t="inlineStr">
        <is>
          <t>원문 없음(DART 미제공)</t>
        </is>
      </c>
      <c r="G310" s="20" t="inlineStr">
        <is>
          <t>20190419900692</t>
        </is>
      </c>
      <c r="H310" s="21" t="inlineStr">
        <is>
          <t>열기</t>
        </is>
      </c>
    </row>
    <row r="311">
      <c r="A311" s="20" t="inlineStr">
        <is>
          <t>2019-04-19</t>
        </is>
      </c>
      <c r="B311" s="20" t="inlineStr">
        <is>
          <t>[기재정정]단일판매ㆍ공급계약체결</t>
        </is>
      </c>
      <c r="C311" s="20" t="inlineStr">
        <is>
          <t>에이디테크놀로지</t>
        </is>
      </c>
      <c r="D311" s="20" t="inlineStr">
        <is>
          <t>공급계약</t>
        </is>
      </c>
      <c r="E311" s="20" t="inlineStr">
        <is>
          <t>정정</t>
        </is>
      </c>
      <c r="F311" s="20" t="inlineStr">
        <is>
          <t>원문 없음(DART 미제공)</t>
        </is>
      </c>
      <c r="G311" s="20" t="inlineStr">
        <is>
          <t>20190419900685</t>
        </is>
      </c>
      <c r="H311" s="21" t="inlineStr">
        <is>
          <t>열기</t>
        </is>
      </c>
    </row>
    <row r="312">
      <c r="A312" s="20" t="inlineStr">
        <is>
          <t>2019-04-03</t>
        </is>
      </c>
      <c r="B312" s="20" t="inlineStr">
        <is>
          <t>단일판매ㆍ공급계약체결</t>
        </is>
      </c>
      <c r="C312" s="20" t="inlineStr">
        <is>
          <t>에이디테크놀로지</t>
        </is>
      </c>
      <c r="D312" s="20" t="inlineStr">
        <is>
          <t>공급계약</t>
        </is>
      </c>
      <c r="E312" s="20" t="inlineStr"/>
      <c r="F312" s="20" t="inlineStr">
        <is>
          <t>20190403900442.html</t>
        </is>
      </c>
      <c r="G312" s="20" t="inlineStr">
        <is>
          <t>20190403900442</t>
        </is>
      </c>
      <c r="H312" s="21" t="inlineStr">
        <is>
          <t>열기</t>
        </is>
      </c>
    </row>
    <row r="313">
      <c r="A313" s="20" t="inlineStr">
        <is>
          <t>2019-04-01</t>
        </is>
      </c>
      <c r="B313" s="20" t="inlineStr">
        <is>
          <t>사업보고서 (2018.12)</t>
        </is>
      </c>
      <c r="C313" s="20" t="inlineStr">
        <is>
          <t>에이디테크놀로지</t>
        </is>
      </c>
      <c r="D313" s="20" t="inlineStr">
        <is>
          <t>정기보고서</t>
        </is>
      </c>
      <c r="E313" s="20" t="inlineStr"/>
      <c r="F313" s="20" t="inlineStr">
        <is>
          <t>20190401003689.html</t>
        </is>
      </c>
      <c r="G313" s="20" t="inlineStr">
        <is>
          <t>20190401003689</t>
        </is>
      </c>
      <c r="H313" s="21" t="inlineStr">
        <is>
          <t>열기</t>
        </is>
      </c>
    </row>
    <row r="314">
      <c r="A314" s="20" t="inlineStr">
        <is>
          <t>2019-03-29</t>
        </is>
      </c>
      <c r="B314" s="20" t="inlineStr">
        <is>
          <t>[기재정정]정기주주총회결과</t>
        </is>
      </c>
      <c r="C314" s="20" t="inlineStr">
        <is>
          <t>에이디테크놀로지</t>
        </is>
      </c>
      <c r="D314" s="20" t="inlineStr">
        <is>
          <t>경영권/주총</t>
        </is>
      </c>
      <c r="E314" s="20" t="inlineStr">
        <is>
          <t>정정</t>
        </is>
      </c>
      <c r="F314" s="20" t="inlineStr">
        <is>
          <t>원문 없음(DART 미제공)</t>
        </is>
      </c>
      <c r="G314" s="20" t="inlineStr">
        <is>
          <t>20190329901400</t>
        </is>
      </c>
      <c r="H314" s="21" t="inlineStr">
        <is>
          <t>열기</t>
        </is>
      </c>
    </row>
    <row r="315">
      <c r="A315" s="20" t="inlineStr">
        <is>
          <t>2019-03-29</t>
        </is>
      </c>
      <c r="B315" s="20" t="inlineStr">
        <is>
          <t>정기주주총회결과</t>
        </is>
      </c>
      <c r="C315" s="20" t="inlineStr">
        <is>
          <t>에이디테크놀로지</t>
        </is>
      </c>
      <c r="D315" s="20" t="inlineStr">
        <is>
          <t>경영권/주총</t>
        </is>
      </c>
      <c r="E315" s="20" t="inlineStr"/>
      <c r="F315" s="20" t="inlineStr">
        <is>
          <t>20190329900736.html</t>
        </is>
      </c>
      <c r="G315" s="20" t="inlineStr">
        <is>
          <t>20190329900736</t>
        </is>
      </c>
      <c r="H315" s="21" t="inlineStr">
        <is>
          <t>열기</t>
        </is>
      </c>
    </row>
    <row r="316">
      <c r="A316" s="20" t="inlineStr">
        <is>
          <t>2019-03-21</t>
        </is>
      </c>
      <c r="B316" s="20" t="inlineStr">
        <is>
          <t>임원ㆍ주요주주특정증권등소유상황보고서</t>
        </is>
      </c>
      <c r="C316" s="20" t="inlineStr">
        <is>
          <t>박영선</t>
        </is>
      </c>
      <c r="D316" s="20" t="inlineStr">
        <is>
          <t>임원 소유상황/거래계획</t>
        </is>
      </c>
      <c r="E316" s="20" t="inlineStr"/>
      <c r="F316" s="20" t="inlineStr">
        <is>
          <t>20190321000152.html</t>
        </is>
      </c>
      <c r="G316" s="20" t="inlineStr">
        <is>
          <t>20190321000152</t>
        </is>
      </c>
      <c r="H316" s="21" t="inlineStr">
        <is>
          <t>열기</t>
        </is>
      </c>
    </row>
    <row r="317">
      <c r="A317" s="20" t="inlineStr">
        <is>
          <t>2019-03-14</t>
        </is>
      </c>
      <c r="B317" s="20" t="inlineStr">
        <is>
          <t>감사보고서제출</t>
        </is>
      </c>
      <c r="C317" s="20" t="inlineStr">
        <is>
          <t>에이디테크놀로지</t>
        </is>
      </c>
      <c r="D317" s="20" t="inlineStr">
        <is>
          <t>감사보고서</t>
        </is>
      </c>
      <c r="E317" s="20" t="inlineStr"/>
      <c r="F317" s="20" t="inlineStr">
        <is>
          <t>20190314900888.html</t>
        </is>
      </c>
      <c r="G317" s="20" t="inlineStr">
        <is>
          <t>20190314900888</t>
        </is>
      </c>
      <c r="H317" s="21" t="inlineStr">
        <is>
          <t>열기</t>
        </is>
      </c>
    </row>
    <row r="318">
      <c r="A318" s="20" t="inlineStr">
        <is>
          <t>2019-03-12</t>
        </is>
      </c>
      <c r="B318" s="20" t="inlineStr">
        <is>
          <t>[기재정정]단일판매ㆍ공급계약체결</t>
        </is>
      </c>
      <c r="C318" s="20" t="inlineStr">
        <is>
          <t>에이디테크놀로지</t>
        </is>
      </c>
      <c r="D318" s="20" t="inlineStr">
        <is>
          <t>공급계약</t>
        </is>
      </c>
      <c r="E318" s="20" t="inlineStr">
        <is>
          <t>정정</t>
        </is>
      </c>
      <c r="F318" s="20" t="inlineStr">
        <is>
          <t>원문 없음(DART 미제공)</t>
        </is>
      </c>
      <c r="G318" s="20" t="inlineStr">
        <is>
          <t>20190312900938</t>
        </is>
      </c>
      <c r="H318" s="21" t="inlineStr">
        <is>
          <t>열기</t>
        </is>
      </c>
    </row>
    <row r="319">
      <c r="A319" s="20" t="inlineStr">
        <is>
          <t>2019-03-12</t>
        </is>
      </c>
      <c r="B319" s="20" t="inlineStr">
        <is>
          <t>[기재정정]단일판매ㆍ공급계약체결</t>
        </is>
      </c>
      <c r="C319" s="20" t="inlineStr">
        <is>
          <t>에이디테크놀로지</t>
        </is>
      </c>
      <c r="D319" s="20" t="inlineStr">
        <is>
          <t>공급계약</t>
        </is>
      </c>
      <c r="E319" s="20" t="inlineStr">
        <is>
          <t>정정</t>
        </is>
      </c>
      <c r="F319" s="20" t="inlineStr">
        <is>
          <t>원문 없음(DART 미제공)</t>
        </is>
      </c>
      <c r="G319" s="20" t="inlineStr">
        <is>
          <t>20190312900927</t>
        </is>
      </c>
      <c r="H319" s="21" t="inlineStr">
        <is>
          <t>열기</t>
        </is>
      </c>
    </row>
    <row r="320">
      <c r="A320" s="20" t="inlineStr">
        <is>
          <t>2019-03-11</t>
        </is>
      </c>
      <c r="B320" s="20" t="inlineStr">
        <is>
          <t>단일판매ㆍ공급계약체결</t>
        </is>
      </c>
      <c r="C320" s="20" t="inlineStr">
        <is>
          <t>에이디테크놀로지</t>
        </is>
      </c>
      <c r="D320" s="20" t="inlineStr">
        <is>
          <t>공급계약</t>
        </is>
      </c>
      <c r="E320" s="20" t="inlineStr"/>
      <c r="F320" s="20" t="inlineStr">
        <is>
          <t>20190311900158.html</t>
        </is>
      </c>
      <c r="G320" s="20" t="inlineStr">
        <is>
          <t>20190311900158</t>
        </is>
      </c>
      <c r="H320" s="21" t="inlineStr">
        <is>
          <t>열기</t>
        </is>
      </c>
    </row>
    <row r="321">
      <c r="A321" s="20" t="inlineStr">
        <is>
          <t>2019-03-11</t>
        </is>
      </c>
      <c r="B321" s="20" t="inlineStr">
        <is>
          <t>[첨부정정]의결권대리행사권유참고서류</t>
        </is>
      </c>
      <c r="C321" s="20" t="inlineStr">
        <is>
          <t>에이디테크놀로지</t>
        </is>
      </c>
      <c r="D321" s="20" t="inlineStr">
        <is>
          <t>경영권/주총</t>
        </is>
      </c>
      <c r="E321" s="20" t="inlineStr">
        <is>
          <t>정정</t>
        </is>
      </c>
      <c r="F321" s="20" t="inlineStr">
        <is>
          <t>원문 없음(DART 미제공)</t>
        </is>
      </c>
      <c r="G321" s="20" t="inlineStr">
        <is>
          <t>20190311000372</t>
        </is>
      </c>
      <c r="H321" s="21" t="inlineStr">
        <is>
          <t>열기</t>
        </is>
      </c>
    </row>
    <row r="322">
      <c r="A322" s="20" t="inlineStr">
        <is>
          <t>2019-03-08</t>
        </is>
      </c>
      <c r="B322" s="20" t="inlineStr">
        <is>
          <t>주주총회집중일개최사유신고</t>
        </is>
      </c>
      <c r="C322" s="20" t="inlineStr">
        <is>
          <t>에이디테크놀로지</t>
        </is>
      </c>
      <c r="D322" s="20" t="inlineStr">
        <is>
          <t>경영권/주총</t>
        </is>
      </c>
      <c r="E322" s="20" t="inlineStr"/>
      <c r="F322" s="20" t="inlineStr">
        <is>
          <t>20190308900846.html</t>
        </is>
      </c>
      <c r="G322" s="20" t="inlineStr">
        <is>
          <t>20190308900846</t>
        </is>
      </c>
      <c r="H322" s="21" t="inlineStr">
        <is>
          <t>열기</t>
        </is>
      </c>
    </row>
    <row r="323">
      <c r="A323" s="20" t="inlineStr">
        <is>
          <t>2019-03-08</t>
        </is>
      </c>
      <c r="B323" s="20" t="inlineStr">
        <is>
          <t>주주총회소집결의</t>
        </is>
      </c>
      <c r="C323" s="20" t="inlineStr">
        <is>
          <t>에이디테크놀로지</t>
        </is>
      </c>
      <c r="D323" s="20" t="inlineStr">
        <is>
          <t>경영권/주총</t>
        </is>
      </c>
      <c r="E323" s="20" t="inlineStr"/>
      <c r="F323" s="20" t="inlineStr">
        <is>
          <t>20190308900790.html</t>
        </is>
      </c>
      <c r="G323" s="20" t="inlineStr">
        <is>
          <t>20190308900790</t>
        </is>
      </c>
      <c r="H323" s="21" t="inlineStr">
        <is>
          <t>열기</t>
        </is>
      </c>
    </row>
    <row r="324">
      <c r="A324" s="20" t="inlineStr">
        <is>
          <t>2019-03-08</t>
        </is>
      </c>
      <c r="B324" s="20" t="inlineStr">
        <is>
          <t>의결권대리행사권유참고서류</t>
        </is>
      </c>
      <c r="C324" s="20" t="inlineStr">
        <is>
          <t>에이디테크놀로지</t>
        </is>
      </c>
      <c r="D324" s="20" t="inlineStr">
        <is>
          <t>경영권/주총</t>
        </is>
      </c>
      <c r="E324" s="20" t="inlineStr"/>
      <c r="F324" s="20" t="inlineStr">
        <is>
          <t>20190308000677.html</t>
        </is>
      </c>
      <c r="G324" s="20" t="inlineStr">
        <is>
          <t>20190308000677</t>
        </is>
      </c>
      <c r="H324" s="21" t="inlineStr">
        <is>
          <t>열기</t>
        </is>
      </c>
    </row>
    <row r="325">
      <c r="A325" s="20" t="inlineStr">
        <is>
          <t>2019-03-08</t>
        </is>
      </c>
      <c r="B325" s="20" t="inlineStr">
        <is>
          <t>주주총회소집공고</t>
        </is>
      </c>
      <c r="C325" s="20" t="inlineStr">
        <is>
          <t>에이디테크놀로지</t>
        </is>
      </c>
      <c r="D325" s="20" t="inlineStr">
        <is>
          <t>경영권/주총</t>
        </is>
      </c>
      <c r="E325" s="20" t="inlineStr"/>
      <c r="F325" s="20" t="inlineStr">
        <is>
          <t>20190308000670.html</t>
        </is>
      </c>
      <c r="G325" s="20" t="inlineStr">
        <is>
          <t>20190308000670</t>
        </is>
      </c>
      <c r="H325" s="21" t="inlineStr">
        <is>
          <t>열기</t>
        </is>
      </c>
    </row>
    <row r="326">
      <c r="A326" s="20" t="inlineStr">
        <is>
          <t>2019-03-06</t>
        </is>
      </c>
      <c r="B326" s="20" t="inlineStr">
        <is>
          <t>단일판매ㆍ공급계약체결</t>
        </is>
      </c>
      <c r="C326" s="20" t="inlineStr">
        <is>
          <t>에이디테크놀로지</t>
        </is>
      </c>
      <c r="D326" s="20" t="inlineStr">
        <is>
          <t>공급계약</t>
        </is>
      </c>
      <c r="E326" s="20" t="inlineStr"/>
      <c r="F326" s="20" t="inlineStr">
        <is>
          <t>20190306900108.html</t>
        </is>
      </c>
      <c r="G326" s="20" t="inlineStr">
        <is>
          <t>20190306900108</t>
        </is>
      </c>
      <c r="H326" s="21" t="inlineStr">
        <is>
          <t>열기</t>
        </is>
      </c>
    </row>
    <row r="327">
      <c r="A327" s="20" t="inlineStr">
        <is>
          <t>2019-02-28</t>
        </is>
      </c>
      <c r="B327" s="20" t="inlineStr">
        <is>
          <t>[기재정정]주식매수선택권부여에관한신고</t>
        </is>
      </c>
      <c r="C327" s="20" t="inlineStr">
        <is>
          <t>에이디테크놀로지</t>
        </is>
      </c>
      <c r="D327" s="20" t="inlineStr">
        <is>
          <t>스톡옵션</t>
        </is>
      </c>
      <c r="E327" s="20" t="inlineStr">
        <is>
          <t>정정</t>
        </is>
      </c>
      <c r="F327" s="20" t="inlineStr">
        <is>
          <t>원문 없음(DART 미제공)</t>
        </is>
      </c>
      <c r="G327" s="20" t="inlineStr">
        <is>
          <t>20190228003815</t>
        </is>
      </c>
      <c r="H327" s="21" t="inlineStr">
        <is>
          <t>열기</t>
        </is>
      </c>
    </row>
    <row r="328">
      <c r="A328" s="20" t="inlineStr">
        <is>
          <t>2019-02-25</t>
        </is>
      </c>
      <c r="B328" s="20" t="inlineStr">
        <is>
          <t>단기차입금증가결정</t>
        </is>
      </c>
      <c r="C328" s="20" t="inlineStr">
        <is>
          <t>에이디테크놀로지</t>
        </is>
      </c>
      <c r="D328" s="20" t="inlineStr">
        <is>
          <t>차입</t>
        </is>
      </c>
      <c r="E328" s="20" t="inlineStr"/>
      <c r="F328" s="20" t="inlineStr">
        <is>
          <t>20190225900764.html</t>
        </is>
      </c>
      <c r="G328" s="20" t="inlineStr">
        <is>
          <t>20190225900764</t>
        </is>
      </c>
      <c r="H328" s="21" t="inlineStr">
        <is>
          <t>열기</t>
        </is>
      </c>
    </row>
    <row r="329">
      <c r="A329" s="20" t="inlineStr">
        <is>
          <t>2019-02-21</t>
        </is>
      </c>
      <c r="B329" s="20" t="inlineStr">
        <is>
          <t>단일판매ㆍ공급계약체결</t>
        </is>
      </c>
      <c r="C329" s="20" t="inlineStr">
        <is>
          <t>에이디테크놀로지</t>
        </is>
      </c>
      <c r="D329" s="20" t="inlineStr">
        <is>
          <t>공급계약</t>
        </is>
      </c>
      <c r="E329" s="20" t="inlineStr"/>
      <c r="F329" s="20" t="inlineStr">
        <is>
          <t>20190221900096.html</t>
        </is>
      </c>
      <c r="G329" s="20" t="inlineStr">
        <is>
          <t>20190221900096</t>
        </is>
      </c>
      <c r="H329" s="21" t="inlineStr">
        <is>
          <t>열기</t>
        </is>
      </c>
    </row>
    <row r="330">
      <c r="A330" s="20" t="inlineStr">
        <is>
          <t>2019-02-20</t>
        </is>
      </c>
      <c r="B330" s="20" t="inlineStr">
        <is>
          <t>단일판매ㆍ공급계약체결</t>
        </is>
      </c>
      <c r="C330" s="20" t="inlineStr">
        <is>
          <t>에이디테크놀로지</t>
        </is>
      </c>
      <c r="D330" s="20" t="inlineStr">
        <is>
          <t>공급계약</t>
        </is>
      </c>
      <c r="E330" s="20" t="inlineStr"/>
      <c r="F330" s="20" t="inlineStr">
        <is>
          <t>20190220900087.html</t>
        </is>
      </c>
      <c r="G330" s="20" t="inlineStr">
        <is>
          <t>20190220900087</t>
        </is>
      </c>
      <c r="H330" s="21" t="inlineStr">
        <is>
          <t>열기</t>
        </is>
      </c>
    </row>
    <row r="331">
      <c r="A331" s="20" t="inlineStr">
        <is>
          <t>2019-02-15</t>
        </is>
      </c>
      <c r="B331" s="20" t="inlineStr">
        <is>
          <t>단일판매ㆍ공급계약체결</t>
        </is>
      </c>
      <c r="C331" s="20" t="inlineStr">
        <is>
          <t>에이디테크놀로지</t>
        </is>
      </c>
      <c r="D331" s="20" t="inlineStr">
        <is>
          <t>공급계약</t>
        </is>
      </c>
      <c r="E331" s="20" t="inlineStr"/>
      <c r="F331" s="20" t="inlineStr">
        <is>
          <t>20190215900515.html</t>
        </is>
      </c>
      <c r="G331" s="20" t="inlineStr">
        <is>
          <t>20190215900515</t>
        </is>
      </c>
      <c r="H331" s="21" t="inlineStr">
        <is>
          <t>열기</t>
        </is>
      </c>
    </row>
    <row r="332">
      <c r="A332" s="20" t="inlineStr">
        <is>
          <t>2019-02-01</t>
        </is>
      </c>
      <c r="B332" s="20" t="inlineStr">
        <is>
          <t>매출액또는손익구조30%(대규모법인은15%)이상변동</t>
        </is>
      </c>
      <c r="C332" s="20" t="inlineStr">
        <is>
          <t>에이디테크놀로지</t>
        </is>
      </c>
      <c r="D332" s="20" t="inlineStr">
        <is>
          <t>실적변동</t>
        </is>
      </c>
      <c r="E332" s="20" t="inlineStr"/>
      <c r="F332" s="20" t="inlineStr">
        <is>
          <t>20190201900499.html</t>
        </is>
      </c>
      <c r="G332" s="20" t="inlineStr">
        <is>
          <t>20190201900499</t>
        </is>
      </c>
      <c r="H332" s="21" t="inlineStr">
        <is>
          <t>열기</t>
        </is>
      </c>
    </row>
    <row r="333">
      <c r="A333" s="20" t="inlineStr">
        <is>
          <t>2019-01-31</t>
        </is>
      </c>
      <c r="B333" s="20" t="inlineStr">
        <is>
          <t>연결재무제표기준영업(잠정)실적(공정공시)</t>
        </is>
      </c>
      <c r="C333" s="20" t="inlineStr">
        <is>
          <t>에이디테크놀로지</t>
        </is>
      </c>
      <c r="D333" s="20" t="inlineStr">
        <is>
          <t>잠정실적</t>
        </is>
      </c>
      <c r="E333" s="20" t="inlineStr"/>
      <c r="F333" s="20" t="inlineStr">
        <is>
          <t>20190131900857.html</t>
        </is>
      </c>
      <c r="G333" s="20" t="inlineStr">
        <is>
          <t>20190131900857</t>
        </is>
      </c>
      <c r="H333" s="21" t="inlineStr">
        <is>
          <t>열기</t>
        </is>
      </c>
    </row>
    <row r="334">
      <c r="A334" s="20" t="inlineStr">
        <is>
          <t>2019-01-30</t>
        </is>
      </c>
      <c r="B334" s="20" t="inlineStr">
        <is>
          <t>[기재정정]단일판매ㆍ공급계약체결</t>
        </is>
      </c>
      <c r="C334" s="20" t="inlineStr">
        <is>
          <t>에이디테크놀로지</t>
        </is>
      </c>
      <c r="D334" s="20" t="inlineStr">
        <is>
          <t>공급계약</t>
        </is>
      </c>
      <c r="E334" s="20" t="inlineStr">
        <is>
          <t>정정</t>
        </is>
      </c>
      <c r="F334" s="20" t="inlineStr">
        <is>
          <t>원문 없음(DART 미제공)</t>
        </is>
      </c>
      <c r="G334" s="20" t="inlineStr">
        <is>
          <t>20190130900497</t>
        </is>
      </c>
      <c r="H334" s="21" t="inlineStr">
        <is>
          <t>열기</t>
        </is>
      </c>
    </row>
    <row r="335">
      <c r="A335" s="20" t="inlineStr">
        <is>
          <t>2019-01-15</t>
        </is>
      </c>
      <c r="B335" s="20" t="inlineStr">
        <is>
          <t>단일판매ㆍ공급계약체결</t>
        </is>
      </c>
      <c r="C335" s="20" t="inlineStr">
        <is>
          <t>에이디테크놀로지</t>
        </is>
      </c>
      <c r="D335" s="20" t="inlineStr">
        <is>
          <t>공급계약</t>
        </is>
      </c>
      <c r="E335" s="20" t="inlineStr"/>
      <c r="F335" s="20" t="inlineStr">
        <is>
          <t>20190115900331.html</t>
        </is>
      </c>
      <c r="G335" s="20" t="inlineStr">
        <is>
          <t>20190115900331</t>
        </is>
      </c>
      <c r="H335" s="21" t="inlineStr">
        <is>
          <t>열기</t>
        </is>
      </c>
    </row>
    <row r="336">
      <c r="A336" s="20" t="inlineStr">
        <is>
          <t>2018-12-26</t>
        </is>
      </c>
      <c r="B336" s="20" t="inlineStr">
        <is>
          <t>[기재정정]현금ㆍ현물배당결정</t>
        </is>
      </c>
      <c r="C336" s="20" t="inlineStr">
        <is>
          <t>에이디테크놀로지</t>
        </is>
      </c>
      <c r="D336" s="20" t="inlineStr">
        <is>
          <t>배당</t>
        </is>
      </c>
      <c r="E336" s="20" t="inlineStr">
        <is>
          <t>정정</t>
        </is>
      </c>
      <c r="F336" s="20" t="inlineStr">
        <is>
          <t>원문 없음(DART 미제공)</t>
        </is>
      </c>
      <c r="G336" s="20" t="inlineStr">
        <is>
          <t>20181226900508</t>
        </is>
      </c>
      <c r="H336" s="21" t="inlineStr">
        <is>
          <t>열기</t>
        </is>
      </c>
    </row>
    <row r="337">
      <c r="A337" s="20" t="inlineStr">
        <is>
          <t>2018-12-21</t>
        </is>
      </c>
      <c r="B337" s="20" t="inlineStr">
        <is>
          <t>[기재정정]단일판매ㆍ공급계약체결</t>
        </is>
      </c>
      <c r="C337" s="20" t="inlineStr">
        <is>
          <t>에이디테크놀로지</t>
        </is>
      </c>
      <c r="D337" s="20" t="inlineStr">
        <is>
          <t>공급계약</t>
        </is>
      </c>
      <c r="E337" s="20" t="inlineStr">
        <is>
          <t>정정</t>
        </is>
      </c>
      <c r="F337" s="20" t="inlineStr">
        <is>
          <t>원문 없음(DART 미제공)</t>
        </is>
      </c>
      <c r="G337" s="20" t="inlineStr">
        <is>
          <t>20181221900324</t>
        </is>
      </c>
      <c r="H337" s="21" t="inlineStr">
        <is>
          <t>열기</t>
        </is>
      </c>
    </row>
    <row r="338">
      <c r="A338" s="20" t="inlineStr">
        <is>
          <t>2018-12-17</t>
        </is>
      </c>
      <c r="B338" s="20" t="inlineStr">
        <is>
          <t>단기차입금감소결정(자율공시)</t>
        </is>
      </c>
      <c r="C338" s="20" t="inlineStr">
        <is>
          <t>에이디테크놀로지</t>
        </is>
      </c>
      <c r="D338" s="20" t="inlineStr">
        <is>
          <t>차입</t>
        </is>
      </c>
      <c r="E338" s="20" t="inlineStr"/>
      <c r="F338" s="20" t="inlineStr">
        <is>
          <t>20181217900546.html</t>
        </is>
      </c>
      <c r="G338" s="20" t="inlineStr">
        <is>
          <t>20181217900546</t>
        </is>
      </c>
      <c r="H338" s="21" t="inlineStr">
        <is>
          <t>열기</t>
        </is>
      </c>
    </row>
    <row r="339">
      <c r="A339" s="20" t="inlineStr">
        <is>
          <t>2018-12-17</t>
        </is>
      </c>
      <c r="B339" s="20" t="inlineStr">
        <is>
          <t>현금ㆍ현물배당결정</t>
        </is>
      </c>
      <c r="C339" s="20" t="inlineStr">
        <is>
          <t>에이디테크놀로지</t>
        </is>
      </c>
      <c r="D339" s="20" t="inlineStr">
        <is>
          <t>배당</t>
        </is>
      </c>
      <c r="E339" s="20" t="inlineStr"/>
      <c r="F339" s="20" t="inlineStr">
        <is>
          <t>20181217900388.html</t>
        </is>
      </c>
      <c r="G339" s="20" t="inlineStr">
        <is>
          <t>20181217900388</t>
        </is>
      </c>
      <c r="H339" s="21" t="inlineStr">
        <is>
          <t>열기</t>
        </is>
      </c>
    </row>
    <row r="340">
      <c r="A340" s="20" t="inlineStr">
        <is>
          <t>2018-12-14</t>
        </is>
      </c>
      <c r="B340" s="20" t="inlineStr">
        <is>
          <t>주주명부폐쇄기간또는기준일설정</t>
        </is>
      </c>
      <c r="C340" s="20" t="inlineStr">
        <is>
          <t>에이디테크놀로지</t>
        </is>
      </c>
      <c r="D340" s="20" t="inlineStr">
        <is>
          <t>경영권/주총</t>
        </is>
      </c>
      <c r="E340" s="20" t="inlineStr"/>
      <c r="F340" s="20" t="inlineStr">
        <is>
          <t>20181214900374.html</t>
        </is>
      </c>
      <c r="G340" s="20" t="inlineStr">
        <is>
          <t>20181214900374</t>
        </is>
      </c>
      <c r="H340" s="21" t="inlineStr">
        <is>
          <t>열기</t>
        </is>
      </c>
    </row>
    <row r="341">
      <c r="A341" s="20" t="inlineStr">
        <is>
          <t>2018-12-11</t>
        </is>
      </c>
      <c r="B341" s="20" t="inlineStr">
        <is>
          <t>단일판매ㆍ공급계약체결</t>
        </is>
      </c>
      <c r="C341" s="20" t="inlineStr">
        <is>
          <t>에이디테크놀로지</t>
        </is>
      </c>
      <c r="D341" s="20" t="inlineStr">
        <is>
          <t>공급계약</t>
        </is>
      </c>
      <c r="E341" s="20" t="inlineStr"/>
      <c r="F341" s="20" t="inlineStr">
        <is>
          <t>20181211900333.html</t>
        </is>
      </c>
      <c r="G341" s="20" t="inlineStr">
        <is>
          <t>20181211900333</t>
        </is>
      </c>
      <c r="H341" s="21" t="inlineStr">
        <is>
          <t>열기</t>
        </is>
      </c>
    </row>
    <row r="342">
      <c r="A342" s="20" t="inlineStr">
        <is>
          <t>2018-11-28</t>
        </is>
      </c>
      <c r="B342" s="20" t="inlineStr">
        <is>
          <t>주식등의대량보유상황보고서(일반)</t>
        </is>
      </c>
      <c r="C342" s="20" t="inlineStr">
        <is>
          <t>김준석</t>
        </is>
      </c>
      <c r="D342" s="20" t="inlineStr">
        <is>
          <t>5% 대량보유</t>
        </is>
      </c>
      <c r="E342" s="20" t="inlineStr"/>
      <c r="F342" s="20" t="inlineStr">
        <is>
          <t>20181128000122.html</t>
        </is>
      </c>
      <c r="G342" s="20" t="inlineStr">
        <is>
          <t>20181128000122</t>
        </is>
      </c>
      <c r="H342" s="21" t="inlineStr">
        <is>
          <t>열기</t>
        </is>
      </c>
    </row>
    <row r="343">
      <c r="A343" s="20" t="inlineStr">
        <is>
          <t>2018-11-22</t>
        </is>
      </c>
      <c r="B343" s="20" t="inlineStr">
        <is>
          <t>주식등의대량보유상황보고서(일반)</t>
        </is>
      </c>
      <c r="C343" s="20" t="inlineStr">
        <is>
          <t>김준석</t>
        </is>
      </c>
      <c r="D343" s="20" t="inlineStr">
        <is>
          <t>5% 대량보유</t>
        </is>
      </c>
      <c r="E343" s="20" t="inlineStr"/>
      <c r="F343" s="20" t="inlineStr">
        <is>
          <t>20181122000003.html</t>
        </is>
      </c>
      <c r="G343" s="20" t="inlineStr">
        <is>
          <t>20181122000003</t>
        </is>
      </c>
      <c r="H343" s="21" t="inlineStr">
        <is>
          <t>열기</t>
        </is>
      </c>
    </row>
    <row r="344">
      <c r="A344" s="20" t="inlineStr">
        <is>
          <t>2018-11-22</t>
        </is>
      </c>
      <c r="B344" s="20" t="inlineStr">
        <is>
          <t>임원ㆍ주요주주특정증권등소유상황보고서</t>
        </is>
      </c>
      <c r="C344" s="20" t="inlineStr">
        <is>
          <t>김준석</t>
        </is>
      </c>
      <c r="D344" s="20" t="inlineStr">
        <is>
          <t>임원 소유상황/거래계획</t>
        </is>
      </c>
      <c r="E344" s="20" t="inlineStr"/>
      <c r="F344" s="20" t="inlineStr">
        <is>
          <t>20181122000002.html</t>
        </is>
      </c>
      <c r="G344" s="20" t="inlineStr">
        <is>
          <t>20181122000002</t>
        </is>
      </c>
      <c r="H344" s="21" t="inlineStr">
        <is>
          <t>열기</t>
        </is>
      </c>
    </row>
    <row r="345">
      <c r="A345" s="20" t="inlineStr">
        <is>
          <t>2018-11-15</t>
        </is>
      </c>
      <c r="B345" s="20" t="inlineStr">
        <is>
          <t>단일판매ㆍ공급계약체결</t>
        </is>
      </c>
      <c r="C345" s="20" t="inlineStr">
        <is>
          <t>에이디테크놀로지</t>
        </is>
      </c>
      <c r="D345" s="20" t="inlineStr">
        <is>
          <t>공급계약</t>
        </is>
      </c>
      <c r="E345" s="20" t="inlineStr"/>
      <c r="F345" s="20" t="inlineStr">
        <is>
          <t>20181115900265.html</t>
        </is>
      </c>
      <c r="G345" s="20" t="inlineStr">
        <is>
          <t>20181115900265</t>
        </is>
      </c>
      <c r="H345" s="21" t="inlineStr">
        <is>
          <t>열기</t>
        </is>
      </c>
    </row>
    <row r="346">
      <c r="A346" s="20" t="inlineStr">
        <is>
          <t>2018-11-14</t>
        </is>
      </c>
      <c r="B346" s="20" t="inlineStr">
        <is>
          <t>단일판매ㆍ공급계약체결</t>
        </is>
      </c>
      <c r="C346" s="20" t="inlineStr">
        <is>
          <t>에이디테크놀로지</t>
        </is>
      </c>
      <c r="D346" s="20" t="inlineStr">
        <is>
          <t>공급계약</t>
        </is>
      </c>
      <c r="E346" s="20" t="inlineStr"/>
      <c r="F346" s="20" t="inlineStr">
        <is>
          <t>20181114900666.html</t>
        </is>
      </c>
      <c r="G346" s="20" t="inlineStr">
        <is>
          <t>20181114900666</t>
        </is>
      </c>
      <c r="H346" s="21" t="inlineStr">
        <is>
          <t>열기</t>
        </is>
      </c>
    </row>
    <row r="347">
      <c r="A347" s="20" t="inlineStr">
        <is>
          <t>2018-11-12</t>
        </is>
      </c>
      <c r="B347" s="20" t="inlineStr">
        <is>
          <t>분기보고서 (2018.09)</t>
        </is>
      </c>
      <c r="C347" s="20" t="inlineStr">
        <is>
          <t>에이디테크놀로지</t>
        </is>
      </c>
      <c r="D347" s="20" t="inlineStr">
        <is>
          <t>정기보고서</t>
        </is>
      </c>
      <c r="E347" s="20" t="inlineStr"/>
      <c r="F347" s="20" t="inlineStr">
        <is>
          <t>20181112000285.html</t>
        </is>
      </c>
      <c r="G347" s="20" t="inlineStr">
        <is>
          <t>20181112000285</t>
        </is>
      </c>
      <c r="H347" s="21" t="inlineStr">
        <is>
          <t>열기</t>
        </is>
      </c>
    </row>
    <row r="348">
      <c r="A348" s="20" t="inlineStr">
        <is>
          <t>2018-10-30</t>
        </is>
      </c>
      <c r="B348" s="20" t="inlineStr">
        <is>
          <t>[기재정정]단일판매ㆍ공급계약체결</t>
        </is>
      </c>
      <c r="C348" s="20" t="inlineStr">
        <is>
          <t>에이디테크놀로지</t>
        </is>
      </c>
      <c r="D348" s="20" t="inlineStr">
        <is>
          <t>공급계약</t>
        </is>
      </c>
      <c r="E348" s="20" t="inlineStr">
        <is>
          <t>정정</t>
        </is>
      </c>
      <c r="F348" s="20" t="inlineStr">
        <is>
          <t>원문 없음(DART 미제공)</t>
        </is>
      </c>
      <c r="G348" s="20" t="inlineStr">
        <is>
          <t>20181030900747</t>
        </is>
      </c>
      <c r="H348" s="21" t="inlineStr">
        <is>
          <t>열기</t>
        </is>
      </c>
    </row>
    <row r="349">
      <c r="A349" s="20" t="inlineStr">
        <is>
          <t>2018-10-30</t>
        </is>
      </c>
      <c r="B349" s="20" t="inlineStr">
        <is>
          <t>[기재정정]단일판매ㆍ공급계약체결</t>
        </is>
      </c>
      <c r="C349" s="20" t="inlineStr">
        <is>
          <t>에이디테크놀로지</t>
        </is>
      </c>
      <c r="D349" s="20" t="inlineStr">
        <is>
          <t>공급계약</t>
        </is>
      </c>
      <c r="E349" s="20" t="inlineStr">
        <is>
          <t>정정</t>
        </is>
      </c>
      <c r="F349" s="20" t="inlineStr">
        <is>
          <t>원문 없음(DART 미제공)</t>
        </is>
      </c>
      <c r="G349" s="20" t="inlineStr">
        <is>
          <t>20181030900161</t>
        </is>
      </c>
      <c r="H349" s="21" t="inlineStr">
        <is>
          <t>열기</t>
        </is>
      </c>
    </row>
    <row r="350">
      <c r="A350" s="20" t="inlineStr">
        <is>
          <t>2018-10-12</t>
        </is>
      </c>
      <c r="B350" s="20" t="inlineStr">
        <is>
          <t>[기재정정]단일판매ㆍ공급계약체결</t>
        </is>
      </c>
      <c r="C350" s="20" t="inlineStr">
        <is>
          <t>에이디테크놀로지</t>
        </is>
      </c>
      <c r="D350" s="20" t="inlineStr">
        <is>
          <t>공급계약</t>
        </is>
      </c>
      <c r="E350" s="20" t="inlineStr">
        <is>
          <t>정정</t>
        </is>
      </c>
      <c r="F350" s="20" t="inlineStr">
        <is>
          <t>원문 없음(DART 미제공)</t>
        </is>
      </c>
      <c r="G350" s="20" t="inlineStr">
        <is>
          <t>20181012900459</t>
        </is>
      </c>
      <c r="H350" s="21" t="inlineStr">
        <is>
          <t>열기</t>
        </is>
      </c>
    </row>
    <row r="351">
      <c r="A351" s="20" t="inlineStr">
        <is>
          <t>2018-10-12</t>
        </is>
      </c>
      <c r="B351" s="20" t="inlineStr">
        <is>
          <t>[기재정정]단일판매ㆍ공급계약체결</t>
        </is>
      </c>
      <c r="C351" s="20" t="inlineStr">
        <is>
          <t>에이디테크놀로지</t>
        </is>
      </c>
      <c r="D351" s="20" t="inlineStr">
        <is>
          <t>공급계약</t>
        </is>
      </c>
      <c r="E351" s="20" t="inlineStr">
        <is>
          <t>정정</t>
        </is>
      </c>
      <c r="F351" s="20" t="inlineStr">
        <is>
          <t>원문 없음(DART 미제공)</t>
        </is>
      </c>
      <c r="G351" s="20" t="inlineStr">
        <is>
          <t>20181012900457</t>
        </is>
      </c>
      <c r="H351" s="21" t="inlineStr">
        <is>
          <t>열기</t>
        </is>
      </c>
    </row>
    <row r="352">
      <c r="A352" s="20" t="inlineStr">
        <is>
          <t>2018-10-12</t>
        </is>
      </c>
      <c r="B352" s="20" t="inlineStr">
        <is>
          <t>[기재정정]단일판매ㆍ공급계약체결</t>
        </is>
      </c>
      <c r="C352" s="20" t="inlineStr">
        <is>
          <t>에이디테크놀로지</t>
        </is>
      </c>
      <c r="D352" s="20" t="inlineStr">
        <is>
          <t>공급계약</t>
        </is>
      </c>
      <c r="E352" s="20" t="inlineStr">
        <is>
          <t>정정</t>
        </is>
      </c>
      <c r="F352" s="20" t="inlineStr">
        <is>
          <t>원문 없음(DART 미제공)</t>
        </is>
      </c>
      <c r="G352" s="20" t="inlineStr">
        <is>
          <t>20181012900452</t>
        </is>
      </c>
      <c r="H352" s="21" t="inlineStr">
        <is>
          <t>열기</t>
        </is>
      </c>
    </row>
    <row r="353">
      <c r="A353" s="20" t="inlineStr">
        <is>
          <t>2018-10-12</t>
        </is>
      </c>
      <c r="B353" s="20" t="inlineStr">
        <is>
          <t>단기차입금증가결정</t>
        </is>
      </c>
      <c r="C353" s="20" t="inlineStr">
        <is>
          <t>에이디테크놀로지</t>
        </is>
      </c>
      <c r="D353" s="20" t="inlineStr">
        <is>
          <t>차입</t>
        </is>
      </c>
      <c r="E353" s="20" t="inlineStr"/>
      <c r="F353" s="20" t="inlineStr">
        <is>
          <t>20181012900442.html</t>
        </is>
      </c>
      <c r="G353" s="20" t="inlineStr">
        <is>
          <t>20181012900442</t>
        </is>
      </c>
      <c r="H353" s="21" t="inlineStr">
        <is>
          <t>열기</t>
        </is>
      </c>
    </row>
    <row r="354">
      <c r="A354" s="20" t="inlineStr">
        <is>
          <t>2018-10-10</t>
        </is>
      </c>
      <c r="B354" s="20" t="inlineStr">
        <is>
          <t>단일판매ㆍ공급계약체결</t>
        </is>
      </c>
      <c r="C354" s="20" t="inlineStr">
        <is>
          <t>에이디테크놀로지</t>
        </is>
      </c>
      <c r="D354" s="20" t="inlineStr">
        <is>
          <t>공급계약</t>
        </is>
      </c>
      <c r="E354" s="20" t="inlineStr"/>
      <c r="F354" s="20" t="inlineStr">
        <is>
          <t>20181010900534.html</t>
        </is>
      </c>
      <c r="G354" s="20" t="inlineStr">
        <is>
          <t>20181010900534</t>
        </is>
      </c>
      <c r="H354" s="21" t="inlineStr">
        <is>
          <t>열기</t>
        </is>
      </c>
    </row>
    <row r="355">
      <c r="A355" s="20" t="inlineStr">
        <is>
          <t>2018-09-27</t>
        </is>
      </c>
      <c r="B355" s="20" t="inlineStr">
        <is>
          <t>[기재정정]단일판매ㆍ공급계약체결</t>
        </is>
      </c>
      <c r="C355" s="20" t="inlineStr">
        <is>
          <t>에이디테크놀로지</t>
        </is>
      </c>
      <c r="D355" s="20" t="inlineStr">
        <is>
          <t>공급계약</t>
        </is>
      </c>
      <c r="E355" s="20" t="inlineStr">
        <is>
          <t>정정</t>
        </is>
      </c>
      <c r="F355" s="20" t="inlineStr">
        <is>
          <t>원문 없음(DART 미제공)</t>
        </is>
      </c>
      <c r="G355" s="20" t="inlineStr">
        <is>
          <t>20180927900293</t>
        </is>
      </c>
      <c r="H355" s="21" t="inlineStr">
        <is>
          <t>열기</t>
        </is>
      </c>
    </row>
    <row r="356">
      <c r="A356" s="20" t="inlineStr">
        <is>
          <t>2018-09-03</t>
        </is>
      </c>
      <c r="B356" s="20" t="inlineStr">
        <is>
          <t>[기재정정]단일판매ㆍ공급계약체결</t>
        </is>
      </c>
      <c r="C356" s="20" t="inlineStr">
        <is>
          <t>에이디테크놀로지</t>
        </is>
      </c>
      <c r="D356" s="20" t="inlineStr">
        <is>
          <t>공급계약</t>
        </is>
      </c>
      <c r="E356" s="20" t="inlineStr">
        <is>
          <t>정정</t>
        </is>
      </c>
      <c r="F356" s="20" t="inlineStr">
        <is>
          <t>원문 없음(DART 미제공)</t>
        </is>
      </c>
      <c r="G356" s="20" t="inlineStr">
        <is>
          <t>20180903900527</t>
        </is>
      </c>
      <c r="H356" s="21" t="inlineStr">
        <is>
          <t>열기</t>
        </is>
      </c>
    </row>
    <row r="357">
      <c r="A357" s="20" t="inlineStr">
        <is>
          <t>2018-08-31</t>
        </is>
      </c>
      <c r="B357" s="20" t="inlineStr">
        <is>
          <t>단일판매ㆍ공급계약체결</t>
        </is>
      </c>
      <c r="C357" s="20" t="inlineStr">
        <is>
          <t>에이디테크놀로지</t>
        </is>
      </c>
      <c r="D357" s="20" t="inlineStr">
        <is>
          <t>공급계약</t>
        </is>
      </c>
      <c r="E357" s="20" t="inlineStr"/>
      <c r="F357" s="20" t="inlineStr">
        <is>
          <t>20180831900170.html</t>
        </is>
      </c>
      <c r="G357" s="20" t="inlineStr">
        <is>
          <t>20180831900170</t>
        </is>
      </c>
      <c r="H357" s="21" t="inlineStr">
        <is>
          <t>열기</t>
        </is>
      </c>
    </row>
    <row r="358">
      <c r="A358" s="20" t="inlineStr">
        <is>
          <t>2018-08-14</t>
        </is>
      </c>
      <c r="B358" s="20" t="inlineStr">
        <is>
          <t>반기보고서 (2018.06)</t>
        </is>
      </c>
      <c r="C358" s="20" t="inlineStr">
        <is>
          <t>에이디테크놀로지</t>
        </is>
      </c>
      <c r="D358" s="20" t="inlineStr">
        <is>
          <t>정기보고서</t>
        </is>
      </c>
      <c r="E358" s="20" t="inlineStr"/>
      <c r="F358" s="20" t="inlineStr">
        <is>
          <t>20180814000486.html</t>
        </is>
      </c>
      <c r="G358" s="20" t="inlineStr">
        <is>
          <t>20180814000486</t>
        </is>
      </c>
      <c r="H358" s="21" t="inlineStr">
        <is>
          <t>열기</t>
        </is>
      </c>
    </row>
    <row r="359">
      <c r="A359" s="20" t="inlineStr">
        <is>
          <t>2018-07-31</t>
        </is>
      </c>
      <c r="B359" s="20" t="inlineStr">
        <is>
          <t>[기재정정]단일판매ㆍ공급계약체결</t>
        </is>
      </c>
      <c r="C359" s="20" t="inlineStr">
        <is>
          <t>에이디테크놀로지</t>
        </is>
      </c>
      <c r="D359" s="20" t="inlineStr">
        <is>
          <t>공급계약</t>
        </is>
      </c>
      <c r="E359" s="20" t="inlineStr">
        <is>
          <t>정정</t>
        </is>
      </c>
      <c r="F359" s="20" t="inlineStr">
        <is>
          <t>원문 없음(DART 미제공)</t>
        </is>
      </c>
      <c r="G359" s="20" t="inlineStr">
        <is>
          <t>20180731900325</t>
        </is>
      </c>
      <c r="H359" s="21" t="inlineStr">
        <is>
          <t>열기</t>
        </is>
      </c>
    </row>
    <row r="360">
      <c r="A360" s="20" t="inlineStr">
        <is>
          <t>2018-07-27</t>
        </is>
      </c>
      <c r="B360" s="20" t="inlineStr">
        <is>
          <t>영업(잠정)실적(공정공시)</t>
        </is>
      </c>
      <c r="C360" s="20" t="inlineStr">
        <is>
          <t>에이디테크놀로지</t>
        </is>
      </c>
      <c r="D360" s="20" t="inlineStr">
        <is>
          <t>잠정실적</t>
        </is>
      </c>
      <c r="E360" s="20" t="inlineStr"/>
      <c r="F360" s="20" t="inlineStr">
        <is>
          <t>20180727900443.html</t>
        </is>
      </c>
      <c r="G360" s="20" t="inlineStr">
        <is>
          <t>20180727900443</t>
        </is>
      </c>
      <c r="H360" s="21" t="inlineStr">
        <is>
          <t>열기</t>
        </is>
      </c>
    </row>
    <row r="361">
      <c r="A361" s="20" t="inlineStr">
        <is>
          <t>2018-07-19</t>
        </is>
      </c>
      <c r="B361" s="20" t="inlineStr">
        <is>
          <t>기타경영사항(특허권취득)(자율공시)</t>
        </is>
      </c>
      <c r="C361" s="20" t="inlineStr">
        <is>
          <t>에이디테크놀로지</t>
        </is>
      </c>
      <c r="D361" s="20" t="inlineStr">
        <is>
          <t>특허</t>
        </is>
      </c>
      <c r="E361" s="20" t="inlineStr"/>
      <c r="F361" s="20" t="inlineStr">
        <is>
          <t>20180719900272.html</t>
        </is>
      </c>
      <c r="G361" s="20" t="inlineStr">
        <is>
          <t>20180719900272</t>
        </is>
      </c>
      <c r="H361" s="21" t="inlineStr">
        <is>
          <t>열기</t>
        </is>
      </c>
    </row>
    <row r="362">
      <c r="A362" s="20" t="inlineStr">
        <is>
          <t>2018-06-28</t>
        </is>
      </c>
      <c r="B362" s="20" t="inlineStr">
        <is>
          <t>[기재정정]단일판매ㆍ공급계약체결</t>
        </is>
      </c>
      <c r="C362" s="20" t="inlineStr">
        <is>
          <t>에이디테크놀로지</t>
        </is>
      </c>
      <c r="D362" s="20" t="inlineStr">
        <is>
          <t>공급계약</t>
        </is>
      </c>
      <c r="E362" s="20" t="inlineStr">
        <is>
          <t>정정</t>
        </is>
      </c>
      <c r="F362" s="20" t="inlineStr">
        <is>
          <t>원문 없음(DART 미제공)</t>
        </is>
      </c>
      <c r="G362" s="20" t="inlineStr">
        <is>
          <t>20180628900746</t>
        </is>
      </c>
      <c r="H362" s="21" t="inlineStr">
        <is>
          <t>열기</t>
        </is>
      </c>
    </row>
    <row r="363">
      <c r="A363" s="20" t="inlineStr">
        <is>
          <t>2018-06-21</t>
        </is>
      </c>
      <c r="B363" s="20" t="inlineStr">
        <is>
          <t>[기재정정]단일판매ㆍ공급계약체결</t>
        </is>
      </c>
      <c r="C363" s="20" t="inlineStr">
        <is>
          <t>에이디테크놀로지</t>
        </is>
      </c>
      <c r="D363" s="20" t="inlineStr">
        <is>
          <t>공급계약</t>
        </is>
      </c>
      <c r="E363" s="20" t="inlineStr">
        <is>
          <t>정정</t>
        </is>
      </c>
      <c r="F363" s="20" t="inlineStr">
        <is>
          <t>원문 없음(DART 미제공)</t>
        </is>
      </c>
      <c r="G363" s="20" t="inlineStr">
        <is>
          <t>20180621900368</t>
        </is>
      </c>
      <c r="H363" s="21" t="inlineStr">
        <is>
          <t>열기</t>
        </is>
      </c>
    </row>
    <row r="364">
      <c r="A364" s="20" t="inlineStr">
        <is>
          <t>2018-06-21</t>
        </is>
      </c>
      <c r="B364" s="20" t="inlineStr">
        <is>
          <t>[기재정정]단일판매ㆍ공급계약체결</t>
        </is>
      </c>
      <c r="C364" s="20" t="inlineStr">
        <is>
          <t>에이디테크놀로지</t>
        </is>
      </c>
      <c r="D364" s="20" t="inlineStr">
        <is>
          <t>공급계약</t>
        </is>
      </c>
      <c r="E364" s="20" t="inlineStr">
        <is>
          <t>정정</t>
        </is>
      </c>
      <c r="F364" s="20" t="inlineStr">
        <is>
          <t>원문 없음(DART 미제공)</t>
        </is>
      </c>
      <c r="G364" s="20" t="inlineStr">
        <is>
          <t>20180621900365</t>
        </is>
      </c>
      <c r="H364" s="21" t="inlineStr">
        <is>
          <t>열기</t>
        </is>
      </c>
    </row>
    <row r="365">
      <c r="A365" s="20" t="inlineStr">
        <is>
          <t>2018-06-14</t>
        </is>
      </c>
      <c r="B365" s="20" t="inlineStr">
        <is>
          <t>단일판매ㆍ공급계약체결</t>
        </is>
      </c>
      <c r="C365" s="20" t="inlineStr">
        <is>
          <t>에이디테크놀로지</t>
        </is>
      </c>
      <c r="D365" s="20" t="inlineStr">
        <is>
          <t>공급계약</t>
        </is>
      </c>
      <c r="E365" s="20" t="inlineStr"/>
      <c r="F365" s="20" t="inlineStr">
        <is>
          <t>20180614900062.html</t>
        </is>
      </c>
      <c r="G365" s="20" t="inlineStr">
        <is>
          <t>20180614900062</t>
        </is>
      </c>
      <c r="H365" s="21" t="inlineStr">
        <is>
          <t>열기</t>
        </is>
      </c>
    </row>
    <row r="366">
      <c r="A366" s="20" t="inlineStr">
        <is>
          <t>2018-05-28</t>
        </is>
      </c>
      <c r="B366" s="20" t="inlineStr">
        <is>
          <t>[기재정정]단일판매ㆍ공급계약체결</t>
        </is>
      </c>
      <c r="C366" s="20" t="inlineStr">
        <is>
          <t>에이디테크놀로지</t>
        </is>
      </c>
      <c r="D366" s="20" t="inlineStr">
        <is>
          <t>공급계약</t>
        </is>
      </c>
      <c r="E366" s="20" t="inlineStr">
        <is>
          <t>정정</t>
        </is>
      </c>
      <c r="F366" s="20" t="inlineStr">
        <is>
          <t>원문 없음(DART 미제공)</t>
        </is>
      </c>
      <c r="G366" s="20" t="inlineStr">
        <is>
          <t>20180528900401</t>
        </is>
      </c>
      <c r="H366" s="21" t="inlineStr">
        <is>
          <t>열기</t>
        </is>
      </c>
    </row>
    <row r="367">
      <c r="A367" s="20" t="inlineStr">
        <is>
          <t>2018-05-15</t>
        </is>
      </c>
      <c r="B367" s="20" t="inlineStr">
        <is>
          <t>분기보고서 (2018.03)</t>
        </is>
      </c>
      <c r="C367" s="20" t="inlineStr">
        <is>
          <t>에이디테크놀로지</t>
        </is>
      </c>
      <c r="D367" s="20" t="inlineStr">
        <is>
          <t>정기보고서</t>
        </is>
      </c>
      <c r="E367" s="20" t="inlineStr"/>
      <c r="F367" s="20" t="inlineStr">
        <is>
          <t>20180515001058.html</t>
        </is>
      </c>
      <c r="G367" s="20" t="inlineStr">
        <is>
          <t>20180515001058</t>
        </is>
      </c>
      <c r="H367" s="21" t="inlineStr">
        <is>
          <t>열기</t>
        </is>
      </c>
    </row>
    <row r="368">
      <c r="A368" s="20" t="inlineStr">
        <is>
          <t>2018-04-30</t>
        </is>
      </c>
      <c r="B368" s="20" t="inlineStr">
        <is>
          <t>[기재정정]단일판매ㆍ공급계약체결</t>
        </is>
      </c>
      <c r="C368" s="20" t="inlineStr">
        <is>
          <t>에이디테크놀로지</t>
        </is>
      </c>
      <c r="D368" s="20" t="inlineStr">
        <is>
          <t>공급계약</t>
        </is>
      </c>
      <c r="E368" s="20" t="inlineStr">
        <is>
          <t>정정</t>
        </is>
      </c>
      <c r="F368" s="20" t="inlineStr">
        <is>
          <t>원문 없음(DART 미제공)</t>
        </is>
      </c>
      <c r="G368" s="20" t="inlineStr">
        <is>
          <t>20180430900690</t>
        </is>
      </c>
      <c r="H368" s="21" t="inlineStr">
        <is>
          <t>열기</t>
        </is>
      </c>
    </row>
    <row r="369">
      <c r="A369" s="20" t="inlineStr">
        <is>
          <t>2018-04-25</t>
        </is>
      </c>
      <c r="B369" s="20" t="inlineStr">
        <is>
          <t>[기재정정]단일판매ㆍ공급계약체결</t>
        </is>
      </c>
      <c r="C369" s="20" t="inlineStr">
        <is>
          <t>에이디테크놀로지</t>
        </is>
      </c>
      <c r="D369" s="20" t="inlineStr">
        <is>
          <t>공급계약</t>
        </is>
      </c>
      <c r="E369" s="20" t="inlineStr">
        <is>
          <t>정정</t>
        </is>
      </c>
      <c r="F369" s="20" t="inlineStr">
        <is>
          <t>원문 없음(DART 미제공)</t>
        </is>
      </c>
      <c r="G369" s="20" t="inlineStr">
        <is>
          <t>20180425900606</t>
        </is>
      </c>
      <c r="H369" s="21" t="inlineStr">
        <is>
          <t>열기</t>
        </is>
      </c>
    </row>
    <row r="370">
      <c r="A370" s="20" t="inlineStr">
        <is>
          <t>2018-04-25</t>
        </is>
      </c>
      <c r="B370" s="20" t="inlineStr">
        <is>
          <t>[기재정정]단일판매ㆍ공급계약체결</t>
        </is>
      </c>
      <c r="C370" s="20" t="inlineStr">
        <is>
          <t>에이디테크놀로지</t>
        </is>
      </c>
      <c r="D370" s="20" t="inlineStr">
        <is>
          <t>공급계약</t>
        </is>
      </c>
      <c r="E370" s="20" t="inlineStr">
        <is>
          <t>정정</t>
        </is>
      </c>
      <c r="F370" s="20" t="inlineStr">
        <is>
          <t>원문 없음(DART 미제공)</t>
        </is>
      </c>
      <c r="G370" s="20" t="inlineStr">
        <is>
          <t>20180425900603</t>
        </is>
      </c>
      <c r="H370" s="21" t="inlineStr">
        <is>
          <t>열기</t>
        </is>
      </c>
    </row>
    <row r="371">
      <c r="A371" s="20" t="inlineStr">
        <is>
          <t>2018-04-13</t>
        </is>
      </c>
      <c r="B371" s="20" t="inlineStr">
        <is>
          <t>단일판매ㆍ공급계약체결</t>
        </is>
      </c>
      <c r="C371" s="20" t="inlineStr">
        <is>
          <t>에이디테크놀로지</t>
        </is>
      </c>
      <c r="D371" s="20" t="inlineStr">
        <is>
          <t>공급계약</t>
        </is>
      </c>
      <c r="E371" s="20" t="inlineStr"/>
      <c r="F371" s="20" t="inlineStr">
        <is>
          <t>20180413900073.html</t>
        </is>
      </c>
      <c r="G371" s="20" t="inlineStr">
        <is>
          <t>20180413900073</t>
        </is>
      </c>
      <c r="H371" s="21" t="inlineStr">
        <is>
          <t>열기</t>
        </is>
      </c>
    </row>
    <row r="372">
      <c r="A372" s="20" t="inlineStr">
        <is>
          <t>2018-04-05</t>
        </is>
      </c>
      <c r="B372" s="20" t="inlineStr">
        <is>
          <t>[기재정정]단일판매ㆍ공급계약체결</t>
        </is>
      </c>
      <c r="C372" s="20" t="inlineStr">
        <is>
          <t>에이디테크놀로지</t>
        </is>
      </c>
      <c r="D372" s="20" t="inlineStr">
        <is>
          <t>공급계약</t>
        </is>
      </c>
      <c r="E372" s="20" t="inlineStr">
        <is>
          <t>정정</t>
        </is>
      </c>
      <c r="F372" s="20" t="inlineStr">
        <is>
          <t>원문 없음(DART 미제공)</t>
        </is>
      </c>
      <c r="G372" s="20" t="inlineStr">
        <is>
          <t>20180405900713</t>
        </is>
      </c>
      <c r="H372" s="21" t="inlineStr">
        <is>
          <t>열기</t>
        </is>
      </c>
    </row>
    <row r="373">
      <c r="A373" s="20" t="inlineStr">
        <is>
          <t>2018-04-05</t>
        </is>
      </c>
      <c r="B373" s="20" t="inlineStr">
        <is>
          <t>[기재정정]단일판매ㆍ공급계약체결</t>
        </is>
      </c>
      <c r="C373" s="20" t="inlineStr">
        <is>
          <t>에이디테크놀로지</t>
        </is>
      </c>
      <c r="D373" s="20" t="inlineStr">
        <is>
          <t>공급계약</t>
        </is>
      </c>
      <c r="E373" s="20" t="inlineStr">
        <is>
          <t>정정</t>
        </is>
      </c>
      <c r="F373" s="20" t="inlineStr">
        <is>
          <t>원문 없음(DART 미제공)</t>
        </is>
      </c>
      <c r="G373" s="20" t="inlineStr">
        <is>
          <t>20180405900412</t>
        </is>
      </c>
      <c r="H373" s="21" t="inlineStr">
        <is>
          <t>열기</t>
        </is>
      </c>
    </row>
    <row r="374">
      <c r="A374" s="20" t="inlineStr">
        <is>
          <t>2018-04-02</t>
        </is>
      </c>
      <c r="B374" s="20" t="inlineStr">
        <is>
          <t>사업보고서 (2017.12)</t>
        </is>
      </c>
      <c r="C374" s="20" t="inlineStr">
        <is>
          <t>에이디테크놀로지</t>
        </is>
      </c>
      <c r="D374" s="20" t="inlineStr">
        <is>
          <t>정기보고서</t>
        </is>
      </c>
      <c r="E374" s="20" t="inlineStr"/>
      <c r="F374" s="20" t="inlineStr">
        <is>
          <t>20180402003153.html</t>
        </is>
      </c>
      <c r="G374" s="20" t="inlineStr">
        <is>
          <t>20180402003153</t>
        </is>
      </c>
      <c r="H374" s="21" t="inlineStr">
        <is>
          <t>열기</t>
        </is>
      </c>
    </row>
    <row r="375">
      <c r="A375" s="20" t="inlineStr">
        <is>
          <t>2018-03-26</t>
        </is>
      </c>
      <c r="B375" s="20" t="inlineStr">
        <is>
          <t>정기주주총회결과</t>
        </is>
      </c>
      <c r="C375" s="20" t="inlineStr">
        <is>
          <t>에이디테크놀로지</t>
        </is>
      </c>
      <c r="D375" s="20" t="inlineStr">
        <is>
          <t>경영권/주총</t>
        </is>
      </c>
      <c r="E375" s="20" t="inlineStr"/>
      <c r="F375" s="20" t="inlineStr">
        <is>
          <t>20180326900661.html</t>
        </is>
      </c>
      <c r="G375" s="20" t="inlineStr">
        <is>
          <t>20180326900661</t>
        </is>
      </c>
      <c r="H375" s="21" t="inlineStr">
        <is>
          <t>열기</t>
        </is>
      </c>
    </row>
    <row r="376">
      <c r="A376" s="20" t="inlineStr">
        <is>
          <t>2018-03-16</t>
        </is>
      </c>
      <c r="B376" s="20" t="inlineStr">
        <is>
          <t>감사보고서제출</t>
        </is>
      </c>
      <c r="C376" s="20" t="inlineStr">
        <is>
          <t>에이디테크놀로지</t>
        </is>
      </c>
      <c r="D376" s="20" t="inlineStr">
        <is>
          <t>감사보고서</t>
        </is>
      </c>
      <c r="E376" s="20" t="inlineStr"/>
      <c r="F376" s="20" t="inlineStr">
        <is>
          <t>20180316900708.html</t>
        </is>
      </c>
      <c r="G376" s="20" t="inlineStr">
        <is>
          <t>20180316900708</t>
        </is>
      </c>
      <c r="H376" s="21" t="inlineStr">
        <is>
          <t>열기</t>
        </is>
      </c>
    </row>
    <row r="377">
      <c r="A377" s="20" t="inlineStr">
        <is>
          <t>2018-03-16</t>
        </is>
      </c>
      <c r="B377" s="20" t="inlineStr">
        <is>
          <t>단일판매ㆍ공급계약체결</t>
        </is>
      </c>
      <c r="C377" s="20" t="inlineStr">
        <is>
          <t>에이디테크놀로지</t>
        </is>
      </c>
      <c r="D377" s="20" t="inlineStr">
        <is>
          <t>공급계약</t>
        </is>
      </c>
      <c r="E377" s="20" t="inlineStr"/>
      <c r="F377" s="20" t="inlineStr">
        <is>
          <t>20180316900107.html</t>
        </is>
      </c>
      <c r="G377" s="20" t="inlineStr">
        <is>
          <t>20180316900107</t>
        </is>
      </c>
      <c r="H377" s="21" t="inlineStr">
        <is>
          <t>열기</t>
        </is>
      </c>
    </row>
    <row r="378">
      <c r="A378" s="20" t="inlineStr">
        <is>
          <t>2018-03-09</t>
        </is>
      </c>
      <c r="B378" s="20" t="inlineStr">
        <is>
          <t>주주총회소집결의</t>
        </is>
      </c>
      <c r="C378" s="20" t="inlineStr">
        <is>
          <t>에이디테크놀로지</t>
        </is>
      </c>
      <c r="D378" s="20" t="inlineStr">
        <is>
          <t>경영권/주총</t>
        </is>
      </c>
      <c r="E378" s="20" t="inlineStr"/>
      <c r="F378" s="20" t="inlineStr">
        <is>
          <t>20180309900580.html</t>
        </is>
      </c>
      <c r="G378" s="20" t="inlineStr">
        <is>
          <t>20180309900580</t>
        </is>
      </c>
      <c r="H378" s="21" t="inlineStr">
        <is>
          <t>열기</t>
        </is>
      </c>
    </row>
    <row r="379">
      <c r="A379" s="20" t="inlineStr">
        <is>
          <t>2018-03-09</t>
        </is>
      </c>
      <c r="B379" s="20" t="inlineStr">
        <is>
          <t>주주총회소집공고</t>
        </is>
      </c>
      <c r="C379" s="20" t="inlineStr">
        <is>
          <t>에이디테크놀로지</t>
        </is>
      </c>
      <c r="D379" s="20" t="inlineStr">
        <is>
          <t>경영권/주총</t>
        </is>
      </c>
      <c r="E379" s="20" t="inlineStr"/>
      <c r="F379" s="20" t="inlineStr">
        <is>
          <t>20180309000447.html</t>
        </is>
      </c>
      <c r="G379" s="20" t="inlineStr">
        <is>
          <t>20180309000447</t>
        </is>
      </c>
      <c r="H379" s="21" t="inlineStr">
        <is>
          <t>열기</t>
        </is>
      </c>
    </row>
    <row r="380">
      <c r="A380" s="20" t="inlineStr">
        <is>
          <t>2018-03-07</t>
        </is>
      </c>
      <c r="B380" s="20" t="inlineStr">
        <is>
          <t>주식등의대량보유상황보고서(일반)</t>
        </is>
      </c>
      <c r="C380" s="20" t="inlineStr">
        <is>
          <t>김준석</t>
        </is>
      </c>
      <c r="D380" s="20" t="inlineStr">
        <is>
          <t>5% 대량보유</t>
        </is>
      </c>
      <c r="E380" s="20" t="inlineStr"/>
      <c r="F380" s="20" t="inlineStr">
        <is>
          <t>20180307000321.html</t>
        </is>
      </c>
      <c r="G380" s="20" t="inlineStr">
        <is>
          <t>20180307000321</t>
        </is>
      </c>
      <c r="H380" s="21" t="inlineStr">
        <is>
          <t>열기</t>
        </is>
      </c>
    </row>
    <row r="381">
      <c r="A381" s="20" t="inlineStr">
        <is>
          <t>2018-03-07</t>
        </is>
      </c>
      <c r="B381" s="20" t="inlineStr">
        <is>
          <t>임원ㆍ주요주주특정증권등소유상황보고서</t>
        </is>
      </c>
      <c r="C381" s="20" t="inlineStr">
        <is>
          <t>김준석</t>
        </is>
      </c>
      <c r="D381" s="20" t="inlineStr">
        <is>
          <t>임원 소유상황/거래계획</t>
        </is>
      </c>
      <c r="E381" s="20" t="inlineStr"/>
      <c r="F381" s="20" t="inlineStr">
        <is>
          <t>20180307000315.html</t>
        </is>
      </c>
      <c r="G381" s="20" t="inlineStr">
        <is>
          <t>20180307000315</t>
        </is>
      </c>
      <c r="H381" s="21" t="inlineStr">
        <is>
          <t>열기</t>
        </is>
      </c>
    </row>
    <row r="382">
      <c r="A382" s="20" t="inlineStr">
        <is>
          <t>2018-02-28</t>
        </is>
      </c>
      <c r="B382" s="20" t="inlineStr">
        <is>
          <t>전환청구권행사(제2회차)</t>
        </is>
      </c>
      <c r="C382" s="20" t="inlineStr">
        <is>
          <t>에이디테크놀로지</t>
        </is>
      </c>
      <c r="D382" s="20" t="inlineStr">
        <is>
          <t>CB 전환청구</t>
        </is>
      </c>
      <c r="E382" s="20" t="inlineStr"/>
      <c r="F382" s="20" t="inlineStr">
        <is>
          <t>20180228900839.html</t>
        </is>
      </c>
      <c r="G382" s="20" t="inlineStr">
        <is>
          <t>20180228900839</t>
        </is>
      </c>
      <c r="H382" s="21" t="inlineStr">
        <is>
          <t>열기</t>
        </is>
      </c>
    </row>
    <row r="383">
      <c r="A383" s="20" t="inlineStr">
        <is>
          <t>2018-02-28</t>
        </is>
      </c>
      <c r="B383" s="20" t="inlineStr">
        <is>
          <t>[기재정정]주식매수선택권부여에관한신고</t>
        </is>
      </c>
      <c r="C383" s="20" t="inlineStr">
        <is>
          <t>에이디테크놀로지</t>
        </is>
      </c>
      <c r="D383" s="20" t="inlineStr">
        <is>
          <t>스톡옵션</t>
        </is>
      </c>
      <c r="E383" s="20" t="inlineStr">
        <is>
          <t>정정</t>
        </is>
      </c>
      <c r="F383" s="20" t="inlineStr">
        <is>
          <t>원문 없음(DART 미제공)</t>
        </is>
      </c>
      <c r="G383" s="20" t="inlineStr">
        <is>
          <t>20180228001531</t>
        </is>
      </c>
      <c r="H383" s="21" t="inlineStr">
        <is>
          <t>열기</t>
        </is>
      </c>
    </row>
    <row r="384">
      <c r="A384" s="20" t="inlineStr">
        <is>
          <t>2018-02-13</t>
        </is>
      </c>
      <c r="B384" s="20" t="inlineStr">
        <is>
          <t>[기재정정]단일판매ㆍ공급계약체결</t>
        </is>
      </c>
      <c r="C384" s="20" t="inlineStr">
        <is>
          <t>에이디테크놀로지</t>
        </is>
      </c>
      <c r="D384" s="20" t="inlineStr">
        <is>
          <t>공급계약</t>
        </is>
      </c>
      <c r="E384" s="20" t="inlineStr">
        <is>
          <t>정정</t>
        </is>
      </c>
      <c r="F384" s="20" t="inlineStr">
        <is>
          <t>원문 없음(DART 미제공)</t>
        </is>
      </c>
      <c r="G384" s="20" t="inlineStr">
        <is>
          <t>20180213900742</t>
        </is>
      </c>
      <c r="H384" s="21" t="inlineStr">
        <is>
          <t>열기</t>
        </is>
      </c>
    </row>
    <row r="385">
      <c r="A385" s="20" t="inlineStr">
        <is>
          <t>2018-02-13</t>
        </is>
      </c>
      <c r="B385" s="20" t="inlineStr">
        <is>
          <t>기타주요경영사항(조회공시요구(현저한시황변동) 관련 조회공시 답변)</t>
        </is>
      </c>
      <c r="C385" s="20" t="inlineStr">
        <is>
          <t>에이디테크놀로지</t>
        </is>
      </c>
      <c r="D385" s="20" t="inlineStr">
        <is>
          <t>조회공시</t>
        </is>
      </c>
      <c r="E385" s="20" t="inlineStr"/>
      <c r="F385" s="20" t="inlineStr">
        <is>
          <t>20180213900737.html</t>
        </is>
      </c>
      <c r="G385" s="20" t="inlineStr">
        <is>
          <t>20180213900737</t>
        </is>
      </c>
      <c r="H385" s="21" t="inlineStr">
        <is>
          <t>열기</t>
        </is>
      </c>
    </row>
    <row r="386">
      <c r="A386" s="20" t="inlineStr">
        <is>
          <t>2018-02-13</t>
        </is>
      </c>
      <c r="B386" s="20" t="inlineStr">
        <is>
          <t>단일판매ㆍ공급계약체결</t>
        </is>
      </c>
      <c r="C386" s="20" t="inlineStr">
        <is>
          <t>에이디테크놀로지</t>
        </is>
      </c>
      <c r="D386" s="20" t="inlineStr">
        <is>
          <t>공급계약</t>
        </is>
      </c>
      <c r="E386" s="20" t="inlineStr"/>
      <c r="F386" s="20" t="inlineStr">
        <is>
          <t>20180213900104.html</t>
        </is>
      </c>
      <c r="G386" s="20" t="inlineStr">
        <is>
          <t>20180213900104</t>
        </is>
      </c>
      <c r="H386" s="21" t="inlineStr">
        <is>
          <t>열기</t>
        </is>
      </c>
    </row>
    <row r="387">
      <c r="A387" s="20" t="inlineStr">
        <is>
          <t>2018-02-02</t>
        </is>
      </c>
      <c r="B387" s="20" t="inlineStr">
        <is>
          <t>매출액또는손익구조30%(대규모법인은15%)이상변동</t>
        </is>
      </c>
      <c r="C387" s="20" t="inlineStr">
        <is>
          <t>에이디테크놀로지</t>
        </is>
      </c>
      <c r="D387" s="20" t="inlineStr">
        <is>
          <t>실적변동</t>
        </is>
      </c>
      <c r="E387" s="20" t="inlineStr"/>
      <c r="F387" s="20" t="inlineStr">
        <is>
          <t>20180202900503.html</t>
        </is>
      </c>
      <c r="G387" s="20" t="inlineStr">
        <is>
          <t>20180202900503</t>
        </is>
      </c>
      <c r="H387" s="21" t="inlineStr">
        <is>
          <t>열기</t>
        </is>
      </c>
    </row>
    <row r="388">
      <c r="A388" s="20" t="inlineStr">
        <is>
          <t>2018-02-02</t>
        </is>
      </c>
      <c r="B388" s="20" t="inlineStr">
        <is>
          <t>주식등의대량보유상황보고서(일반)</t>
        </is>
      </c>
      <c r="C388" s="20" t="inlineStr">
        <is>
          <t>김준석</t>
        </is>
      </c>
      <c r="D388" s="20" t="inlineStr">
        <is>
          <t>5% 대량보유</t>
        </is>
      </c>
      <c r="E388" s="20" t="inlineStr"/>
      <c r="F388" s="20" t="inlineStr">
        <is>
          <t>20180202000438.html</t>
        </is>
      </c>
      <c r="G388" s="20" t="inlineStr">
        <is>
          <t>20180202000438</t>
        </is>
      </c>
      <c r="H388" s="21" t="inlineStr">
        <is>
          <t>열기</t>
        </is>
      </c>
    </row>
    <row r="389">
      <c r="A389" s="20" t="inlineStr">
        <is>
          <t>2018-02-02</t>
        </is>
      </c>
      <c r="B389" s="20" t="inlineStr">
        <is>
          <t>임원ㆍ주요주주특정증권등소유상황보고서</t>
        </is>
      </c>
      <c r="C389" s="20" t="inlineStr">
        <is>
          <t>김준석</t>
        </is>
      </c>
      <c r="D389" s="20" t="inlineStr">
        <is>
          <t>임원 소유상황/거래계획</t>
        </is>
      </c>
      <c r="E389" s="20" t="inlineStr"/>
      <c r="F389" s="20" t="inlineStr">
        <is>
          <t>20180202000332.html</t>
        </is>
      </c>
      <c r="G389" s="20" t="inlineStr">
        <is>
          <t>20180202000332</t>
        </is>
      </c>
      <c r="H389" s="21" t="inlineStr">
        <is>
          <t>열기</t>
        </is>
      </c>
    </row>
    <row r="390">
      <c r="A390" s="20" t="inlineStr">
        <is>
          <t>2018-01-15</t>
        </is>
      </c>
      <c r="B390" s="20" t="inlineStr">
        <is>
          <t>단일판매ㆍ공급계약체결</t>
        </is>
      </c>
      <c r="C390" s="20" t="inlineStr">
        <is>
          <t>에이디테크놀로지</t>
        </is>
      </c>
      <c r="D390" s="20" t="inlineStr">
        <is>
          <t>공급계약</t>
        </is>
      </c>
      <c r="E390" s="20" t="inlineStr"/>
      <c r="F390" s="20" t="inlineStr">
        <is>
          <t>20180115900092.html</t>
        </is>
      </c>
      <c r="G390" s="20" t="inlineStr">
        <is>
          <t>20180115900092</t>
        </is>
      </c>
      <c r="H390" s="21" t="inlineStr">
        <is>
          <t>열기</t>
        </is>
      </c>
    </row>
    <row r="391">
      <c r="A391" s="20" t="inlineStr">
        <is>
          <t>2018-01-04</t>
        </is>
      </c>
      <c r="B391" s="20" t="inlineStr">
        <is>
          <t>주식등의대량보유상황보고서(약식)</t>
        </is>
      </c>
      <c r="C391" s="20" t="inlineStr">
        <is>
          <t>한국투자신탁운용</t>
        </is>
      </c>
      <c r="D391" s="20" t="inlineStr">
        <is>
          <t>5% 대량보유</t>
        </is>
      </c>
      <c r="E391" s="20" t="inlineStr"/>
      <c r="F391" s="20" t="inlineStr">
        <is>
          <t>20180104000260.html</t>
        </is>
      </c>
      <c r="G391" s="20" t="inlineStr">
        <is>
          <t>20180104000260</t>
        </is>
      </c>
      <c r="H391" s="21" t="inlineStr">
        <is>
          <t>열기</t>
        </is>
      </c>
    </row>
    <row r="392">
      <c r="A392" s="20" t="inlineStr">
        <is>
          <t>2017-12-28</t>
        </is>
      </c>
      <c r="B392" s="20" t="inlineStr">
        <is>
          <t>단일판매ㆍ공급계약체결</t>
        </is>
      </c>
      <c r="C392" s="20" t="inlineStr">
        <is>
          <t>에이디테크놀로지</t>
        </is>
      </c>
      <c r="D392" s="20" t="inlineStr">
        <is>
          <t>공급계약</t>
        </is>
      </c>
      <c r="E392" s="20" t="inlineStr"/>
      <c r="F392" s="20" t="inlineStr">
        <is>
          <t>20171228900047.html</t>
        </is>
      </c>
      <c r="G392" s="20" t="inlineStr">
        <is>
          <t>20171228900047</t>
        </is>
      </c>
      <c r="H392" s="21" t="inlineStr">
        <is>
          <t>열기</t>
        </is>
      </c>
    </row>
    <row r="393">
      <c r="A393" s="20" t="inlineStr">
        <is>
          <t>2017-12-20</t>
        </is>
      </c>
      <c r="B393" s="20" t="inlineStr">
        <is>
          <t>주식등의대량보유상황보고서(약식)</t>
        </is>
      </c>
      <c r="C393" s="20" t="inlineStr">
        <is>
          <t>한국투자신탁운용</t>
        </is>
      </c>
      <c r="D393" s="20" t="inlineStr">
        <is>
          <t>5% 대량보유</t>
        </is>
      </c>
      <c r="E393" s="20" t="inlineStr"/>
      <c r="F393" s="20" t="inlineStr">
        <is>
          <t>20171220000356.html</t>
        </is>
      </c>
      <c r="G393" s="20" t="inlineStr">
        <is>
          <t>20171220000356</t>
        </is>
      </c>
      <c r="H393" s="21" t="inlineStr">
        <is>
          <t>열기</t>
        </is>
      </c>
    </row>
    <row r="394">
      <c r="A394" s="20" t="inlineStr">
        <is>
          <t>2017-12-15</t>
        </is>
      </c>
      <c r="B394" s="20" t="inlineStr">
        <is>
          <t>주주명부폐쇄기간또는기준일설정</t>
        </is>
      </c>
      <c r="C394" s="20" t="inlineStr">
        <is>
          <t>에이디테크놀로지</t>
        </is>
      </c>
      <c r="D394" s="20" t="inlineStr">
        <is>
          <t>경영권/주총</t>
        </is>
      </c>
      <c r="E394" s="20" t="inlineStr"/>
      <c r="F394" s="20" t="inlineStr">
        <is>
          <t>20171215900780.html</t>
        </is>
      </c>
      <c r="G394" s="20" t="inlineStr">
        <is>
          <t>20171215900780</t>
        </is>
      </c>
      <c r="H394" s="21" t="inlineStr">
        <is>
          <t>열기</t>
        </is>
      </c>
    </row>
    <row r="395">
      <c r="A395" s="20" t="inlineStr">
        <is>
          <t>2017-12-13</t>
        </is>
      </c>
      <c r="B395" s="20" t="inlineStr">
        <is>
          <t>전환청구권행사(제2회차)</t>
        </is>
      </c>
      <c r="C395" s="20" t="inlineStr">
        <is>
          <t>에이디테크놀로지</t>
        </is>
      </c>
      <c r="D395" s="20" t="inlineStr">
        <is>
          <t>CB 전환청구</t>
        </is>
      </c>
      <c r="E395" s="20" t="inlineStr"/>
      <c r="F395" s="20" t="inlineStr">
        <is>
          <t>20171213900544.html</t>
        </is>
      </c>
      <c r="G395" s="20" t="inlineStr">
        <is>
          <t>20171213900544</t>
        </is>
      </c>
      <c r="H395" s="21" t="inlineStr">
        <is>
          <t>열기</t>
        </is>
      </c>
    </row>
    <row r="396">
      <c r="A396" s="20" t="inlineStr">
        <is>
          <t>2017-12-13</t>
        </is>
      </c>
      <c r="B396" s="20" t="inlineStr">
        <is>
          <t>단일판매ㆍ공급계약체결</t>
        </is>
      </c>
      <c r="C396" s="20" t="inlineStr">
        <is>
          <t>에이디테크놀로지</t>
        </is>
      </c>
      <c r="D396" s="20" t="inlineStr">
        <is>
          <t>공급계약</t>
        </is>
      </c>
      <c r="E396" s="20" t="inlineStr"/>
      <c r="F396" s="20" t="inlineStr">
        <is>
          <t>20171213900351.html</t>
        </is>
      </c>
      <c r="G396" s="20" t="inlineStr">
        <is>
          <t>20171213900351</t>
        </is>
      </c>
      <c r="H396" s="21" t="inlineStr">
        <is>
          <t>열기</t>
        </is>
      </c>
    </row>
    <row r="397">
      <c r="A397" s="20" t="inlineStr">
        <is>
          <t>2017-11-29</t>
        </is>
      </c>
      <c r="B397" s="20" t="inlineStr">
        <is>
          <t>단일판매ㆍ공급계약체결</t>
        </is>
      </c>
      <c r="C397" s="20" t="inlineStr">
        <is>
          <t>에이디테크놀로지</t>
        </is>
      </c>
      <c r="D397" s="20" t="inlineStr">
        <is>
          <t>공급계약</t>
        </is>
      </c>
      <c r="E397" s="20" t="inlineStr"/>
      <c r="F397" s="20" t="inlineStr">
        <is>
          <t>20171129900112.html</t>
        </is>
      </c>
      <c r="G397" s="20" t="inlineStr">
        <is>
          <t>20171129900112</t>
        </is>
      </c>
      <c r="H397" s="21" t="inlineStr">
        <is>
          <t>열기</t>
        </is>
      </c>
    </row>
    <row r="398">
      <c r="A398" s="20" t="inlineStr">
        <is>
          <t>2017-11-14</t>
        </is>
      </c>
      <c r="B398" s="20" t="inlineStr">
        <is>
          <t>분기보고서 (2017.09)</t>
        </is>
      </c>
      <c r="C398" s="20" t="inlineStr">
        <is>
          <t>에이디테크놀로지</t>
        </is>
      </c>
      <c r="D398" s="20" t="inlineStr">
        <is>
          <t>정기보고서</t>
        </is>
      </c>
      <c r="E398" s="20" t="inlineStr"/>
      <c r="F398" s="20" t="inlineStr">
        <is>
          <t>20171114000311.html</t>
        </is>
      </c>
      <c r="G398" s="20" t="inlineStr">
        <is>
          <t>20171114000311</t>
        </is>
      </c>
      <c r="H398" s="21" t="inlineStr">
        <is>
          <t>열기</t>
        </is>
      </c>
    </row>
    <row r="399">
      <c r="A399" s="20" t="inlineStr">
        <is>
          <t>2017-11-13</t>
        </is>
      </c>
      <c r="B399" s="20" t="inlineStr">
        <is>
          <t>조회공시요구(현저한시황변동)에대한답변(미확정)</t>
        </is>
      </c>
      <c r="C399" s="20" t="inlineStr">
        <is>
          <t>에이디테크놀로지</t>
        </is>
      </c>
      <c r="D399" s="20" t="inlineStr">
        <is>
          <t>조회공시</t>
        </is>
      </c>
      <c r="E399" s="20" t="inlineStr"/>
      <c r="F399" s="20" t="inlineStr">
        <is>
          <t>20171113900470.html</t>
        </is>
      </c>
      <c r="G399" s="20" t="inlineStr">
        <is>
          <t>20171113900470</t>
        </is>
      </c>
      <c r="H399" s="21" t="inlineStr">
        <is>
          <t>열기</t>
        </is>
      </c>
    </row>
    <row r="400">
      <c r="A400" s="20" t="inlineStr">
        <is>
          <t>2017-11-07</t>
        </is>
      </c>
      <c r="B400" s="20" t="inlineStr">
        <is>
          <t>전환청구권행사(제2회차)</t>
        </is>
      </c>
      <c r="C400" s="20" t="inlineStr">
        <is>
          <t>에이디테크놀로지</t>
        </is>
      </c>
      <c r="D400" s="20" t="inlineStr">
        <is>
          <t>CB 전환청구</t>
        </is>
      </c>
      <c r="E400" s="20" t="inlineStr"/>
      <c r="F400" s="20" t="inlineStr">
        <is>
          <t>20171107900455.html</t>
        </is>
      </c>
      <c r="G400" s="20" t="inlineStr">
        <is>
          <t>20171107900455</t>
        </is>
      </c>
      <c r="H400" s="21" t="inlineStr">
        <is>
          <t>열기</t>
        </is>
      </c>
    </row>
    <row r="401">
      <c r="A401" s="20" t="inlineStr">
        <is>
          <t>2017-10-13</t>
        </is>
      </c>
      <c r="B401" s="20" t="inlineStr">
        <is>
          <t>조회공시요구(현저한시황변동)에대한답변(미확정)</t>
        </is>
      </c>
      <c r="C401" s="20" t="inlineStr">
        <is>
          <t>에이디테크놀로지</t>
        </is>
      </c>
      <c r="D401" s="20" t="inlineStr">
        <is>
          <t>조회공시</t>
        </is>
      </c>
      <c r="E401" s="20" t="inlineStr"/>
      <c r="F401" s="20" t="inlineStr">
        <is>
          <t>20171013900326.html</t>
        </is>
      </c>
      <c r="G401" s="20" t="inlineStr">
        <is>
          <t>20171013900326</t>
        </is>
      </c>
      <c r="H401" s="21" t="inlineStr">
        <is>
          <t>열기</t>
        </is>
      </c>
    </row>
    <row r="402">
      <c r="A402" s="20" t="inlineStr">
        <is>
          <t>2017-09-20</t>
        </is>
      </c>
      <c r="B402" s="20" t="inlineStr">
        <is>
          <t>단일판매ㆍ공급계약체결</t>
        </is>
      </c>
      <c r="C402" s="20" t="inlineStr">
        <is>
          <t>에이디테크놀로지</t>
        </is>
      </c>
      <c r="D402" s="20" t="inlineStr">
        <is>
          <t>공급계약</t>
        </is>
      </c>
      <c r="E402" s="20" t="inlineStr"/>
      <c r="F402" s="20" t="inlineStr">
        <is>
          <t>20170920900127.html</t>
        </is>
      </c>
      <c r="G402" s="20" t="inlineStr">
        <is>
          <t>20170920900127</t>
        </is>
      </c>
      <c r="H402" s="21" t="inlineStr">
        <is>
          <t>열기</t>
        </is>
      </c>
    </row>
    <row r="403">
      <c r="A403" s="20" t="inlineStr">
        <is>
          <t>2017-09-13</t>
        </is>
      </c>
      <c r="B403" s="20" t="inlineStr">
        <is>
          <t>조회공시요구(현저한시황변동)에대한답변(미확정)</t>
        </is>
      </c>
      <c r="C403" s="20" t="inlineStr">
        <is>
          <t>에이디테크놀로지</t>
        </is>
      </c>
      <c r="D403" s="20" t="inlineStr">
        <is>
          <t>조회공시</t>
        </is>
      </c>
      <c r="E403" s="20" t="inlineStr"/>
      <c r="F403" s="20" t="inlineStr">
        <is>
          <t>20170913900228.html</t>
        </is>
      </c>
      <c r="G403" s="20" t="inlineStr">
        <is>
          <t>20170913900228</t>
        </is>
      </c>
      <c r="H403" s="21" t="inlineStr">
        <is>
          <t>열기</t>
        </is>
      </c>
    </row>
    <row r="404">
      <c r="A404" s="20" t="inlineStr">
        <is>
          <t>2017-09-12</t>
        </is>
      </c>
      <c r="B404" s="20" t="inlineStr">
        <is>
          <t>조회공시요구(현저한시황변동)(주가급등)</t>
        </is>
      </c>
      <c r="C404" s="20" t="inlineStr">
        <is>
          <t>코스닥시장본부</t>
        </is>
      </c>
      <c r="D404" s="20" t="inlineStr">
        <is>
          <t>조회공시</t>
        </is>
      </c>
      <c r="E404" s="20" t="inlineStr"/>
      <c r="F404" s="20" t="inlineStr">
        <is>
          <t>20170912900341.html</t>
        </is>
      </c>
      <c r="G404" s="20" t="inlineStr">
        <is>
          <t>20170912900341</t>
        </is>
      </c>
      <c r="H404" s="21" t="inlineStr">
        <is>
          <t>열기</t>
        </is>
      </c>
    </row>
    <row r="405">
      <c r="A405" s="20" t="inlineStr">
        <is>
          <t>2017-08-11</t>
        </is>
      </c>
      <c r="B405" s="20" t="inlineStr">
        <is>
          <t>반기보고서 (2017.06)</t>
        </is>
      </c>
      <c r="C405" s="20" t="inlineStr">
        <is>
          <t>에이디테크놀로지</t>
        </is>
      </c>
      <c r="D405" s="20" t="inlineStr">
        <is>
          <t>정기보고서</t>
        </is>
      </c>
      <c r="E405" s="20" t="inlineStr"/>
      <c r="F405" s="20" t="inlineStr">
        <is>
          <t>20170811000592.html</t>
        </is>
      </c>
      <c r="G405" s="20" t="inlineStr">
        <is>
          <t>20170811000592</t>
        </is>
      </c>
      <c r="H405" s="21" t="inlineStr">
        <is>
          <t>열기</t>
        </is>
      </c>
    </row>
    <row r="406">
      <c r="A406" s="20" t="inlineStr">
        <is>
          <t>2017-06-13</t>
        </is>
      </c>
      <c r="B406" s="20" t="inlineStr">
        <is>
          <t>단일판매ㆍ공급계약체결</t>
        </is>
      </c>
      <c r="C406" s="20" t="inlineStr">
        <is>
          <t>에이디테크놀로지</t>
        </is>
      </c>
      <c r="D406" s="20" t="inlineStr">
        <is>
          <t>공급계약</t>
        </is>
      </c>
      <c r="E406" s="20" t="inlineStr"/>
      <c r="F406" s="20" t="inlineStr">
        <is>
          <t>20170613900071.html</t>
        </is>
      </c>
      <c r="G406" s="20" t="inlineStr">
        <is>
          <t>20170613900071</t>
        </is>
      </c>
      <c r="H406" s="21" t="inlineStr">
        <is>
          <t>열기</t>
        </is>
      </c>
    </row>
    <row r="407">
      <c r="A407" s="20" t="inlineStr">
        <is>
          <t>2017-05-12</t>
        </is>
      </c>
      <c r="B407" s="20" t="inlineStr">
        <is>
          <t>분기보고서 (2017.03)</t>
        </is>
      </c>
      <c r="C407" s="20" t="inlineStr">
        <is>
          <t>에이디테크놀로지</t>
        </is>
      </c>
      <c r="D407" s="20" t="inlineStr">
        <is>
          <t>정기보고서</t>
        </is>
      </c>
      <c r="E407" s="20" t="inlineStr"/>
      <c r="F407" s="20" t="inlineStr">
        <is>
          <t>20170512004445.html</t>
        </is>
      </c>
      <c r="G407" s="20" t="inlineStr">
        <is>
          <t>20170512004445</t>
        </is>
      </c>
      <c r="H407" s="21" t="inlineStr">
        <is>
          <t>열기</t>
        </is>
      </c>
    </row>
    <row r="408">
      <c r="A408" s="20" t="inlineStr">
        <is>
          <t>2017-04-28</t>
        </is>
      </c>
      <c r="B408" s="20" t="inlineStr">
        <is>
          <t>전환가액의조정(제2회차)</t>
        </is>
      </c>
      <c r="C408" s="20" t="inlineStr">
        <is>
          <t>에이디테크놀로지</t>
        </is>
      </c>
      <c r="D408" s="20" t="inlineStr">
        <is>
          <t>CB 전환가액조정</t>
        </is>
      </c>
      <c r="E408" s="20" t="inlineStr"/>
      <c r="F408" s="20" t="inlineStr">
        <is>
          <t>20170428900359.html</t>
        </is>
      </c>
      <c r="G408" s="20" t="inlineStr">
        <is>
          <t>20170428900359</t>
        </is>
      </c>
      <c r="H408" s="21" t="inlineStr">
        <is>
          <t>열기</t>
        </is>
      </c>
    </row>
    <row r="409">
      <c r="A409" s="20" t="inlineStr">
        <is>
          <t>2017-04-19</t>
        </is>
      </c>
      <c r="B409" s="20" t="inlineStr">
        <is>
          <t>임원ㆍ주요주주특정증권등소유상황보고서</t>
        </is>
      </c>
      <c r="C409" s="20" t="inlineStr">
        <is>
          <t>이은주</t>
        </is>
      </c>
      <c r="D409" s="20" t="inlineStr">
        <is>
          <t>임원 소유상황/거래계획</t>
        </is>
      </c>
      <c r="E409" s="20" t="inlineStr"/>
      <c r="F409" s="20" t="inlineStr">
        <is>
          <t>20170419000035.html</t>
        </is>
      </c>
      <c r="G409" s="20" t="inlineStr">
        <is>
          <t>20170419000035</t>
        </is>
      </c>
      <c r="H409" s="21" t="inlineStr">
        <is>
          <t>열기</t>
        </is>
      </c>
    </row>
    <row r="410">
      <c r="A410" s="20" t="inlineStr">
        <is>
          <t>2017-04-14</t>
        </is>
      </c>
      <c r="B410" s="20" t="inlineStr">
        <is>
          <t>[기재정정]단일판매ㆍ공급계약체결</t>
        </is>
      </c>
      <c r="C410" s="20" t="inlineStr">
        <is>
          <t>에이디테크놀로지</t>
        </is>
      </c>
      <c r="D410" s="20" t="inlineStr">
        <is>
          <t>공급계약</t>
        </is>
      </c>
      <c r="E410" s="20" t="inlineStr">
        <is>
          <t>정정</t>
        </is>
      </c>
      <c r="F410" s="20" t="inlineStr">
        <is>
          <t>원문 없음(DART 미제공)</t>
        </is>
      </c>
      <c r="G410" s="20" t="inlineStr">
        <is>
          <t>20170414900711</t>
        </is>
      </c>
      <c r="H410" s="21" t="inlineStr">
        <is>
          <t>열기</t>
        </is>
      </c>
    </row>
    <row r="411">
      <c r="A411" s="20" t="inlineStr">
        <is>
          <t>2017-03-31</t>
        </is>
      </c>
      <c r="B411" s="20" t="inlineStr">
        <is>
          <t>사업보고서 (2016.12)</t>
        </is>
      </c>
      <c r="C411" s="20" t="inlineStr">
        <is>
          <t>에이디테크놀로지</t>
        </is>
      </c>
      <c r="D411" s="20" t="inlineStr">
        <is>
          <t>정기보고서</t>
        </is>
      </c>
      <c r="E411" s="20" t="inlineStr"/>
      <c r="F411" s="20" t="inlineStr">
        <is>
          <t>20170331002972.html</t>
        </is>
      </c>
      <c r="G411" s="20" t="inlineStr">
        <is>
          <t>20170331002972</t>
        </is>
      </c>
      <c r="H411" s="21" t="inlineStr">
        <is>
          <t>열기</t>
        </is>
      </c>
    </row>
    <row r="412">
      <c r="A412" s="20" t="inlineStr">
        <is>
          <t>2017-03-27</t>
        </is>
      </c>
      <c r="B412" s="20" t="inlineStr">
        <is>
          <t>정기주주총회결과</t>
        </is>
      </c>
      <c r="C412" s="20" t="inlineStr">
        <is>
          <t>에이디테크놀로지</t>
        </is>
      </c>
      <c r="D412" s="20" t="inlineStr">
        <is>
          <t>경영권/주총</t>
        </is>
      </c>
      <c r="E412" s="20" t="inlineStr"/>
      <c r="F412" s="20" t="inlineStr">
        <is>
          <t>20170327900496.html</t>
        </is>
      </c>
      <c r="G412" s="20" t="inlineStr">
        <is>
          <t>20170327900496</t>
        </is>
      </c>
      <c r="H412" s="21" t="inlineStr">
        <is>
          <t>열기</t>
        </is>
      </c>
    </row>
    <row r="413">
      <c r="A413" s="20" t="inlineStr">
        <is>
          <t>2017-03-17</t>
        </is>
      </c>
      <c r="B413" s="20" t="inlineStr">
        <is>
          <t>감사보고서제출</t>
        </is>
      </c>
      <c r="C413" s="20" t="inlineStr">
        <is>
          <t>에이디테크놀로지</t>
        </is>
      </c>
      <c r="D413" s="20" t="inlineStr">
        <is>
          <t>감사보고서</t>
        </is>
      </c>
      <c r="E413" s="20" t="inlineStr"/>
      <c r="F413" s="20" t="inlineStr">
        <is>
          <t>20170317900576.html</t>
        </is>
      </c>
      <c r="G413" s="20" t="inlineStr">
        <is>
          <t>20170317900576</t>
        </is>
      </c>
      <c r="H413" s="21" t="inlineStr">
        <is>
          <t>열기</t>
        </is>
      </c>
    </row>
    <row r="414">
      <c r="A414" s="20" t="inlineStr">
        <is>
          <t>2017-03-10</t>
        </is>
      </c>
      <c r="B414" s="20" t="inlineStr">
        <is>
          <t>주주총회소집결의</t>
        </is>
      </c>
      <c r="C414" s="20" t="inlineStr">
        <is>
          <t>에이디테크놀로지</t>
        </is>
      </c>
      <c r="D414" s="20" t="inlineStr">
        <is>
          <t>경영권/주총</t>
        </is>
      </c>
      <c r="E414" s="20" t="inlineStr"/>
      <c r="F414" s="20" t="inlineStr">
        <is>
          <t>20170310900741.html</t>
        </is>
      </c>
      <c r="G414" s="20" t="inlineStr">
        <is>
          <t>20170310900741</t>
        </is>
      </c>
      <c r="H414" s="21" t="inlineStr">
        <is>
          <t>열기</t>
        </is>
      </c>
    </row>
    <row r="415">
      <c r="A415" s="20" t="inlineStr">
        <is>
          <t>2017-03-10</t>
        </is>
      </c>
      <c r="B415" s="20" t="inlineStr">
        <is>
          <t>주주총회소집공고</t>
        </is>
      </c>
      <c r="C415" s="20" t="inlineStr">
        <is>
          <t>에이디테크놀로지</t>
        </is>
      </c>
      <c r="D415" s="20" t="inlineStr">
        <is>
          <t>경영권/주총</t>
        </is>
      </c>
      <c r="E415" s="20" t="inlineStr"/>
      <c r="F415" s="20" t="inlineStr">
        <is>
          <t>20170310000527.html</t>
        </is>
      </c>
      <c r="G415" s="20" t="inlineStr">
        <is>
          <t>20170310000527</t>
        </is>
      </c>
      <c r="H415" s="21" t="inlineStr">
        <is>
          <t>열기</t>
        </is>
      </c>
    </row>
    <row r="416">
      <c r="A416" s="20" t="inlineStr">
        <is>
          <t>2017-02-16</t>
        </is>
      </c>
      <c r="B416" s="20" t="inlineStr">
        <is>
          <t>단일판매ㆍ공급계약체결</t>
        </is>
      </c>
      <c r="C416" s="20" t="inlineStr">
        <is>
          <t>에이디테크놀로지</t>
        </is>
      </c>
      <c r="D416" s="20" t="inlineStr">
        <is>
          <t>공급계약</t>
        </is>
      </c>
      <c r="E416" s="20" t="inlineStr"/>
      <c r="F416" s="20" t="inlineStr">
        <is>
          <t>20170216900255.html</t>
        </is>
      </c>
      <c r="G416" s="20" t="inlineStr">
        <is>
          <t>20170216900255</t>
        </is>
      </c>
      <c r="H416" s="21" t="inlineStr">
        <is>
          <t>열기</t>
        </is>
      </c>
    </row>
    <row r="417">
      <c r="A417" s="20" t="inlineStr">
        <is>
          <t>2017-02-07</t>
        </is>
      </c>
      <c r="B417" s="20" t="inlineStr">
        <is>
          <t>[기재정정]주식매수선택권부여에관한신고</t>
        </is>
      </c>
      <c r="C417" s="20" t="inlineStr">
        <is>
          <t>에이디테크놀로지</t>
        </is>
      </c>
      <c r="D417" s="20" t="inlineStr">
        <is>
          <t>스톡옵션</t>
        </is>
      </c>
      <c r="E417" s="20" t="inlineStr">
        <is>
          <t>정정</t>
        </is>
      </c>
      <c r="F417" s="20" t="inlineStr">
        <is>
          <t>원문 없음(DART 미제공)</t>
        </is>
      </c>
      <c r="G417" s="20" t="inlineStr">
        <is>
          <t>20170207000202</t>
        </is>
      </c>
      <c r="H417" s="21" t="inlineStr">
        <is>
          <t>열기</t>
        </is>
      </c>
    </row>
    <row r="418">
      <c r="A418" s="20" t="inlineStr">
        <is>
          <t>2017-02-03</t>
        </is>
      </c>
      <c r="B418" s="20" t="inlineStr">
        <is>
          <t>매출액또는손익구조30%(대규모법인은15%)이상변동</t>
        </is>
      </c>
      <c r="C418" s="20" t="inlineStr">
        <is>
          <t>에이디테크놀로지</t>
        </is>
      </c>
      <c r="D418" s="20" t="inlineStr">
        <is>
          <t>실적변동</t>
        </is>
      </c>
      <c r="E418" s="20" t="inlineStr"/>
      <c r="F418" s="20" t="inlineStr">
        <is>
          <t>20170203900454.html</t>
        </is>
      </c>
      <c r="G418" s="20" t="inlineStr">
        <is>
          <t>20170203900454</t>
        </is>
      </c>
      <c r="H418" s="21" t="inlineStr">
        <is>
          <t>열기</t>
        </is>
      </c>
    </row>
    <row r="419">
      <c r="A419" s="20" t="inlineStr">
        <is>
          <t>2017-01-18</t>
        </is>
      </c>
      <c r="B419" s="20" t="inlineStr">
        <is>
          <t>기타경영사항(특허권취득)(자율공시)</t>
        </is>
      </c>
      <c r="C419" s="20" t="inlineStr">
        <is>
          <t>에이디테크놀로지</t>
        </is>
      </c>
      <c r="D419" s="20" t="inlineStr">
        <is>
          <t>특허</t>
        </is>
      </c>
      <c r="E419" s="20" t="inlineStr"/>
      <c r="F419" s="20" t="inlineStr">
        <is>
          <t>20170118900082.html</t>
        </is>
      </c>
      <c r="G419" s="20" t="inlineStr">
        <is>
          <t>20170118900082</t>
        </is>
      </c>
      <c r="H419" s="21" t="inlineStr">
        <is>
          <t>열기</t>
        </is>
      </c>
    </row>
    <row r="420">
      <c r="A420" s="20" t="inlineStr">
        <is>
          <t>2017-01-18</t>
        </is>
      </c>
      <c r="B420" s="20" t="inlineStr">
        <is>
          <t>기타경영사항(특허권취득)(자율공시)</t>
        </is>
      </c>
      <c r="C420" s="20" t="inlineStr">
        <is>
          <t>에이디테크놀로지</t>
        </is>
      </c>
      <c r="D420" s="20" t="inlineStr">
        <is>
          <t>특허</t>
        </is>
      </c>
      <c r="E420" s="20" t="inlineStr"/>
      <c r="F420" s="20" t="inlineStr">
        <is>
          <t>20170118900080.html</t>
        </is>
      </c>
      <c r="G420" s="20" t="inlineStr">
        <is>
          <t>20170118900080</t>
        </is>
      </c>
      <c r="H420" s="21" t="inlineStr">
        <is>
          <t>열기</t>
        </is>
      </c>
    </row>
    <row r="421">
      <c r="A421" s="20" t="inlineStr">
        <is>
          <t>2017-01-10</t>
        </is>
      </c>
      <c r="B421" s="20" t="inlineStr">
        <is>
          <t>주식등의대량보유상황보고서(약식)</t>
        </is>
      </c>
      <c r="C421" s="20" t="inlineStr">
        <is>
          <t>한국증권금융</t>
        </is>
      </c>
      <c r="D421" s="20" t="inlineStr">
        <is>
          <t>5% 대량보유</t>
        </is>
      </c>
      <c r="E421" s="20" t="inlineStr"/>
      <c r="F421" s="20" t="inlineStr">
        <is>
          <t>20170110000646.html</t>
        </is>
      </c>
      <c r="G421" s="20" t="inlineStr">
        <is>
          <t>20170110000646</t>
        </is>
      </c>
      <c r="H421" s="21" t="inlineStr">
        <is>
          <t>열기</t>
        </is>
      </c>
    </row>
    <row r="422">
      <c r="A422" s="20" t="inlineStr">
        <is>
          <t>2016-12-15</t>
        </is>
      </c>
      <c r="B422" s="20" t="inlineStr">
        <is>
          <t>주주명부폐쇄기간또는기준일설정</t>
        </is>
      </c>
      <c r="C422" s="20" t="inlineStr">
        <is>
          <t>에이디테크놀로지</t>
        </is>
      </c>
      <c r="D422" s="20" t="inlineStr">
        <is>
          <t>경영권/주총</t>
        </is>
      </c>
      <c r="E422" s="20" t="inlineStr"/>
      <c r="F422" s="20" t="inlineStr">
        <is>
          <t>20161215900088.html</t>
        </is>
      </c>
      <c r="G422" s="20" t="inlineStr">
        <is>
          <t>20161215900088</t>
        </is>
      </c>
      <c r="H422" s="21" t="inlineStr">
        <is>
          <t>열기</t>
        </is>
      </c>
    </row>
    <row r="423">
      <c r="A423" s="20" t="inlineStr">
        <is>
          <t>2016-12-09</t>
        </is>
      </c>
      <c r="B423" s="20" t="inlineStr">
        <is>
          <t>임원ㆍ주요주주특정증권등소유상황보고서</t>
        </is>
      </c>
      <c r="C423" s="20" t="inlineStr">
        <is>
          <t>이은주</t>
        </is>
      </c>
      <c r="D423" s="20" t="inlineStr">
        <is>
          <t>임원 소유상황/거래계획</t>
        </is>
      </c>
      <c r="E423" s="20" t="inlineStr"/>
      <c r="F423" s="20" t="inlineStr">
        <is>
          <t>20161209000261.html</t>
        </is>
      </c>
      <c r="G423" s="20" t="inlineStr">
        <is>
          <t>20161209000261</t>
        </is>
      </c>
      <c r="H423" s="21" t="inlineStr">
        <is>
          <t>열기</t>
        </is>
      </c>
    </row>
    <row r="424">
      <c r="A424" s="20" t="inlineStr">
        <is>
          <t>2016-12-09</t>
        </is>
      </c>
      <c r="B424" s="20" t="inlineStr">
        <is>
          <t>임원ㆍ주요주주특정증권등소유상황보고서</t>
        </is>
      </c>
      <c r="C424" s="20" t="inlineStr">
        <is>
          <t>이강렬</t>
        </is>
      </c>
      <c r="D424" s="20" t="inlineStr">
        <is>
          <t>임원 소유상황/거래계획</t>
        </is>
      </c>
      <c r="E424" s="20" t="inlineStr"/>
      <c r="F424" s="20" t="inlineStr">
        <is>
          <t>20161209000259.html</t>
        </is>
      </c>
      <c r="G424" s="20" t="inlineStr">
        <is>
          <t>20161209000259</t>
        </is>
      </c>
      <c r="H424" s="21" t="inlineStr">
        <is>
          <t>열기</t>
        </is>
      </c>
    </row>
    <row r="425">
      <c r="A425" s="20" t="inlineStr">
        <is>
          <t>2016-12-09</t>
        </is>
      </c>
      <c r="B425" s="20" t="inlineStr">
        <is>
          <t>임원ㆍ주요주주특정증권등소유상황보고서</t>
        </is>
      </c>
      <c r="C425" s="20" t="inlineStr">
        <is>
          <t>박영선</t>
        </is>
      </c>
      <c r="D425" s="20" t="inlineStr">
        <is>
          <t>임원 소유상황/거래계획</t>
        </is>
      </c>
      <c r="E425" s="20" t="inlineStr"/>
      <c r="F425" s="20" t="inlineStr">
        <is>
          <t>20161209000256.html</t>
        </is>
      </c>
      <c r="G425" s="20" t="inlineStr">
        <is>
          <t>20161209000256</t>
        </is>
      </c>
      <c r="H425" s="21" t="inlineStr">
        <is>
          <t>열기</t>
        </is>
      </c>
    </row>
    <row r="426">
      <c r="A426" s="20" t="inlineStr">
        <is>
          <t>2016-12-09</t>
        </is>
      </c>
      <c r="B426" s="20" t="inlineStr">
        <is>
          <t>임원ㆍ주요주주특정증권등소유상황보고서</t>
        </is>
      </c>
      <c r="C426" s="20" t="inlineStr">
        <is>
          <t>강종민</t>
        </is>
      </c>
      <c r="D426" s="20" t="inlineStr">
        <is>
          <t>임원 소유상황/거래계획</t>
        </is>
      </c>
      <c r="E426" s="20" t="inlineStr"/>
      <c r="F426" s="20" t="inlineStr">
        <is>
          <t>20161209000255.html</t>
        </is>
      </c>
      <c r="G426" s="20" t="inlineStr">
        <is>
          <t>20161209000255</t>
        </is>
      </c>
      <c r="H426" s="21" t="inlineStr">
        <is>
          <t>열기</t>
        </is>
      </c>
    </row>
    <row r="427">
      <c r="A427" s="20" t="inlineStr">
        <is>
          <t>2016-12-09</t>
        </is>
      </c>
      <c r="B427" s="20" t="inlineStr">
        <is>
          <t>임원ㆍ주요주주특정증권등소유상황보고서</t>
        </is>
      </c>
      <c r="C427" s="20" t="inlineStr">
        <is>
          <t>문갑주</t>
        </is>
      </c>
      <c r="D427" s="20" t="inlineStr">
        <is>
          <t>임원 소유상황/거래계획</t>
        </is>
      </c>
      <c r="E427" s="20" t="inlineStr"/>
      <c r="F427" s="20" t="inlineStr">
        <is>
          <t>20161209000252.html</t>
        </is>
      </c>
      <c r="G427" s="20" t="inlineStr">
        <is>
          <t>20161209000252</t>
        </is>
      </c>
      <c r="H427" s="21" t="inlineStr">
        <is>
          <t>열기</t>
        </is>
      </c>
    </row>
    <row r="428">
      <c r="A428" s="20" t="inlineStr">
        <is>
          <t>2016-12-09</t>
        </is>
      </c>
      <c r="B428" s="20" t="inlineStr">
        <is>
          <t>임원ㆍ주요주주특정증권등소유상황보고서</t>
        </is>
      </c>
      <c r="C428" s="20" t="inlineStr">
        <is>
          <t>이현석</t>
        </is>
      </c>
      <c r="D428" s="20" t="inlineStr">
        <is>
          <t>임원 소유상황/거래계획</t>
        </is>
      </c>
      <c r="E428" s="20" t="inlineStr"/>
      <c r="F428" s="20" t="inlineStr">
        <is>
          <t>20161209000251.html</t>
        </is>
      </c>
      <c r="G428" s="20" t="inlineStr">
        <is>
          <t>20161209000251</t>
        </is>
      </c>
      <c r="H428" s="21" t="inlineStr">
        <is>
          <t>열기</t>
        </is>
      </c>
    </row>
    <row r="429">
      <c r="A429" s="20" t="inlineStr">
        <is>
          <t>2016-12-09</t>
        </is>
      </c>
      <c r="B429" s="20" t="inlineStr">
        <is>
          <t>임원ㆍ주요주주특정증권등소유상황보고서</t>
        </is>
      </c>
      <c r="C429" s="20" t="inlineStr">
        <is>
          <t>김준석</t>
        </is>
      </c>
      <c r="D429" s="20" t="inlineStr">
        <is>
          <t>임원 소유상황/거래계획</t>
        </is>
      </c>
      <c r="E429" s="20" t="inlineStr"/>
      <c r="F429" s="20" t="inlineStr">
        <is>
          <t>20161209000249.html</t>
        </is>
      </c>
      <c r="G429" s="20" t="inlineStr">
        <is>
          <t>20161209000249</t>
        </is>
      </c>
      <c r="H429" s="21" t="inlineStr">
        <is>
          <t>열기</t>
        </is>
      </c>
    </row>
    <row r="430">
      <c r="A430" s="20" t="inlineStr">
        <is>
          <t>2016-11-28</t>
        </is>
      </c>
      <c r="B430" s="20" t="inlineStr">
        <is>
          <t>단일판매ㆍ공급계약체결</t>
        </is>
      </c>
      <c r="C430" s="20" t="inlineStr">
        <is>
          <t>에이디테크놀로지</t>
        </is>
      </c>
      <c r="D430" s="20" t="inlineStr">
        <is>
          <t>공급계약</t>
        </is>
      </c>
      <c r="E430" s="20" t="inlineStr"/>
      <c r="F430" s="20" t="inlineStr">
        <is>
          <t>20161128900039.html</t>
        </is>
      </c>
      <c r="G430" s="20" t="inlineStr">
        <is>
          <t>20161128900039</t>
        </is>
      </c>
      <c r="H430" s="21" t="inlineStr">
        <is>
          <t>열기</t>
        </is>
      </c>
    </row>
    <row r="431">
      <c r="A431" s="20" t="inlineStr">
        <is>
          <t>2016-11-15</t>
        </is>
      </c>
      <c r="B431" s="20" t="inlineStr">
        <is>
          <t>기타경영사항(특허권취득)(자율공시)</t>
        </is>
      </c>
      <c r="C431" s="20" t="inlineStr">
        <is>
          <t>에이디테크놀로지</t>
        </is>
      </c>
      <c r="D431" s="20" t="inlineStr">
        <is>
          <t>특허</t>
        </is>
      </c>
      <c r="E431" s="20" t="inlineStr"/>
      <c r="F431" s="20" t="inlineStr">
        <is>
          <t>20161115900058.html</t>
        </is>
      </c>
      <c r="G431" s="20" t="inlineStr">
        <is>
          <t>20161115900058</t>
        </is>
      </c>
      <c r="H431" s="21" t="inlineStr">
        <is>
          <t>열기</t>
        </is>
      </c>
    </row>
    <row r="432">
      <c r="A432" s="20" t="inlineStr">
        <is>
          <t>2016-11-14</t>
        </is>
      </c>
      <c r="B432" s="20" t="inlineStr">
        <is>
          <t>[기재정정]주요사항보고서(전환사채권발행결정)</t>
        </is>
      </c>
      <c r="C432" s="20" t="inlineStr">
        <is>
          <t>에이디테크놀로지</t>
        </is>
      </c>
      <c r="D432" s="20" t="inlineStr">
        <is>
          <t>자금조달/CB</t>
        </is>
      </c>
      <c r="E432" s="20" t="inlineStr">
        <is>
          <t>정정</t>
        </is>
      </c>
      <c r="F432" s="20" t="inlineStr">
        <is>
          <t>원문 없음(DART 미제공)</t>
        </is>
      </c>
      <c r="G432" s="20" t="inlineStr">
        <is>
          <t>20161114000882</t>
        </is>
      </c>
      <c r="H432" s="21" t="inlineStr">
        <is>
          <t>열기</t>
        </is>
      </c>
    </row>
    <row r="433">
      <c r="A433" s="20" t="inlineStr">
        <is>
          <t>2016-11-14</t>
        </is>
      </c>
      <c r="B433" s="20" t="inlineStr">
        <is>
          <t>분기보고서 (2016.09)</t>
        </is>
      </c>
      <c r="C433" s="20" t="inlineStr">
        <is>
          <t>에이디테크놀로지</t>
        </is>
      </c>
      <c r="D433" s="20" t="inlineStr">
        <is>
          <t>정기보고서</t>
        </is>
      </c>
      <c r="E433" s="20" t="inlineStr"/>
      <c r="F433" s="20" t="inlineStr">
        <is>
          <t>20161114000674.html</t>
        </is>
      </c>
      <c r="G433" s="20" t="inlineStr">
        <is>
          <t>20161114000674</t>
        </is>
      </c>
      <c r="H433" s="21" t="inlineStr">
        <is>
          <t>열기</t>
        </is>
      </c>
    </row>
    <row r="434">
      <c r="A434" s="20" t="inlineStr">
        <is>
          <t>2016-11-10</t>
        </is>
      </c>
      <c r="B434" s="20" t="inlineStr">
        <is>
          <t>권리락(무상증자)</t>
        </is>
      </c>
      <c r="C434" s="20" t="inlineStr">
        <is>
          <t>코스닥시장본부</t>
        </is>
      </c>
      <c r="D434" s="20" t="inlineStr">
        <is>
          <t>증자</t>
        </is>
      </c>
      <c r="E434" s="20" t="inlineStr"/>
      <c r="F434" s="20" t="inlineStr">
        <is>
          <t>20161110900455.html</t>
        </is>
      </c>
      <c r="G434" s="20" t="inlineStr">
        <is>
          <t>20161110900455</t>
        </is>
      </c>
      <c r="H434" s="21" t="inlineStr">
        <is>
          <t>열기</t>
        </is>
      </c>
    </row>
    <row r="435">
      <c r="A435" s="20" t="inlineStr">
        <is>
          <t>2016-11-07</t>
        </is>
      </c>
      <c r="B435" s="20" t="inlineStr">
        <is>
          <t>임원ㆍ주요주주특정증권등소유상황보고서</t>
        </is>
      </c>
      <c r="C435" s="20" t="inlineStr">
        <is>
          <t>이은주</t>
        </is>
      </c>
      <c r="D435" s="20" t="inlineStr">
        <is>
          <t>임원 소유상황/거래계획</t>
        </is>
      </c>
      <c r="E435" s="20" t="inlineStr"/>
      <c r="F435" s="20" t="inlineStr">
        <is>
          <t>20161107000233.html</t>
        </is>
      </c>
      <c r="G435" s="20" t="inlineStr">
        <is>
          <t>20161107000233</t>
        </is>
      </c>
      <c r="H435" s="21" t="inlineStr">
        <is>
          <t>열기</t>
        </is>
      </c>
    </row>
    <row r="436">
      <c r="A436" s="20" t="inlineStr">
        <is>
          <t>2016-11-07</t>
        </is>
      </c>
      <c r="B436" s="20" t="inlineStr">
        <is>
          <t>임원ㆍ주요주주특정증권등소유상황보고서</t>
        </is>
      </c>
      <c r="C436" s="20" t="inlineStr">
        <is>
          <t>이강렬</t>
        </is>
      </c>
      <c r="D436" s="20" t="inlineStr">
        <is>
          <t>임원 소유상황/거래계획</t>
        </is>
      </c>
      <c r="E436" s="20" t="inlineStr"/>
      <c r="F436" s="20" t="inlineStr">
        <is>
          <t>20161107000231.html</t>
        </is>
      </c>
      <c r="G436" s="20" t="inlineStr">
        <is>
          <t>20161107000231</t>
        </is>
      </c>
      <c r="H436" s="21" t="inlineStr">
        <is>
          <t>열기</t>
        </is>
      </c>
    </row>
    <row r="437">
      <c r="A437" s="20" t="inlineStr">
        <is>
          <t>2016-11-07</t>
        </is>
      </c>
      <c r="B437" s="20" t="inlineStr">
        <is>
          <t>임원ㆍ주요주주특정증권등소유상황보고서</t>
        </is>
      </c>
      <c r="C437" s="20" t="inlineStr">
        <is>
          <t>박영선</t>
        </is>
      </c>
      <c r="D437" s="20" t="inlineStr">
        <is>
          <t>임원 소유상황/거래계획</t>
        </is>
      </c>
      <c r="E437" s="20" t="inlineStr"/>
      <c r="F437" s="20" t="inlineStr">
        <is>
          <t>20161107000225.html</t>
        </is>
      </c>
      <c r="G437" s="20" t="inlineStr">
        <is>
          <t>20161107000225</t>
        </is>
      </c>
      <c r="H437" s="21" t="inlineStr">
        <is>
          <t>열기</t>
        </is>
      </c>
    </row>
    <row r="438">
      <c r="A438" s="20" t="inlineStr">
        <is>
          <t>2016-10-28</t>
        </is>
      </c>
      <c r="B438" s="20" t="inlineStr">
        <is>
          <t>증권발행결과(자율공시)(제2회차CB)</t>
        </is>
      </c>
      <c r="C438" s="20" t="inlineStr">
        <is>
          <t>에이디테크놀로지</t>
        </is>
      </c>
      <c r="D438" s="20" t="inlineStr">
        <is>
          <t>증권신고/합병</t>
        </is>
      </c>
      <c r="E438" s="20" t="inlineStr"/>
      <c r="F438" s="20" t="inlineStr">
        <is>
          <t>20161028900364.html</t>
        </is>
      </c>
      <c r="G438" s="20" t="inlineStr">
        <is>
          <t>20161028900364</t>
        </is>
      </c>
      <c r="H438" s="21" t="inlineStr">
        <is>
          <t>열기</t>
        </is>
      </c>
    </row>
    <row r="439">
      <c r="A439" s="20" t="inlineStr">
        <is>
          <t>2016-10-28</t>
        </is>
      </c>
      <c r="B439" s="20" t="inlineStr">
        <is>
          <t>주주명부폐쇄기간또는기준일설정</t>
        </is>
      </c>
      <c r="C439" s="20" t="inlineStr">
        <is>
          <t>에이디테크놀로지</t>
        </is>
      </c>
      <c r="D439" s="20" t="inlineStr">
        <is>
          <t>경영권/주총</t>
        </is>
      </c>
      <c r="E439" s="20" t="inlineStr"/>
      <c r="F439" s="20" t="inlineStr">
        <is>
          <t>20161028900114.html</t>
        </is>
      </c>
      <c r="G439" s="20" t="inlineStr">
        <is>
          <t>20161028900114</t>
        </is>
      </c>
      <c r="H439" s="21" t="inlineStr">
        <is>
          <t>열기</t>
        </is>
      </c>
    </row>
    <row r="440">
      <c r="A440" s="20" t="inlineStr">
        <is>
          <t>2016-10-28</t>
        </is>
      </c>
      <c r="B440" s="20" t="inlineStr">
        <is>
          <t>주권매매거래정지(무상증자)</t>
        </is>
      </c>
      <c r="C440" s="20" t="inlineStr">
        <is>
          <t>코스닥시장본부</t>
        </is>
      </c>
      <c r="D440" s="20" t="inlineStr">
        <is>
          <t>증자</t>
        </is>
      </c>
      <c r="E440" s="20" t="inlineStr"/>
      <c r="F440" s="20" t="inlineStr">
        <is>
          <t>20161028900102.html</t>
        </is>
      </c>
      <c r="G440" s="20" t="inlineStr">
        <is>
          <t>20161028900102</t>
        </is>
      </c>
      <c r="H440" s="21" t="inlineStr">
        <is>
          <t>열기</t>
        </is>
      </c>
    </row>
    <row r="441">
      <c r="A441" s="20" t="inlineStr">
        <is>
          <t>2016-10-28</t>
        </is>
      </c>
      <c r="B441" s="20" t="inlineStr">
        <is>
          <t>주요사항보고서(무상증자결정)</t>
        </is>
      </c>
      <c r="C441" s="20" t="inlineStr">
        <is>
          <t>에이디테크놀로지</t>
        </is>
      </c>
      <c r="D441" s="20" t="inlineStr">
        <is>
          <t>증자</t>
        </is>
      </c>
      <c r="E441" s="20" t="inlineStr"/>
      <c r="F441" s="20" t="inlineStr">
        <is>
          <t>20161028000042.html</t>
        </is>
      </c>
      <c r="G441" s="20" t="inlineStr">
        <is>
          <t>20161028000042</t>
        </is>
      </c>
      <c r="H441" s="21" t="inlineStr">
        <is>
          <t>열기</t>
        </is>
      </c>
    </row>
    <row r="442">
      <c r="A442" s="20" t="inlineStr">
        <is>
          <t>2016-10-26</t>
        </is>
      </c>
      <c r="B442" s="20" t="inlineStr">
        <is>
          <t>주요사항보고서(전환사채권발행결정)</t>
        </is>
      </c>
      <c r="C442" s="20" t="inlineStr">
        <is>
          <t>에이디테크놀로지</t>
        </is>
      </c>
      <c r="D442" s="20" t="inlineStr">
        <is>
          <t>자금조달/CB</t>
        </is>
      </c>
      <c r="E442" s="20" t="inlineStr"/>
      <c r="F442" s="20" t="inlineStr">
        <is>
          <t>20161026000232.html</t>
        </is>
      </c>
      <c r="G442" s="20" t="inlineStr">
        <is>
          <t>20161026000232</t>
        </is>
      </c>
      <c r="H442" s="21" t="inlineStr">
        <is>
          <t>열기</t>
        </is>
      </c>
    </row>
    <row r="443">
      <c r="A443" s="20" t="inlineStr">
        <is>
          <t>2016-08-17</t>
        </is>
      </c>
      <c r="B443" s="20" t="inlineStr">
        <is>
          <t>기타경영사항(특허권취득)(자율공시)</t>
        </is>
      </c>
      <c r="C443" s="20" t="inlineStr">
        <is>
          <t>에이디테크놀로지</t>
        </is>
      </c>
      <c r="D443" s="20" t="inlineStr">
        <is>
          <t>특허</t>
        </is>
      </c>
      <c r="E443" s="20" t="inlineStr"/>
      <c r="F443" s="20" t="inlineStr">
        <is>
          <t>20160817900057.html</t>
        </is>
      </c>
      <c r="G443" s="20" t="inlineStr">
        <is>
          <t>20160817900057</t>
        </is>
      </c>
      <c r="H443" s="21" t="inlineStr">
        <is>
          <t>열기</t>
        </is>
      </c>
    </row>
    <row r="444">
      <c r="A444" s="20" t="inlineStr">
        <is>
          <t>2016-08-16</t>
        </is>
      </c>
      <c r="B444" s="20" t="inlineStr">
        <is>
          <t>반기보고서 (2016.06)</t>
        </is>
      </c>
      <c r="C444" s="20" t="inlineStr">
        <is>
          <t>에이디테크놀로지</t>
        </is>
      </c>
      <c r="D444" s="20" t="inlineStr">
        <is>
          <t>정기보고서</t>
        </is>
      </c>
      <c r="E444" s="20" t="inlineStr"/>
      <c r="F444" s="20" t="inlineStr">
        <is>
          <t>20160816000910.html</t>
        </is>
      </c>
      <c r="G444" s="20" t="inlineStr">
        <is>
          <t>20160816000910</t>
        </is>
      </c>
      <c r="H444" s="21" t="inlineStr">
        <is>
          <t>열기</t>
        </is>
      </c>
    </row>
    <row r="445">
      <c r="A445" s="20" t="inlineStr">
        <is>
          <t>2016-05-19</t>
        </is>
      </c>
      <c r="B445" s="20" t="inlineStr">
        <is>
          <t>기타경영사항(특허권취득)(자율공시)</t>
        </is>
      </c>
      <c r="C445" s="20" t="inlineStr">
        <is>
          <t>에이디테크놀로지</t>
        </is>
      </c>
      <c r="D445" s="20" t="inlineStr">
        <is>
          <t>특허</t>
        </is>
      </c>
      <c r="E445" s="20" t="inlineStr"/>
      <c r="F445" s="20" t="inlineStr">
        <is>
          <t>20160519900055.html</t>
        </is>
      </c>
      <c r="G445" s="20" t="inlineStr">
        <is>
          <t>20160519900055</t>
        </is>
      </c>
      <c r="H445" s="21" t="inlineStr">
        <is>
          <t>열기</t>
        </is>
      </c>
    </row>
    <row r="446">
      <c r="A446" s="20" t="inlineStr">
        <is>
          <t>2016-05-16</t>
        </is>
      </c>
      <c r="B446" s="20" t="inlineStr">
        <is>
          <t>분기보고서 (2016.03)</t>
        </is>
      </c>
      <c r="C446" s="20" t="inlineStr">
        <is>
          <t>에이디테크놀로지</t>
        </is>
      </c>
      <c r="D446" s="20" t="inlineStr">
        <is>
          <t>정기보고서</t>
        </is>
      </c>
      <c r="E446" s="20" t="inlineStr"/>
      <c r="F446" s="20" t="inlineStr">
        <is>
          <t>20160516001863.html</t>
        </is>
      </c>
      <c r="G446" s="20" t="inlineStr">
        <is>
          <t>20160516001863</t>
        </is>
      </c>
      <c r="H446" s="21" t="inlineStr">
        <is>
          <t>열기</t>
        </is>
      </c>
    </row>
    <row r="447">
      <c r="A447" s="20" t="inlineStr">
        <is>
          <t>2016-04-25</t>
        </is>
      </c>
      <c r="B447" s="20" t="inlineStr">
        <is>
          <t>기타경영사항(특허권취득)(자율공시)</t>
        </is>
      </c>
      <c r="C447" s="20" t="inlineStr">
        <is>
          <t>에이디테크놀로지</t>
        </is>
      </c>
      <c r="D447" s="20" t="inlineStr">
        <is>
          <t>특허</t>
        </is>
      </c>
      <c r="E447" s="20" t="inlineStr"/>
      <c r="F447" s="20" t="inlineStr">
        <is>
          <t>20160425900127.html</t>
        </is>
      </c>
      <c r="G447" s="20" t="inlineStr">
        <is>
          <t>20160425900127</t>
        </is>
      </c>
      <c r="H447" s="21" t="inlineStr">
        <is>
          <t>열기</t>
        </is>
      </c>
    </row>
    <row r="448">
      <c r="A448" s="20" t="inlineStr">
        <is>
          <t>2016-04-25</t>
        </is>
      </c>
      <c r="B448" s="20" t="inlineStr">
        <is>
          <t>기타경영사항(특허권취득)(자율공시)</t>
        </is>
      </c>
      <c r="C448" s="20" t="inlineStr">
        <is>
          <t>에이디테크놀로지</t>
        </is>
      </c>
      <c r="D448" s="20" t="inlineStr">
        <is>
          <t>특허</t>
        </is>
      </c>
      <c r="E448" s="20" t="inlineStr"/>
      <c r="F448" s="20" t="inlineStr">
        <is>
          <t>20160425900126.html</t>
        </is>
      </c>
      <c r="G448" s="20" t="inlineStr">
        <is>
          <t>20160425900126</t>
        </is>
      </c>
      <c r="H448" s="21" t="inlineStr">
        <is>
          <t>열기</t>
        </is>
      </c>
    </row>
    <row r="449">
      <c r="A449" s="20" t="inlineStr">
        <is>
          <t>2016-03-30</t>
        </is>
      </c>
      <c r="B449" s="20" t="inlineStr">
        <is>
          <t>사업보고서 (2015.12)</t>
        </is>
      </c>
      <c r="C449" s="20" t="inlineStr">
        <is>
          <t>에이디테크놀로지</t>
        </is>
      </c>
      <c r="D449" s="20" t="inlineStr">
        <is>
          <t>정기보고서</t>
        </is>
      </c>
      <c r="E449" s="20" t="inlineStr"/>
      <c r="F449" s="20" t="inlineStr">
        <is>
          <t>20160330001268.html</t>
        </is>
      </c>
      <c r="G449" s="20" t="inlineStr">
        <is>
          <t>20160330001268</t>
        </is>
      </c>
      <c r="H449" s="21" t="inlineStr">
        <is>
          <t>열기</t>
        </is>
      </c>
    </row>
    <row r="450">
      <c r="A450" s="20" t="inlineStr">
        <is>
          <t>2016-03-28</t>
        </is>
      </c>
      <c r="B450" s="20" t="inlineStr">
        <is>
          <t>정기주주총회결과</t>
        </is>
      </c>
      <c r="C450" s="20" t="inlineStr">
        <is>
          <t>에이디테크놀로지</t>
        </is>
      </c>
      <c r="D450" s="20" t="inlineStr">
        <is>
          <t>경영권/주총</t>
        </is>
      </c>
      <c r="E450" s="20" t="inlineStr"/>
      <c r="F450" s="20" t="inlineStr">
        <is>
          <t>20160328900391.html</t>
        </is>
      </c>
      <c r="G450" s="20" t="inlineStr">
        <is>
          <t>20160328900391</t>
        </is>
      </c>
      <c r="H450" s="21" t="inlineStr">
        <is>
          <t>열기</t>
        </is>
      </c>
    </row>
    <row r="451">
      <c r="A451" s="20" t="inlineStr">
        <is>
          <t>2016-03-18</t>
        </is>
      </c>
      <c r="B451" s="20" t="inlineStr">
        <is>
          <t>주식매수선택권행사</t>
        </is>
      </c>
      <c r="C451" s="20" t="inlineStr">
        <is>
          <t>에이디테크놀로지</t>
        </is>
      </c>
      <c r="D451" s="20" t="inlineStr">
        <is>
          <t>스톡옵션</t>
        </is>
      </c>
      <c r="E451" s="20" t="inlineStr"/>
      <c r="F451" s="20" t="inlineStr">
        <is>
          <t>20160318901189.html</t>
        </is>
      </c>
      <c r="G451" s="20" t="inlineStr">
        <is>
          <t>20160318901189</t>
        </is>
      </c>
      <c r="H451" s="21" t="inlineStr">
        <is>
          <t>열기</t>
        </is>
      </c>
    </row>
    <row r="452">
      <c r="A452" s="20" t="inlineStr">
        <is>
          <t>2016-03-17</t>
        </is>
      </c>
      <c r="B452" s="20" t="inlineStr">
        <is>
          <t>감사보고서제출</t>
        </is>
      </c>
      <c r="C452" s="20" t="inlineStr">
        <is>
          <t>에이디테크놀로지</t>
        </is>
      </c>
      <c r="D452" s="20" t="inlineStr">
        <is>
          <t>감사보고서</t>
        </is>
      </c>
      <c r="E452" s="20" t="inlineStr"/>
      <c r="F452" s="20" t="inlineStr">
        <is>
          <t>20160317900484.html</t>
        </is>
      </c>
      <c r="G452" s="20" t="inlineStr">
        <is>
          <t>20160317900484</t>
        </is>
      </c>
      <c r="H452" s="21" t="inlineStr">
        <is>
          <t>열기</t>
        </is>
      </c>
    </row>
    <row r="453">
      <c r="A453" s="20" t="inlineStr">
        <is>
          <t>2016-03-11</t>
        </is>
      </c>
      <c r="B453" s="20" t="inlineStr">
        <is>
          <t>주주총회소집결의</t>
        </is>
      </c>
      <c r="C453" s="20" t="inlineStr">
        <is>
          <t>에이디테크놀로지</t>
        </is>
      </c>
      <c r="D453" s="20" t="inlineStr">
        <is>
          <t>경영권/주총</t>
        </is>
      </c>
      <c r="E453" s="20" t="inlineStr"/>
      <c r="F453" s="20" t="inlineStr">
        <is>
          <t>20160311900491.html</t>
        </is>
      </c>
      <c r="G453" s="20" t="inlineStr">
        <is>
          <t>20160311900491</t>
        </is>
      </c>
      <c r="H453" s="21" t="inlineStr">
        <is>
          <t>열기</t>
        </is>
      </c>
    </row>
    <row r="454">
      <c r="A454" s="20" t="inlineStr">
        <is>
          <t>2016-03-11</t>
        </is>
      </c>
      <c r="B454" s="20" t="inlineStr">
        <is>
          <t>주주총회소집공고</t>
        </is>
      </c>
      <c r="C454" s="20" t="inlineStr">
        <is>
          <t>에이디테크놀로지</t>
        </is>
      </c>
      <c r="D454" s="20" t="inlineStr">
        <is>
          <t>경영권/주총</t>
        </is>
      </c>
      <c r="E454" s="20" t="inlineStr"/>
      <c r="F454" s="20" t="inlineStr">
        <is>
          <t>20160311000282.html</t>
        </is>
      </c>
      <c r="G454" s="20" t="inlineStr">
        <is>
          <t>20160311000282</t>
        </is>
      </c>
      <c r="H454" s="21" t="inlineStr">
        <is>
          <t>열기</t>
        </is>
      </c>
    </row>
    <row r="455">
      <c r="A455" s="20" t="inlineStr">
        <is>
          <t>2016-03-09</t>
        </is>
      </c>
      <c r="B455" s="20" t="inlineStr">
        <is>
          <t>주식매수선택권부여에관한신고</t>
        </is>
      </c>
      <c r="C455" s="20" t="inlineStr">
        <is>
          <t>에이디테크놀로지</t>
        </is>
      </c>
      <c r="D455" s="20" t="inlineStr">
        <is>
          <t>스톡옵션</t>
        </is>
      </c>
      <c r="E455" s="20" t="inlineStr"/>
      <c r="F455" s="20" t="inlineStr">
        <is>
          <t>20160309000301.html</t>
        </is>
      </c>
      <c r="G455" s="20" t="inlineStr">
        <is>
          <t>20160309000301</t>
        </is>
      </c>
      <c r="H455" s="21" t="inlineStr">
        <is>
          <t>열기</t>
        </is>
      </c>
    </row>
    <row r="456">
      <c r="A456" s="20" t="inlineStr">
        <is>
          <t>2016-03-04</t>
        </is>
      </c>
      <c r="B456" s="20" t="inlineStr">
        <is>
          <t>주식등의대량보유상황보고서(일반)</t>
        </is>
      </c>
      <c r="C456" s="20" t="inlineStr">
        <is>
          <t>김준석</t>
        </is>
      </c>
      <c r="D456" s="20" t="inlineStr">
        <is>
          <t>5% 대량보유</t>
        </is>
      </c>
      <c r="E456" s="20" t="inlineStr"/>
      <c r="F456" s="20" t="inlineStr">
        <is>
          <t>20160304000351.html</t>
        </is>
      </c>
      <c r="G456" s="20" t="inlineStr">
        <is>
          <t>20160304000351</t>
        </is>
      </c>
      <c r="H456" s="21" t="inlineStr">
        <is>
          <t>열기</t>
        </is>
      </c>
    </row>
    <row r="457">
      <c r="A457" s="20" t="inlineStr">
        <is>
          <t>2016-03-04</t>
        </is>
      </c>
      <c r="B457" s="20" t="inlineStr">
        <is>
          <t>임원ㆍ주요주주특정증권등소유상황보고서</t>
        </is>
      </c>
      <c r="C457" s="20" t="inlineStr">
        <is>
          <t>최성현</t>
        </is>
      </c>
      <c r="D457" s="20" t="inlineStr">
        <is>
          <t>임원 소유상황/거래계획</t>
        </is>
      </c>
      <c r="E457" s="20" t="inlineStr"/>
      <c r="F457" s="20" t="inlineStr">
        <is>
          <t>20160304000335.html</t>
        </is>
      </c>
      <c r="G457" s="20" t="inlineStr">
        <is>
          <t>20160304000335</t>
        </is>
      </c>
      <c r="H457" s="21" t="inlineStr">
        <is>
          <t>열기</t>
        </is>
      </c>
    </row>
    <row r="458">
      <c r="A458" s="20" t="inlineStr">
        <is>
          <t>2016-02-23</t>
        </is>
      </c>
      <c r="B458" s="20" t="inlineStr">
        <is>
          <t>신탁계약해지결과보고서</t>
        </is>
      </c>
      <c r="C458" s="20" t="inlineStr">
        <is>
          <t>에이디테크놀로지</t>
        </is>
      </c>
      <c r="D458" s="20" t="inlineStr">
        <is>
          <t>자기주식</t>
        </is>
      </c>
      <c r="E458" s="20" t="inlineStr"/>
      <c r="F458" s="20" t="inlineStr">
        <is>
          <t>20160223000029.html</t>
        </is>
      </c>
      <c r="G458" s="20" t="inlineStr">
        <is>
          <t>20160223000029</t>
        </is>
      </c>
      <c r="H458" s="21" t="inlineStr">
        <is>
          <t>열기</t>
        </is>
      </c>
    </row>
    <row r="459">
      <c r="A459" s="20" t="inlineStr">
        <is>
          <t>2016-02-23</t>
        </is>
      </c>
      <c r="B459" s="20" t="inlineStr">
        <is>
          <t>주요사항보고서(자기주식취득신탁계약해지결정)</t>
        </is>
      </c>
      <c r="C459" s="20" t="inlineStr">
        <is>
          <t>에이디테크놀로지</t>
        </is>
      </c>
      <c r="D459" s="20" t="inlineStr">
        <is>
          <t>자기주식</t>
        </is>
      </c>
      <c r="E459" s="20" t="inlineStr"/>
      <c r="F459" s="20" t="inlineStr">
        <is>
          <t>20160222000425.html</t>
        </is>
      </c>
      <c r="G459" s="20" t="inlineStr">
        <is>
          <t>20160222000425</t>
        </is>
      </c>
      <c r="H459" s="21" t="inlineStr">
        <is>
          <t>열기</t>
        </is>
      </c>
    </row>
    <row r="460">
      <c r="A460" s="20" t="inlineStr">
        <is>
          <t>2016-02-02</t>
        </is>
      </c>
      <c r="B460" s="20" t="inlineStr">
        <is>
          <t>매출액또는손익구조30%(대규모법인은15%)이상변동</t>
        </is>
      </c>
      <c r="C460" s="20" t="inlineStr">
        <is>
          <t>에이디테크놀로지</t>
        </is>
      </c>
      <c r="D460" s="20" t="inlineStr">
        <is>
          <t>실적변동</t>
        </is>
      </c>
      <c r="E460" s="20" t="inlineStr"/>
      <c r="F460" s="20" t="inlineStr">
        <is>
          <t>20160202900288.html</t>
        </is>
      </c>
      <c r="G460" s="20" t="inlineStr">
        <is>
          <t>20160202900288</t>
        </is>
      </c>
      <c r="H460" s="21" t="inlineStr">
        <is>
          <t>열기</t>
        </is>
      </c>
    </row>
    <row r="461">
      <c r="A461" s="20" t="inlineStr">
        <is>
          <t>2015-12-29</t>
        </is>
      </c>
      <c r="B461" s="20" t="inlineStr">
        <is>
          <t>[기재정정]현금ㆍ현물배당결정</t>
        </is>
      </c>
      <c r="C461" s="20" t="inlineStr">
        <is>
          <t>에이디테크놀로지</t>
        </is>
      </c>
      <c r="D461" s="20" t="inlineStr">
        <is>
          <t>배당</t>
        </is>
      </c>
      <c r="E461" s="20" t="inlineStr">
        <is>
          <t>정정</t>
        </is>
      </c>
      <c r="F461" s="20" t="inlineStr">
        <is>
          <t>원문 없음(DART 미제공)</t>
        </is>
      </c>
      <c r="G461" s="20" t="inlineStr">
        <is>
          <t>20151229900105</t>
        </is>
      </c>
      <c r="H461" s="21" t="inlineStr">
        <is>
          <t>열기</t>
        </is>
      </c>
    </row>
    <row r="462">
      <c r="A462" s="20" t="inlineStr">
        <is>
          <t>2015-12-23</t>
        </is>
      </c>
      <c r="B462" s="20" t="inlineStr">
        <is>
          <t>주식등의대량보유상황보고서(일반)</t>
        </is>
      </c>
      <c r="C462" s="20" t="inlineStr">
        <is>
          <t>김준석</t>
        </is>
      </c>
      <c r="D462" s="20" t="inlineStr">
        <is>
          <t>5% 대량보유</t>
        </is>
      </c>
      <c r="E462" s="20" t="inlineStr"/>
      <c r="F462" s="20" t="inlineStr">
        <is>
          <t>20151223000377.html</t>
        </is>
      </c>
      <c r="G462" s="20" t="inlineStr">
        <is>
          <t>20151223000377</t>
        </is>
      </c>
      <c r="H462" s="21" t="inlineStr">
        <is>
          <t>열기</t>
        </is>
      </c>
    </row>
    <row r="463">
      <c r="A463" s="20" t="inlineStr">
        <is>
          <t>2015-12-16</t>
        </is>
      </c>
      <c r="B463" s="20" t="inlineStr">
        <is>
          <t>주주명부폐쇄기간또는기준일설정</t>
        </is>
      </c>
      <c r="C463" s="20" t="inlineStr">
        <is>
          <t>에이디테크놀로지</t>
        </is>
      </c>
      <c r="D463" s="20" t="inlineStr">
        <is>
          <t>경영권/주총</t>
        </is>
      </c>
      <c r="E463" s="20" t="inlineStr"/>
      <c r="F463" s="20" t="inlineStr">
        <is>
          <t>20151216900537.html</t>
        </is>
      </c>
      <c r="G463" s="20" t="inlineStr">
        <is>
          <t>20151216900537</t>
        </is>
      </c>
      <c r="H463" s="21" t="inlineStr">
        <is>
          <t>열기</t>
        </is>
      </c>
    </row>
    <row r="464">
      <c r="A464" s="20" t="inlineStr">
        <is>
          <t>2015-12-08</t>
        </is>
      </c>
      <c r="B464" s="20" t="inlineStr">
        <is>
          <t>본점소재지변경</t>
        </is>
      </c>
      <c r="C464" s="20" t="inlineStr">
        <is>
          <t>에이디테크놀로지</t>
        </is>
      </c>
      <c r="D464" s="20" t="inlineStr">
        <is>
          <t>기타</t>
        </is>
      </c>
      <c r="E464" s="20" t="inlineStr"/>
      <c r="F464" s="20" t="inlineStr">
        <is>
          <t>20151208900087.html</t>
        </is>
      </c>
      <c r="G464" s="20" t="inlineStr">
        <is>
          <t>20151208900087</t>
        </is>
      </c>
      <c r="H464" s="21" t="inlineStr">
        <is>
          <t>열기</t>
        </is>
      </c>
    </row>
    <row r="465">
      <c r="A465" s="20" t="inlineStr">
        <is>
          <t>2015-12-07</t>
        </is>
      </c>
      <c r="B465" s="20" t="inlineStr">
        <is>
          <t>현금ㆍ현물배당결정</t>
        </is>
      </c>
      <c r="C465" s="20" t="inlineStr">
        <is>
          <t>에이디테크놀로지</t>
        </is>
      </c>
      <c r="D465" s="20" t="inlineStr">
        <is>
          <t>배당</t>
        </is>
      </c>
      <c r="E465" s="20" t="inlineStr"/>
      <c r="F465" s="20" t="inlineStr">
        <is>
          <t>20151207900178.html</t>
        </is>
      </c>
      <c r="G465" s="20" t="inlineStr">
        <is>
          <t>20151207900178</t>
        </is>
      </c>
      <c r="H465" s="21" t="inlineStr">
        <is>
          <t>열기</t>
        </is>
      </c>
    </row>
    <row r="466">
      <c r="A466" s="20" t="inlineStr">
        <is>
          <t>2015-11-25</t>
        </is>
      </c>
      <c r="B466" s="20" t="inlineStr">
        <is>
          <t>신탁계약에의한취득상황보고서</t>
        </is>
      </c>
      <c r="C466" s="20" t="inlineStr">
        <is>
          <t>에이디테크놀로지</t>
        </is>
      </c>
      <c r="D466" s="20" t="inlineStr">
        <is>
          <t>자기주식</t>
        </is>
      </c>
      <c r="E466" s="20" t="inlineStr"/>
      <c r="F466" s="20" t="inlineStr">
        <is>
          <t>20151125000185.html</t>
        </is>
      </c>
      <c r="G466" s="20" t="inlineStr">
        <is>
          <t>20151125000185</t>
        </is>
      </c>
      <c r="H466" s="21" t="inlineStr">
        <is>
          <t>열기</t>
        </is>
      </c>
    </row>
    <row r="467">
      <c r="A467" s="20" t="inlineStr">
        <is>
          <t>2015-11-16</t>
        </is>
      </c>
      <c r="B467" s="20" t="inlineStr">
        <is>
          <t>분기보고서 (2015.09)</t>
        </is>
      </c>
      <c r="C467" s="20" t="inlineStr">
        <is>
          <t>에이디테크놀로지</t>
        </is>
      </c>
      <c r="D467" s="20" t="inlineStr">
        <is>
          <t>정기보고서</t>
        </is>
      </c>
      <c r="E467" s="20" t="inlineStr"/>
      <c r="F467" s="20" t="inlineStr">
        <is>
          <t>20151116000317.html</t>
        </is>
      </c>
      <c r="G467" s="20" t="inlineStr">
        <is>
          <t>20151116000317</t>
        </is>
      </c>
      <c r="H467" s="21" t="inlineStr">
        <is>
          <t>열기</t>
        </is>
      </c>
    </row>
    <row r="468">
      <c r="A468" s="20" t="inlineStr">
        <is>
          <t>2015-08-19</t>
        </is>
      </c>
      <c r="B468" s="20" t="inlineStr">
        <is>
          <t>주요사항보고서(자기주식취득신탁계약체결결정)</t>
        </is>
      </c>
      <c r="C468" s="20" t="inlineStr">
        <is>
          <t>에이디테크놀로지</t>
        </is>
      </c>
      <c r="D468" s="20" t="inlineStr">
        <is>
          <t>자기주식</t>
        </is>
      </c>
      <c r="E468" s="20" t="inlineStr"/>
      <c r="F468" s="20" t="inlineStr">
        <is>
          <t>20150819000102.html</t>
        </is>
      </c>
      <c r="G468" s="20" t="inlineStr">
        <is>
          <t>20150819000102</t>
        </is>
      </c>
      <c r="H468" s="21" t="inlineStr">
        <is>
          <t>열기</t>
        </is>
      </c>
    </row>
    <row r="469">
      <c r="A469" s="20" t="inlineStr">
        <is>
          <t>2015-08-17</t>
        </is>
      </c>
      <c r="B469" s="20" t="inlineStr">
        <is>
          <t>반기보고서 (2015.06)</t>
        </is>
      </c>
      <c r="C469" s="20" t="inlineStr">
        <is>
          <t>에이디테크놀로지</t>
        </is>
      </c>
      <c r="D469" s="20" t="inlineStr">
        <is>
          <t>정기보고서</t>
        </is>
      </c>
      <c r="E469" s="20" t="inlineStr"/>
      <c r="F469" s="20" t="inlineStr">
        <is>
          <t>20150817000636.html</t>
        </is>
      </c>
      <c r="G469" s="20" t="inlineStr">
        <is>
          <t>20150817000636</t>
        </is>
      </c>
      <c r="H469" s="21" t="inlineStr">
        <is>
          <t>열기</t>
        </is>
      </c>
    </row>
    <row r="470">
      <c r="A470" s="20" t="inlineStr">
        <is>
          <t>2015-06-24</t>
        </is>
      </c>
      <c r="B470" s="20" t="inlineStr">
        <is>
          <t>임원ㆍ주요주주특정증권등소유상황보고서</t>
        </is>
      </c>
      <c r="C470" s="20" t="inlineStr">
        <is>
          <t>강종민</t>
        </is>
      </c>
      <c r="D470" s="20" t="inlineStr">
        <is>
          <t>임원 소유상황/거래계획</t>
        </is>
      </c>
      <c r="E470" s="20" t="inlineStr"/>
      <c r="F470" s="20" t="inlineStr">
        <is>
          <t>20150624000194.html</t>
        </is>
      </c>
      <c r="G470" s="20" t="inlineStr">
        <is>
          <t>20150624000194</t>
        </is>
      </c>
      <c r="H470" s="21" t="inlineStr">
        <is>
          <t>열기</t>
        </is>
      </c>
    </row>
    <row r="471">
      <c r="A471" s="20" t="inlineStr">
        <is>
          <t>2015-06-24</t>
        </is>
      </c>
      <c r="B471" s="20" t="inlineStr">
        <is>
          <t>임원ㆍ주요주주특정증권등소유상황보고서</t>
        </is>
      </c>
      <c r="C471" s="20" t="inlineStr">
        <is>
          <t>문갑주</t>
        </is>
      </c>
      <c r="D471" s="20" t="inlineStr">
        <is>
          <t>임원 소유상황/거래계획</t>
        </is>
      </c>
      <c r="E471" s="20" t="inlineStr"/>
      <c r="F471" s="20" t="inlineStr">
        <is>
          <t>20150624000191.html</t>
        </is>
      </c>
      <c r="G471" s="20" t="inlineStr">
        <is>
          <t>20150624000191</t>
        </is>
      </c>
      <c r="H471" s="21" t="inlineStr">
        <is>
          <t>열기</t>
        </is>
      </c>
    </row>
    <row r="472">
      <c r="A472" s="20" t="inlineStr">
        <is>
          <t>2015-06-24</t>
        </is>
      </c>
      <c r="B472" s="20" t="inlineStr">
        <is>
          <t>임원ㆍ주요주주특정증권등소유상황보고서</t>
        </is>
      </c>
      <c r="C472" s="20" t="inlineStr">
        <is>
          <t>이현석</t>
        </is>
      </c>
      <c r="D472" s="20" t="inlineStr">
        <is>
          <t>임원 소유상황/거래계획</t>
        </is>
      </c>
      <c r="E472" s="20" t="inlineStr"/>
      <c r="F472" s="20" t="inlineStr">
        <is>
          <t>20150624000187.html</t>
        </is>
      </c>
      <c r="G472" s="20" t="inlineStr">
        <is>
          <t>20150624000187</t>
        </is>
      </c>
      <c r="H472" s="21" t="inlineStr">
        <is>
          <t>열기</t>
        </is>
      </c>
    </row>
    <row r="473">
      <c r="A473" s="20" t="inlineStr">
        <is>
          <t>2015-06-24</t>
        </is>
      </c>
      <c r="B473" s="20" t="inlineStr">
        <is>
          <t>임원ㆍ주요주주특정증권등소유상황보고서</t>
        </is>
      </c>
      <c r="C473" s="20" t="inlineStr">
        <is>
          <t>최성현</t>
        </is>
      </c>
      <c r="D473" s="20" t="inlineStr">
        <is>
          <t>임원 소유상황/거래계획</t>
        </is>
      </c>
      <c r="E473" s="20" t="inlineStr"/>
      <c r="F473" s="20" t="inlineStr">
        <is>
          <t>20150624000182.html</t>
        </is>
      </c>
      <c r="G473" s="20" t="inlineStr">
        <is>
          <t>20150624000182</t>
        </is>
      </c>
      <c r="H473" s="21" t="inlineStr">
        <is>
          <t>열기</t>
        </is>
      </c>
    </row>
    <row r="474">
      <c r="A474" s="20" t="inlineStr">
        <is>
          <t>2015-06-24</t>
        </is>
      </c>
      <c r="B474" s="20" t="inlineStr">
        <is>
          <t>주식등의대량보유상황보고서(일반)</t>
        </is>
      </c>
      <c r="C474" s="20" t="inlineStr">
        <is>
          <t>김준석</t>
        </is>
      </c>
      <c r="D474" s="20" t="inlineStr">
        <is>
          <t>5% 대량보유</t>
        </is>
      </c>
      <c r="E474" s="20" t="inlineStr"/>
      <c r="F474" s="20" t="inlineStr">
        <is>
          <t>20150624000171.html</t>
        </is>
      </c>
      <c r="G474" s="20" t="inlineStr">
        <is>
          <t>20150624000171</t>
        </is>
      </c>
      <c r="H474" s="21" t="inlineStr">
        <is>
          <t>열기</t>
        </is>
      </c>
    </row>
    <row r="475">
      <c r="A475" s="20" t="inlineStr">
        <is>
          <t>2015-06-05</t>
        </is>
      </c>
      <c r="B475" s="20" t="inlineStr">
        <is>
          <t>임원ㆍ주요주주특정증권등소유상황보고서</t>
        </is>
      </c>
      <c r="C475" s="20" t="inlineStr">
        <is>
          <t>이훈모</t>
        </is>
      </c>
      <c r="D475" s="20" t="inlineStr">
        <is>
          <t>임원 소유상황/거래계획</t>
        </is>
      </c>
      <c r="E475" s="20" t="inlineStr"/>
      <c r="F475" s="20" t="inlineStr">
        <is>
          <t>20150605000170.html</t>
        </is>
      </c>
      <c r="G475" s="20" t="inlineStr">
        <is>
          <t>20150605000170</t>
        </is>
      </c>
      <c r="H475" s="21" t="inlineStr">
        <is>
          <t>열기</t>
        </is>
      </c>
    </row>
    <row r="476">
      <c r="A476" s="20" t="inlineStr">
        <is>
          <t>2015-06-05</t>
        </is>
      </c>
      <c r="B476" s="20" t="inlineStr">
        <is>
          <t>임원ㆍ주요주주특정증권등소유상황보고서</t>
        </is>
      </c>
      <c r="C476" s="20" t="inlineStr">
        <is>
          <t>박준규</t>
        </is>
      </c>
      <c r="D476" s="20" t="inlineStr">
        <is>
          <t>임원 소유상황/거래계획</t>
        </is>
      </c>
      <c r="E476" s="20" t="inlineStr"/>
      <c r="F476" s="20" t="inlineStr">
        <is>
          <t>20150605000165.html</t>
        </is>
      </c>
      <c r="G476" s="20" t="inlineStr">
        <is>
          <t>20150605000165</t>
        </is>
      </c>
      <c r="H476" s="21" t="inlineStr">
        <is>
          <t>열기</t>
        </is>
      </c>
    </row>
    <row r="477">
      <c r="A477" s="20" t="inlineStr">
        <is>
          <t>2015-05-14</t>
        </is>
      </c>
      <c r="B477" s="20" t="inlineStr">
        <is>
          <t>[기재정정]사업보고서 (2014.12)</t>
        </is>
      </c>
      <c r="C477" s="20" t="inlineStr">
        <is>
          <t>에이디테크놀로지</t>
        </is>
      </c>
      <c r="D477" s="20" t="inlineStr">
        <is>
          <t>정기보고서</t>
        </is>
      </c>
      <c r="E477" s="20" t="inlineStr">
        <is>
          <t>정정</t>
        </is>
      </c>
      <c r="F477" s="20" t="inlineStr">
        <is>
          <t>20150514004897.html</t>
        </is>
      </c>
      <c r="G477" s="20" t="inlineStr">
        <is>
          <t>20150514004897</t>
        </is>
      </c>
      <c r="H477" s="21" t="inlineStr">
        <is>
          <t>열기</t>
        </is>
      </c>
    </row>
    <row r="478">
      <c r="A478" s="20" t="inlineStr">
        <is>
          <t>2015-05-14</t>
        </is>
      </c>
      <c r="B478" s="20" t="inlineStr">
        <is>
          <t>분기보고서 (2015.03)</t>
        </is>
      </c>
      <c r="C478" s="20" t="inlineStr">
        <is>
          <t>에이디테크놀로지</t>
        </is>
      </c>
      <c r="D478" s="20" t="inlineStr">
        <is>
          <t>정기보고서</t>
        </is>
      </c>
      <c r="E478" s="20" t="inlineStr"/>
      <c r="F478" s="20" t="inlineStr">
        <is>
          <t>20150514003695.html</t>
        </is>
      </c>
      <c r="G478" s="20" t="inlineStr">
        <is>
          <t>20150514003695</t>
        </is>
      </c>
      <c r="H478" s="21" t="inlineStr">
        <is>
          <t>열기</t>
        </is>
      </c>
    </row>
    <row r="479">
      <c r="A479" s="20" t="inlineStr">
        <is>
          <t>2015-05-14</t>
        </is>
      </c>
      <c r="B479" s="20" t="inlineStr">
        <is>
          <t>[기재정정]사업보고서 (2014.12)</t>
        </is>
      </c>
      <c r="C479" s="20" t="inlineStr">
        <is>
          <t>에이디테크놀로지</t>
        </is>
      </c>
      <c r="D479" s="20" t="inlineStr">
        <is>
          <t>정기보고서</t>
        </is>
      </c>
      <c r="E479" s="20" t="inlineStr">
        <is>
          <t>정정</t>
        </is>
      </c>
      <c r="F479" s="20" t="inlineStr">
        <is>
          <t>20150514003616.html</t>
        </is>
      </c>
      <c r="G479" s="20" t="inlineStr">
        <is>
          <t>20150514003616</t>
        </is>
      </c>
      <c r="H479" s="21" t="inlineStr">
        <is>
          <t>열기</t>
        </is>
      </c>
    </row>
    <row r="480">
      <c r="A480" s="20" t="inlineStr">
        <is>
          <t>2015-05-06</t>
        </is>
      </c>
      <c r="B480" s="20" t="inlineStr">
        <is>
          <t>연결재무제표기준영업(잠정)실적(공정공시)</t>
        </is>
      </c>
      <c r="C480" s="20" t="inlineStr">
        <is>
          <t>에이디테크놀로지</t>
        </is>
      </c>
      <c r="D480" s="20" t="inlineStr">
        <is>
          <t>잠정실적</t>
        </is>
      </c>
      <c r="E480" s="20" t="inlineStr"/>
      <c r="F480" s="20" t="inlineStr">
        <is>
          <t>20150506900117.html</t>
        </is>
      </c>
      <c r="G480" s="20" t="inlineStr">
        <is>
          <t>20150506900117</t>
        </is>
      </c>
      <c r="H480" s="21" t="inlineStr">
        <is>
          <t>열기</t>
        </is>
      </c>
    </row>
    <row r="481">
      <c r="A481" s="20" t="inlineStr">
        <is>
          <t>2015-05-06</t>
        </is>
      </c>
      <c r="B481" s="20" t="inlineStr">
        <is>
          <t>기업설명회(IR)개최</t>
        </is>
      </c>
      <c r="C481" s="20" t="inlineStr">
        <is>
          <t>에이디테크놀로지</t>
        </is>
      </c>
      <c r="D481" s="20" t="inlineStr">
        <is>
          <t>IR</t>
        </is>
      </c>
      <c r="E481" s="20" t="inlineStr"/>
      <c r="F481" s="20" t="inlineStr">
        <is>
          <t>20150506900085.html</t>
        </is>
      </c>
      <c r="G481" s="20" t="inlineStr">
        <is>
          <t>20150506900085</t>
        </is>
      </c>
      <c r="H481" s="21" t="inlineStr">
        <is>
          <t>열기</t>
        </is>
      </c>
    </row>
    <row r="482">
      <c r="A482" s="20" t="inlineStr">
        <is>
          <t>2015-03-31</t>
        </is>
      </c>
      <c r="B482" s="20" t="inlineStr">
        <is>
          <t>주식등의대량보유상황보고서(일반)</t>
        </is>
      </c>
      <c r="C482" s="20" t="inlineStr">
        <is>
          <t>김준석</t>
        </is>
      </c>
      <c r="D482" s="20" t="inlineStr">
        <is>
          <t>5% 대량보유</t>
        </is>
      </c>
      <c r="E482" s="20" t="inlineStr"/>
      <c r="F482" s="20" t="inlineStr">
        <is>
          <t>20150331001367.html</t>
        </is>
      </c>
      <c r="G482" s="20" t="inlineStr">
        <is>
          <t>20150331001367</t>
        </is>
      </c>
      <c r="H482" s="21" t="inlineStr">
        <is>
          <t>열기</t>
        </is>
      </c>
    </row>
    <row r="483">
      <c r="A483" s="20" t="inlineStr">
        <is>
          <t>2015-03-31</t>
        </is>
      </c>
      <c r="B483" s="20" t="inlineStr">
        <is>
          <t>[기재정정]주식등의대량보유상황보고서(일반)</t>
        </is>
      </c>
      <c r="C483" s="20" t="inlineStr">
        <is>
          <t>김준석</t>
        </is>
      </c>
      <c r="D483" s="20" t="inlineStr">
        <is>
          <t>5% 대량보유</t>
        </is>
      </c>
      <c r="E483" s="20" t="inlineStr">
        <is>
          <t>정정</t>
        </is>
      </c>
      <c r="F483" s="20" t="inlineStr">
        <is>
          <t>원문 없음(DART 미제공)</t>
        </is>
      </c>
      <c r="G483" s="20" t="inlineStr">
        <is>
          <t>20150331001272</t>
        </is>
      </c>
      <c r="H483" s="21" t="inlineStr">
        <is>
          <t>열기</t>
        </is>
      </c>
    </row>
    <row r="484">
      <c r="A484" s="20" t="inlineStr">
        <is>
          <t>2015-03-30</t>
        </is>
      </c>
      <c r="B484" s="20" t="inlineStr">
        <is>
          <t>사업보고서 (2014.12)</t>
        </is>
      </c>
      <c r="C484" s="20" t="inlineStr">
        <is>
          <t>에이디테크놀로지</t>
        </is>
      </c>
      <c r="D484" s="20" t="inlineStr">
        <is>
          <t>정기보고서</t>
        </is>
      </c>
      <c r="E484" s="20" t="inlineStr"/>
      <c r="F484" s="20" t="inlineStr">
        <is>
          <t>20150330000327.html</t>
        </is>
      </c>
      <c r="G484" s="20" t="inlineStr">
        <is>
          <t>20150330000327</t>
        </is>
      </c>
      <c r="H484" s="21" t="inlineStr">
        <is>
          <t>열기</t>
        </is>
      </c>
    </row>
    <row r="485">
      <c r="A485" s="20" t="inlineStr">
        <is>
          <t>2015-03-27</t>
        </is>
      </c>
      <c r="B485" s="20" t="inlineStr">
        <is>
          <t>정기주주총회결과</t>
        </is>
      </c>
      <c r="C485" s="20" t="inlineStr">
        <is>
          <t>에이디테크놀로지</t>
        </is>
      </c>
      <c r="D485" s="20" t="inlineStr">
        <is>
          <t>경영권/주총</t>
        </is>
      </c>
      <c r="E485" s="20" t="inlineStr"/>
      <c r="F485" s="20" t="inlineStr">
        <is>
          <t>20150327900724.html</t>
        </is>
      </c>
      <c r="G485" s="20" t="inlineStr">
        <is>
          <t>20150327900724</t>
        </is>
      </c>
      <c r="H485" s="21" t="inlineStr">
        <is>
          <t>열기</t>
        </is>
      </c>
    </row>
    <row r="486">
      <c r="A486" s="20" t="inlineStr">
        <is>
          <t>2015-03-18</t>
        </is>
      </c>
      <c r="B486" s="20" t="inlineStr">
        <is>
          <t>감사보고서제출</t>
        </is>
      </c>
      <c r="C486" s="20" t="inlineStr">
        <is>
          <t>에이디테크놀로지</t>
        </is>
      </c>
      <c r="D486" s="20" t="inlineStr">
        <is>
          <t>감사보고서</t>
        </is>
      </c>
      <c r="E486" s="20" t="inlineStr"/>
      <c r="F486" s="20" t="inlineStr">
        <is>
          <t>20150318900815.html</t>
        </is>
      </c>
      <c r="G486" s="20" t="inlineStr">
        <is>
          <t>20150318900815</t>
        </is>
      </c>
      <c r="H486" s="21" t="inlineStr">
        <is>
          <t>열기</t>
        </is>
      </c>
    </row>
    <row r="487">
      <c r="A487" s="20" t="inlineStr">
        <is>
          <t>2015-03-12</t>
        </is>
      </c>
      <c r="B487" s="20" t="inlineStr">
        <is>
          <t>매출액또는손익구조30%(대규모법인은15%)이상변동</t>
        </is>
      </c>
      <c r="C487" s="20" t="inlineStr">
        <is>
          <t>에이디테크놀로지</t>
        </is>
      </c>
      <c r="D487" s="20" t="inlineStr">
        <is>
          <t>실적변동</t>
        </is>
      </c>
      <c r="E487" s="20" t="inlineStr"/>
      <c r="F487" s="20" t="inlineStr">
        <is>
          <t>20150312900583.html</t>
        </is>
      </c>
      <c r="G487" s="20" t="inlineStr">
        <is>
          <t>20150312900583</t>
        </is>
      </c>
      <c r="H487" s="21" t="inlineStr">
        <is>
          <t>열기</t>
        </is>
      </c>
    </row>
    <row r="488">
      <c r="A488" s="20" t="inlineStr">
        <is>
          <t>2015-03-12</t>
        </is>
      </c>
      <c r="B488" s="20" t="inlineStr">
        <is>
          <t>주주총회소집결의</t>
        </is>
      </c>
      <c r="C488" s="20" t="inlineStr">
        <is>
          <t>에이디테크놀로지</t>
        </is>
      </c>
      <c r="D488" s="20" t="inlineStr">
        <is>
          <t>경영권/주총</t>
        </is>
      </c>
      <c r="E488" s="20" t="inlineStr"/>
      <c r="F488" s="20" t="inlineStr">
        <is>
          <t>20150312900554.html</t>
        </is>
      </c>
      <c r="G488" s="20" t="inlineStr">
        <is>
          <t>20150312900554</t>
        </is>
      </c>
      <c r="H488" s="21" t="inlineStr">
        <is>
          <t>열기</t>
        </is>
      </c>
    </row>
    <row r="489">
      <c r="A489" s="20" t="inlineStr">
        <is>
          <t>2015-03-12</t>
        </is>
      </c>
      <c r="B489" s="20" t="inlineStr">
        <is>
          <t>주주총회소집공고</t>
        </is>
      </c>
      <c r="C489" s="20" t="inlineStr">
        <is>
          <t>에이디테크놀로지</t>
        </is>
      </c>
      <c r="D489" s="20" t="inlineStr">
        <is>
          <t>경영권/주총</t>
        </is>
      </c>
      <c r="E489" s="20" t="inlineStr"/>
      <c r="F489" s="20" t="inlineStr">
        <is>
          <t>20150312000329.html</t>
        </is>
      </c>
      <c r="G489" s="20" t="inlineStr">
        <is>
          <t>20150312000329</t>
        </is>
      </c>
      <c r="H489" s="21" t="inlineStr">
        <is>
          <t>열기</t>
        </is>
      </c>
    </row>
    <row r="490">
      <c r="A490" s="20" t="inlineStr">
        <is>
          <t>2015-02-24</t>
        </is>
      </c>
      <c r="B490" s="20" t="inlineStr">
        <is>
          <t>연결재무제표기준영업(잠정)실적(공정공시)</t>
        </is>
      </c>
      <c r="C490" s="20" t="inlineStr">
        <is>
          <t>에이디테크놀로지</t>
        </is>
      </c>
      <c r="D490" s="20" t="inlineStr">
        <is>
          <t>잠정실적</t>
        </is>
      </c>
      <c r="E490" s="20" t="inlineStr"/>
      <c r="F490" s="20" t="inlineStr">
        <is>
          <t>20150224900034.html</t>
        </is>
      </c>
      <c r="G490" s="20" t="inlineStr">
        <is>
          <t>20150224900034</t>
        </is>
      </c>
      <c r="H490" s="21" t="inlineStr">
        <is>
          <t>열기</t>
        </is>
      </c>
    </row>
    <row r="491">
      <c r="A491" s="20" t="inlineStr">
        <is>
          <t>2015-01-22</t>
        </is>
      </c>
      <c r="B491" s="20" t="inlineStr">
        <is>
          <t>임원ㆍ주요주주특정증권등소유상황보고서</t>
        </is>
      </c>
      <c r="C491" s="20" t="inlineStr">
        <is>
          <t>강종민</t>
        </is>
      </c>
      <c r="D491" s="20" t="inlineStr">
        <is>
          <t>임원 소유상황/거래계획</t>
        </is>
      </c>
      <c r="E491" s="20" t="inlineStr"/>
      <c r="F491" s="20" t="inlineStr">
        <is>
          <t>20150122000040.html</t>
        </is>
      </c>
      <c r="G491" s="20" t="inlineStr">
        <is>
          <t>20150122000040</t>
        </is>
      </c>
      <c r="H491" s="21" t="inlineStr">
        <is>
          <t>열기</t>
        </is>
      </c>
    </row>
    <row r="492">
      <c r="A492" s="20" t="inlineStr">
        <is>
          <t>2015-01-15</t>
        </is>
      </c>
      <c r="B492" s="20" t="inlineStr">
        <is>
          <t>주식매수선택권행사</t>
        </is>
      </c>
      <c r="C492" s="20" t="inlineStr">
        <is>
          <t>에이디테크놀로지</t>
        </is>
      </c>
      <c r="D492" s="20" t="inlineStr">
        <is>
          <t>스톡옵션</t>
        </is>
      </c>
      <c r="E492" s="20" t="inlineStr"/>
      <c r="F492" s="20" t="inlineStr">
        <is>
          <t>20150115900127.html</t>
        </is>
      </c>
      <c r="G492" s="20" t="inlineStr">
        <is>
          <t>20150115900127</t>
        </is>
      </c>
      <c r="H492" s="21" t="inlineStr">
        <is>
          <t>열기</t>
        </is>
      </c>
    </row>
    <row r="493">
      <c r="A493" s="20" t="inlineStr">
        <is>
          <t>2014-12-30</t>
        </is>
      </c>
      <c r="B493" s="20" t="inlineStr">
        <is>
          <t>주식등의대량보유상황보고서(약식)</t>
        </is>
      </c>
      <c r="C493" s="20" t="inlineStr">
        <is>
          <t>현대기술투자</t>
        </is>
      </c>
      <c r="D493" s="20" t="inlineStr">
        <is>
          <t>5% 대량보유</t>
        </is>
      </c>
      <c r="E493" s="20" t="inlineStr"/>
      <c r="F493" s="20" t="inlineStr">
        <is>
          <t>20141230000678.html</t>
        </is>
      </c>
      <c r="G493" s="20" t="inlineStr">
        <is>
          <t>20141230000678</t>
        </is>
      </c>
      <c r="H493" s="21" t="inlineStr">
        <is>
          <t>열기</t>
        </is>
      </c>
    </row>
    <row r="494">
      <c r="A494" s="20" t="inlineStr">
        <is>
          <t>2014-12-24</t>
        </is>
      </c>
      <c r="B494" s="20" t="inlineStr">
        <is>
          <t>임원ㆍ주요주주특정증권등소유상황보고서</t>
        </is>
      </c>
      <c r="C494" s="20" t="inlineStr">
        <is>
          <t>김준석</t>
        </is>
      </c>
      <c r="D494" s="20" t="inlineStr">
        <is>
          <t>임원 소유상황/거래계획</t>
        </is>
      </c>
      <c r="E494" s="20" t="inlineStr"/>
      <c r="F494" s="20" t="inlineStr">
        <is>
          <t>20141224000123.html</t>
        </is>
      </c>
      <c r="G494" s="20" t="inlineStr">
        <is>
          <t>20141224000123</t>
        </is>
      </c>
      <c r="H494" s="21" t="inlineStr">
        <is>
          <t>열기</t>
        </is>
      </c>
    </row>
    <row r="495">
      <c r="A495" s="20" t="inlineStr">
        <is>
          <t>2014-12-24</t>
        </is>
      </c>
      <c r="B495" s="20" t="inlineStr">
        <is>
          <t>임원ㆍ주요주주특정증권등소유상황보고서</t>
        </is>
      </c>
      <c r="C495" s="20" t="inlineStr">
        <is>
          <t>최성현</t>
        </is>
      </c>
      <c r="D495" s="20" t="inlineStr">
        <is>
          <t>임원 소유상황/거래계획</t>
        </is>
      </c>
      <c r="E495" s="20" t="inlineStr"/>
      <c r="F495" s="20" t="inlineStr">
        <is>
          <t>20141224000122.html</t>
        </is>
      </c>
      <c r="G495" s="20" t="inlineStr">
        <is>
          <t>20141224000122</t>
        </is>
      </c>
      <c r="H495" s="21" t="inlineStr">
        <is>
          <t>열기</t>
        </is>
      </c>
    </row>
    <row r="496">
      <c r="A496" s="20" t="inlineStr">
        <is>
          <t>2014-12-24</t>
        </is>
      </c>
      <c r="B496" s="20" t="inlineStr">
        <is>
          <t>임원ㆍ주요주주특정증권등소유상황보고서</t>
        </is>
      </c>
      <c r="C496" s="20" t="inlineStr">
        <is>
          <t>이현석</t>
        </is>
      </c>
      <c r="D496" s="20" t="inlineStr">
        <is>
          <t>임원 소유상황/거래계획</t>
        </is>
      </c>
      <c r="E496" s="20" t="inlineStr"/>
      <c r="F496" s="20" t="inlineStr">
        <is>
          <t>20141224000120.html</t>
        </is>
      </c>
      <c r="G496" s="20" t="inlineStr">
        <is>
          <t>20141224000120</t>
        </is>
      </c>
      <c r="H496" s="21" t="inlineStr">
        <is>
          <t>열기</t>
        </is>
      </c>
    </row>
    <row r="497">
      <c r="A497" s="20" t="inlineStr">
        <is>
          <t>2014-12-24</t>
        </is>
      </c>
      <c r="B497" s="20" t="inlineStr">
        <is>
          <t>임원ㆍ주요주주특정증권등소유상황보고서</t>
        </is>
      </c>
      <c r="C497" s="20" t="inlineStr">
        <is>
          <t>강종민</t>
        </is>
      </c>
      <c r="D497" s="20" t="inlineStr">
        <is>
          <t>임원 소유상황/거래계획</t>
        </is>
      </c>
      <c r="E497" s="20" t="inlineStr"/>
      <c r="F497" s="20" t="inlineStr">
        <is>
          <t>20141224000119.html</t>
        </is>
      </c>
      <c r="G497" s="20" t="inlineStr">
        <is>
          <t>20141224000119</t>
        </is>
      </c>
      <c r="H497" s="21" t="inlineStr">
        <is>
          <t>열기</t>
        </is>
      </c>
    </row>
    <row r="498">
      <c r="A498" s="20" t="inlineStr">
        <is>
          <t>2014-12-24</t>
        </is>
      </c>
      <c r="B498" s="20" t="inlineStr">
        <is>
          <t>임원ㆍ주요주주특정증권등소유상황보고서</t>
        </is>
      </c>
      <c r="C498" s="20" t="inlineStr">
        <is>
          <t>이훈모</t>
        </is>
      </c>
      <c r="D498" s="20" t="inlineStr">
        <is>
          <t>임원 소유상황/거래계획</t>
        </is>
      </c>
      <c r="E498" s="20" t="inlineStr"/>
      <c r="F498" s="20" t="inlineStr">
        <is>
          <t>20141224000117.html</t>
        </is>
      </c>
      <c r="G498" s="20" t="inlineStr">
        <is>
          <t>20141224000117</t>
        </is>
      </c>
      <c r="H498" s="21" t="inlineStr">
        <is>
          <t>열기</t>
        </is>
      </c>
    </row>
    <row r="499">
      <c r="A499" s="20" t="inlineStr">
        <is>
          <t>2014-12-24</t>
        </is>
      </c>
      <c r="B499" s="20" t="inlineStr">
        <is>
          <t>임원ㆍ주요주주특정증권등소유상황보고서</t>
        </is>
      </c>
      <c r="C499" s="20" t="inlineStr">
        <is>
          <t>박준규</t>
        </is>
      </c>
      <c r="D499" s="20" t="inlineStr">
        <is>
          <t>임원 소유상황/거래계획</t>
        </is>
      </c>
      <c r="E499" s="20" t="inlineStr"/>
      <c r="F499" s="20" t="inlineStr">
        <is>
          <t>20141224000112.html</t>
        </is>
      </c>
      <c r="G499" s="20" t="inlineStr">
        <is>
          <t>20141224000112</t>
        </is>
      </c>
      <c r="H499" s="21" t="inlineStr">
        <is>
          <t>열기</t>
        </is>
      </c>
    </row>
    <row r="500">
      <c r="A500" s="20" t="inlineStr">
        <is>
          <t>2014-12-24</t>
        </is>
      </c>
      <c r="B500" s="20" t="inlineStr">
        <is>
          <t>임원ㆍ주요주주특정증권등소유상황보고서</t>
        </is>
      </c>
      <c r="C500" s="20" t="inlineStr">
        <is>
          <t>문갑주</t>
        </is>
      </c>
      <c r="D500" s="20" t="inlineStr">
        <is>
          <t>임원 소유상황/거래계획</t>
        </is>
      </c>
      <c r="E500" s="20" t="inlineStr"/>
      <c r="F500" s="20" t="inlineStr">
        <is>
          <t>20141224000109.html</t>
        </is>
      </c>
      <c r="G500" s="20" t="inlineStr">
        <is>
          <t>20141224000109</t>
        </is>
      </c>
      <c r="H500" s="21" t="inlineStr">
        <is>
          <t>열기</t>
        </is>
      </c>
    </row>
    <row r="501">
      <c r="A501" s="20" t="inlineStr">
        <is>
          <t>2014-12-24</t>
        </is>
      </c>
      <c r="B501" s="20" t="inlineStr">
        <is>
          <t>주식등의대량보유상황보고서(일반)</t>
        </is>
      </c>
      <c r="C501" s="20" t="inlineStr">
        <is>
          <t>김준석</t>
        </is>
      </c>
      <c r="D501" s="20" t="inlineStr">
        <is>
          <t>5% 대량보유</t>
        </is>
      </c>
      <c r="E501" s="20" t="inlineStr"/>
      <c r="F501" s="20" t="inlineStr">
        <is>
          <t>20141223000463.html</t>
        </is>
      </c>
      <c r="G501" s="20" t="inlineStr">
        <is>
          <t>20141223000463</t>
        </is>
      </c>
      <c r="H501" s="21" t="inlineStr">
        <is>
          <t>열기</t>
        </is>
      </c>
    </row>
    <row r="502">
      <c r="A502" s="20" t="inlineStr">
        <is>
          <t>2014-12-22</t>
        </is>
      </c>
      <c r="B502" s="20" t="inlineStr">
        <is>
          <t>주식등의대량보유상황보고서(약식)</t>
        </is>
      </c>
      <c r="C502" s="20" t="inlineStr">
        <is>
          <t>현대기술투자</t>
        </is>
      </c>
      <c r="D502" s="20" t="inlineStr">
        <is>
          <t>5% 대량보유</t>
        </is>
      </c>
      <c r="E502" s="20" t="inlineStr"/>
      <c r="F502" s="20" t="inlineStr">
        <is>
          <t>20141222000333.html</t>
        </is>
      </c>
      <c r="G502" s="20" t="inlineStr">
        <is>
          <t>20141222000333</t>
        </is>
      </c>
      <c r="H502" s="21" t="inlineStr">
        <is>
          <t>열기</t>
        </is>
      </c>
    </row>
    <row r="503">
      <c r="A503" s="20" t="inlineStr">
        <is>
          <t>2014-12-10</t>
        </is>
      </c>
      <c r="B503" s="20" t="inlineStr">
        <is>
          <t>증권발행실적보고서</t>
        </is>
      </c>
      <c r="C503" s="20" t="inlineStr">
        <is>
          <t>에이디테크놀로지</t>
        </is>
      </c>
      <c r="D503" s="20" t="inlineStr">
        <is>
          <t>증권신고/합병</t>
        </is>
      </c>
      <c r="E503" s="20" t="inlineStr"/>
      <c r="F503" s="20" t="inlineStr">
        <is>
          <t>20141210000339.html</t>
        </is>
      </c>
      <c r="G503" s="20" t="inlineStr">
        <is>
          <t>20141210000339</t>
        </is>
      </c>
      <c r="H503" s="21" t="inlineStr">
        <is>
          <t>열기</t>
        </is>
      </c>
    </row>
    <row r="504">
      <c r="A504" s="20" t="inlineStr">
        <is>
          <t>2014-12-03</t>
        </is>
      </c>
      <c r="B504" s="20" t="inlineStr">
        <is>
          <t>[발행조건확정]증권신고서(지분증권)</t>
        </is>
      </c>
      <c r="C504" s="20" t="inlineStr">
        <is>
          <t>에이디테크놀로지</t>
        </is>
      </c>
      <c r="D504" s="20" t="inlineStr">
        <is>
          <t>증권신고/합병</t>
        </is>
      </c>
      <c r="E504" s="20" t="inlineStr"/>
      <c r="F504" s="20" t="inlineStr">
        <is>
          <t>20141203000018.html</t>
        </is>
      </c>
      <c r="G504" s="20" t="inlineStr">
        <is>
          <t>20141203000018</t>
        </is>
      </c>
      <c r="H504" s="21" t="inlineStr">
        <is>
          <t>열기</t>
        </is>
      </c>
    </row>
    <row r="505">
      <c r="A505" s="20" t="inlineStr">
        <is>
          <t>2014-12-03</t>
        </is>
      </c>
      <c r="B505" s="20" t="inlineStr">
        <is>
          <t>[첨부정정]증권신고서(지분증권)</t>
        </is>
      </c>
      <c r="C505" s="20" t="inlineStr">
        <is>
          <t>에이디테크놀로지</t>
        </is>
      </c>
      <c r="D505" s="20" t="inlineStr">
        <is>
          <t>증권신고/합병</t>
        </is>
      </c>
      <c r="E505" s="20" t="inlineStr">
        <is>
          <t>정정</t>
        </is>
      </c>
      <c r="F505" s="20" t="inlineStr">
        <is>
          <t>원문 없음(DART 미제공)</t>
        </is>
      </c>
      <c r="G505" s="20" t="inlineStr">
        <is>
          <t>20141203000016</t>
        </is>
      </c>
      <c r="H505" s="21" t="inlineStr">
        <is>
          <t>열기</t>
        </is>
      </c>
    </row>
    <row r="506">
      <c r="A506" s="20" t="inlineStr">
        <is>
          <t>2014-12-03</t>
        </is>
      </c>
      <c r="B506" s="20" t="inlineStr">
        <is>
          <t>[기재정정]투자설명서</t>
        </is>
      </c>
      <c r="C506" s="20" t="inlineStr">
        <is>
          <t>에이디테크놀로지</t>
        </is>
      </c>
      <c r="D506" s="20" t="inlineStr">
        <is>
          <t>증권신고/합병</t>
        </is>
      </c>
      <c r="E506" s="20" t="inlineStr">
        <is>
          <t>정정</t>
        </is>
      </c>
      <c r="F506" s="20" t="inlineStr">
        <is>
          <t>20141203000014.html</t>
        </is>
      </c>
      <c r="G506" s="20" t="inlineStr">
        <is>
          <t>20141203000014</t>
        </is>
      </c>
      <c r="H506" s="21" t="inlineStr">
        <is>
          <t>열기</t>
        </is>
      </c>
    </row>
    <row r="507">
      <c r="A507" s="20" t="inlineStr">
        <is>
          <t>2014-11-28</t>
        </is>
      </c>
      <c r="B507" s="20" t="inlineStr">
        <is>
          <t>투자설명서</t>
        </is>
      </c>
      <c r="C507" s="20" t="inlineStr">
        <is>
          <t>에이디테크놀로지</t>
        </is>
      </c>
      <c r="D507" s="20" t="inlineStr">
        <is>
          <t>증권신고/합병</t>
        </is>
      </c>
      <c r="E507" s="20" t="inlineStr"/>
      <c r="F507" s="20" t="inlineStr">
        <is>
          <t>20141128000015.html</t>
        </is>
      </c>
      <c r="G507" s="20" t="inlineStr">
        <is>
          <t>20141128000015</t>
        </is>
      </c>
      <c r="H507" s="21" t="inlineStr">
        <is>
          <t>열기</t>
        </is>
      </c>
    </row>
    <row r="508">
      <c r="A508" s="20" t="inlineStr">
        <is>
          <t>2014-11-27</t>
        </is>
      </c>
      <c r="B508" s="20" t="inlineStr">
        <is>
          <t>[기재정정]증권신고서(지분증권)</t>
        </is>
      </c>
      <c r="C508" s="20" t="inlineStr">
        <is>
          <t>에이디테크놀로지</t>
        </is>
      </c>
      <c r="D508" s="20" t="inlineStr">
        <is>
          <t>증권신고/합병</t>
        </is>
      </c>
      <c r="E508" s="20" t="inlineStr">
        <is>
          <t>정정</t>
        </is>
      </c>
      <c r="F508" s="20" t="inlineStr">
        <is>
          <t>20141127000304.html</t>
        </is>
      </c>
      <c r="G508" s="20" t="inlineStr">
        <is>
          <t>20141127000304</t>
        </is>
      </c>
      <c r="H508" s="21" t="inlineStr">
        <is>
          <t>열기</t>
        </is>
      </c>
    </row>
    <row r="509">
      <c r="A509" s="20" t="inlineStr">
        <is>
          <t>2014-11-26</t>
        </is>
      </c>
      <c r="B509" s="20" t="inlineStr">
        <is>
          <t>[첨부정정]증권신고서(지분증권)</t>
        </is>
      </c>
      <c r="C509" s="20" t="inlineStr">
        <is>
          <t>에이디테크놀로지</t>
        </is>
      </c>
      <c r="D509" s="20" t="inlineStr">
        <is>
          <t>증권신고/합병</t>
        </is>
      </c>
      <c r="E509" s="20" t="inlineStr">
        <is>
          <t>정정</t>
        </is>
      </c>
      <c r="F509" s="20" t="inlineStr">
        <is>
          <t>원문 없음(DART 미제공)</t>
        </is>
      </c>
      <c r="G509" s="20" t="inlineStr">
        <is>
          <t>20141126000321</t>
        </is>
      </c>
      <c r="H509" s="21" t="inlineStr">
        <is>
          <t>열기</t>
        </is>
      </c>
    </row>
    <row r="510">
      <c r="A510" s="20" t="inlineStr">
        <is>
          <t>2014-11-25</t>
        </is>
      </c>
      <c r="B510" s="20" t="inlineStr">
        <is>
          <t>[기재정정]증권신고서(지분증권)</t>
        </is>
      </c>
      <c r="C510" s="20" t="inlineStr">
        <is>
          <t>에이디테크놀로지</t>
        </is>
      </c>
      <c r="D510" s="20" t="inlineStr">
        <is>
          <t>증권신고/합병</t>
        </is>
      </c>
      <c r="E510" s="20" t="inlineStr">
        <is>
          <t>정정</t>
        </is>
      </c>
      <c r="F510" s="20" t="inlineStr">
        <is>
          <t>20141125000236.html</t>
        </is>
      </c>
      <c r="G510" s="20" t="inlineStr">
        <is>
          <t>20141125000236</t>
        </is>
      </c>
      <c r="H510" s="21" t="inlineStr">
        <is>
          <t>열기</t>
        </is>
      </c>
    </row>
    <row r="511">
      <c r="A511" s="20" t="inlineStr">
        <is>
          <t>2014-11-06</t>
        </is>
      </c>
      <c r="B511" s="20" t="inlineStr">
        <is>
          <t>증권신고서(지분증권)</t>
        </is>
      </c>
      <c r="C511" s="20" t="inlineStr">
        <is>
          <t>에이디테크놀로지</t>
        </is>
      </c>
      <c r="D511" s="20" t="inlineStr">
        <is>
          <t>증권신고/합병</t>
        </is>
      </c>
      <c r="E511" s="20" t="inlineStr"/>
      <c r="F511" s="20" t="inlineStr">
        <is>
          <t>20141106003843.html</t>
        </is>
      </c>
      <c r="G511" s="20" t="inlineStr">
        <is>
          <t>20141106003843</t>
        </is>
      </c>
      <c r="H511" s="21" t="inlineStr">
        <is>
          <t>열기</t>
        </is>
      </c>
    </row>
    <row r="512">
      <c r="A512" s="20" t="inlineStr">
        <is>
          <t>2014-08-25</t>
        </is>
      </c>
      <c r="B512" s="20" t="inlineStr">
        <is>
          <t>[기재정정]연결감사보고서 (2013.12)</t>
        </is>
      </c>
      <c r="C512" s="20" t="inlineStr">
        <is>
          <t>정일회계법인</t>
        </is>
      </c>
      <c r="D512" s="20" t="inlineStr">
        <is>
          <t>감사보고서</t>
        </is>
      </c>
      <c r="E512" s="20" t="inlineStr">
        <is>
          <t>정정</t>
        </is>
      </c>
      <c r="F512" s="20" t="inlineStr">
        <is>
          <t>20140825000606.html</t>
        </is>
      </c>
      <c r="G512" s="20" t="inlineStr">
        <is>
          <t>20140825000606</t>
        </is>
      </c>
      <c r="H512" s="21" t="inlineStr">
        <is>
          <t>열기</t>
        </is>
      </c>
    </row>
    <row r="513">
      <c r="A513" s="20" t="inlineStr">
        <is>
          <t>2014-08-25</t>
        </is>
      </c>
      <c r="B513" s="20" t="inlineStr">
        <is>
          <t>[기재정정]감사보고서 (2013.12)</t>
        </is>
      </c>
      <c r="C513" s="20" t="inlineStr">
        <is>
          <t>정일회계법인</t>
        </is>
      </c>
      <c r="D513" s="20" t="inlineStr">
        <is>
          <t>감사보고서</t>
        </is>
      </c>
      <c r="E513" s="20" t="inlineStr">
        <is>
          <t>정정</t>
        </is>
      </c>
      <c r="F513" s="20" t="inlineStr">
        <is>
          <t>20140825000604.html</t>
        </is>
      </c>
      <c r="G513" s="20" t="inlineStr">
        <is>
          <t>20140825000604</t>
        </is>
      </c>
      <c r="H513" s="21" t="inlineStr">
        <is>
          <t>열기</t>
        </is>
      </c>
    </row>
    <row r="514">
      <c r="A514" s="20" t="inlineStr">
        <is>
          <t>2014-03-31</t>
        </is>
      </c>
      <c r="B514" s="20" t="inlineStr">
        <is>
          <t>연결감사보고서 (2013.12)</t>
        </is>
      </c>
      <c r="C514" s="20" t="inlineStr">
        <is>
          <t>정일회계법인</t>
        </is>
      </c>
      <c r="D514" s="20" t="inlineStr">
        <is>
          <t>감사보고서</t>
        </is>
      </c>
      <c r="E514" s="20" t="inlineStr"/>
      <c r="F514" s="20" t="inlineStr">
        <is>
          <t>20140331002784.html</t>
        </is>
      </c>
      <c r="G514" s="20" t="inlineStr">
        <is>
          <t>20140331002784</t>
        </is>
      </c>
      <c r="H514" s="21" t="inlineStr">
        <is>
          <t>열기</t>
        </is>
      </c>
    </row>
    <row r="515">
      <c r="A515" s="20" t="inlineStr">
        <is>
          <t>2014-03-31</t>
        </is>
      </c>
      <c r="B515" s="20" t="inlineStr">
        <is>
          <t>감사보고서 (2013.12)</t>
        </is>
      </c>
      <c r="C515" s="20" t="inlineStr">
        <is>
          <t>정일회계법인</t>
        </is>
      </c>
      <c r="D515" s="20" t="inlineStr">
        <is>
          <t>감사보고서</t>
        </is>
      </c>
      <c r="E515" s="20" t="inlineStr"/>
      <c r="F515" s="20" t="inlineStr">
        <is>
          <t>20140331002470.html</t>
        </is>
      </c>
      <c r="G515" s="20" t="inlineStr">
        <is>
          <t>20140331002470</t>
        </is>
      </c>
      <c r="H515" s="21" t="inlineStr">
        <is>
          <t>열기</t>
        </is>
      </c>
    </row>
    <row r="516">
      <c r="A516" s="20" t="inlineStr">
        <is>
          <t>2013-03-29</t>
        </is>
      </c>
      <c r="B516" s="20" t="inlineStr">
        <is>
          <t>감사보고서 (2012.12)</t>
        </is>
      </c>
      <c r="C516" s="20" t="inlineStr">
        <is>
          <t>정일회계법인</t>
        </is>
      </c>
      <c r="D516" s="20" t="inlineStr">
        <is>
          <t>감사보고서</t>
        </is>
      </c>
      <c r="E516" s="20" t="inlineStr"/>
      <c r="F516" s="20" t="inlineStr">
        <is>
          <t>20130329000698.html</t>
        </is>
      </c>
      <c r="G516" s="20" t="inlineStr">
        <is>
          <t>20130329000698</t>
        </is>
      </c>
      <c r="H516" s="21" t="inlineStr">
        <is>
          <t>열기</t>
        </is>
      </c>
    </row>
    <row r="517">
      <c r="A517" s="20" t="inlineStr">
        <is>
          <t>2012-03-30</t>
        </is>
      </c>
      <c r="B517" s="20" t="inlineStr">
        <is>
          <t>감사보고서 (2011.12)</t>
        </is>
      </c>
      <c r="C517" s="20" t="inlineStr">
        <is>
          <t>정일회계법인</t>
        </is>
      </c>
      <c r="D517" s="20" t="inlineStr">
        <is>
          <t>감사보고서</t>
        </is>
      </c>
      <c r="E517" s="20" t="inlineStr"/>
      <c r="F517" s="20" t="inlineStr">
        <is>
          <t>20120330000993.html</t>
        </is>
      </c>
      <c r="G517" s="20" t="inlineStr">
        <is>
          <t>20120330000993</t>
        </is>
      </c>
      <c r="H517" s="21" t="inlineStr">
        <is>
          <t>열기</t>
        </is>
      </c>
    </row>
    <row r="518">
      <c r="A518" s="20" t="inlineStr">
        <is>
          <t>2011-03-31</t>
        </is>
      </c>
      <c r="B518" s="20" t="inlineStr">
        <is>
          <t>감사보고서 (2010.12)</t>
        </is>
      </c>
      <c r="C518" s="20" t="inlineStr">
        <is>
          <t>정일회계법인</t>
        </is>
      </c>
      <c r="D518" s="20" t="inlineStr">
        <is>
          <t>감사보고서</t>
        </is>
      </c>
      <c r="E518" s="20" t="inlineStr"/>
      <c r="F518" s="20" t="inlineStr">
        <is>
          <t>20110331000498.html</t>
        </is>
      </c>
      <c r="G518" s="20" t="inlineStr">
        <is>
          <t>20110331000498</t>
        </is>
      </c>
      <c r="H518" s="21" t="inlineStr">
        <is>
          <t>열기</t>
        </is>
      </c>
    </row>
    <row r="519">
      <c r="A519" s="20" t="inlineStr">
        <is>
          <t>2010-03-31</t>
        </is>
      </c>
      <c r="B519" s="20" t="inlineStr">
        <is>
          <t>감사보고서 (2009.12)</t>
        </is>
      </c>
      <c r="C519" s="20" t="inlineStr">
        <is>
          <t>정일회계법인</t>
        </is>
      </c>
      <c r="D519" s="20" t="inlineStr">
        <is>
          <t>감사보고서</t>
        </is>
      </c>
      <c r="E519" s="20" t="inlineStr"/>
      <c r="F519" s="20" t="inlineStr">
        <is>
          <t>20100331000261.html</t>
        </is>
      </c>
      <c r="G519" s="20" t="inlineStr">
        <is>
          <t>20100331000261</t>
        </is>
      </c>
      <c r="H519" s="21" t="inlineStr">
        <is>
          <t>열기</t>
        </is>
      </c>
    </row>
    <row r="520">
      <c r="A520" s="20" t="inlineStr">
        <is>
          <t>2009-03-27</t>
        </is>
      </c>
      <c r="B520" s="20" t="inlineStr">
        <is>
          <t>감사보고서 (2008.12)</t>
        </is>
      </c>
      <c r="C520" s="20" t="inlineStr">
        <is>
          <t>정일회계법인</t>
        </is>
      </c>
      <c r="D520" s="20" t="inlineStr">
        <is>
          <t>감사보고서</t>
        </is>
      </c>
      <c r="E520" s="20" t="inlineStr"/>
      <c r="F520" s="20" t="inlineStr">
        <is>
          <t>20090327000090.html</t>
        </is>
      </c>
      <c r="G520" s="20" t="inlineStr">
        <is>
          <t>20090327000090</t>
        </is>
      </c>
      <c r="H520" s="21" t="inlineStr">
        <is>
          <t>열기</t>
        </is>
      </c>
    </row>
  </sheetData>
  <autoFilter ref="A1:H52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2" customWidth="1" min="11" max="11"/>
    <col width="22" customWidth="1" min="12" max="12"/>
  </cols>
  <sheetData>
    <row r="1" ht="30" customHeight="1">
      <c r="A1" s="19" t="inlineStr">
        <is>
          <t>기간</t>
        </is>
      </c>
      <c r="B1" s="19" t="inlineStr">
        <is>
          <t>구분</t>
        </is>
      </c>
      <c r="C1" s="19" t="inlineStr">
        <is>
          <t>매출액</t>
        </is>
      </c>
      <c r="D1" s="19" t="inlineStr">
        <is>
          <t>영업이익</t>
        </is>
      </c>
      <c r="E1" s="19" t="inlineStr">
        <is>
          <t>당기순이익</t>
        </is>
      </c>
      <c r="F1" s="19" t="inlineStr">
        <is>
          <t>영업이익률(%)</t>
        </is>
      </c>
      <c r="G1" s="19" t="inlineStr">
        <is>
          <t>자산총계</t>
        </is>
      </c>
      <c r="H1" s="19" t="inlineStr">
        <is>
          <t>부채총계</t>
        </is>
      </c>
      <c r="I1" s="19" t="inlineStr">
        <is>
          <t>자본총계</t>
        </is>
      </c>
      <c r="J1" s="19" t="inlineStr">
        <is>
          <t>자본금</t>
        </is>
      </c>
      <c r="K1" s="19" t="inlineStr">
        <is>
          <t>부채비율(%)</t>
        </is>
      </c>
      <c r="L1" s="19" t="inlineStr">
        <is>
          <t>비고</t>
        </is>
      </c>
    </row>
    <row r="2">
      <c r="A2" s="20" t="inlineStr">
        <is>
          <t>2015 연간</t>
        </is>
      </c>
      <c r="B2" s="20" t="inlineStr">
        <is>
          <t>연간</t>
        </is>
      </c>
      <c r="C2" s="23" t="n">
        <v>35797490044</v>
      </c>
      <c r="D2" s="23" t="n">
        <v>1966063250</v>
      </c>
      <c r="E2" s="23" t="n">
        <v>2656317147</v>
      </c>
      <c r="F2" s="23" t="n">
        <v>5.5</v>
      </c>
      <c r="G2" s="23" t="n">
        <v>45723337110</v>
      </c>
      <c r="H2" s="23" t="n">
        <v>7775159915</v>
      </c>
      <c r="I2" s="23" t="n">
        <v>37948177195</v>
      </c>
      <c r="J2" s="23" t="n">
        <v>2052347500</v>
      </c>
      <c r="K2" s="23" t="n">
        <v>20.5</v>
      </c>
      <c r="L2" s="20" t="inlineStr">
        <is>
          <t>연결</t>
        </is>
      </c>
    </row>
    <row r="3">
      <c r="A3" s="20" t="inlineStr">
        <is>
          <t>2016Q1</t>
        </is>
      </c>
      <c r="B3" s="20" t="inlineStr">
        <is>
          <t>분기</t>
        </is>
      </c>
      <c r="C3" s="23" t="n">
        <v>6406723637</v>
      </c>
      <c r="D3" s="23" t="n">
        <v>-1047714947</v>
      </c>
      <c r="E3" s="23" t="n">
        <v>-1316526276</v>
      </c>
      <c r="F3" s="23" t="n">
        <v>-16.4</v>
      </c>
      <c r="G3" s="23" t="n">
        <v>44467002127</v>
      </c>
      <c r="H3" s="23" t="n">
        <v>8746981293</v>
      </c>
      <c r="I3" s="23" t="n">
        <v>35720020834</v>
      </c>
      <c r="J3" s="23" t="n">
        <v>2068097500</v>
      </c>
      <c r="K3" s="23" t="n">
        <v>24.5</v>
      </c>
      <c r="L3" s="20" t="inlineStr">
        <is>
          <t>3개월 단독</t>
        </is>
      </c>
    </row>
    <row r="4">
      <c r="A4" s="20" t="inlineStr">
        <is>
          <t>2016Q2</t>
        </is>
      </c>
      <c r="B4" s="20" t="inlineStr">
        <is>
          <t>분기</t>
        </is>
      </c>
      <c r="C4" s="23" t="n">
        <v>3915165620</v>
      </c>
      <c r="D4" s="23" t="n">
        <v>-1282749315</v>
      </c>
      <c r="E4" s="23" t="n">
        <v>-1130347471</v>
      </c>
      <c r="F4" s="23" t="n">
        <v>-32.8</v>
      </c>
      <c r="G4" s="23" t="n">
        <v>40651018243</v>
      </c>
      <c r="H4" s="23" t="n">
        <v>6022731386</v>
      </c>
      <c r="I4" s="23" t="n">
        <v>34628286857</v>
      </c>
      <c r="J4" s="23" t="n">
        <v>2068097500</v>
      </c>
      <c r="K4" s="23" t="n">
        <v>17.4</v>
      </c>
      <c r="L4" s="20" t="inlineStr">
        <is>
          <t>3개월 단독</t>
        </is>
      </c>
    </row>
    <row r="5">
      <c r="A5" s="20" t="inlineStr">
        <is>
          <t>2016Q3</t>
        </is>
      </c>
      <c r="B5" s="20" t="inlineStr">
        <is>
          <t>분기</t>
        </is>
      </c>
      <c r="C5" s="23" t="n">
        <v>5689903094</v>
      </c>
      <c r="D5" s="23" t="n">
        <v>-1223054853</v>
      </c>
      <c r="E5" s="23" t="n">
        <v>-1096521629</v>
      </c>
      <c r="F5" s="23" t="n">
        <v>-21.5</v>
      </c>
      <c r="G5" s="23" t="n">
        <v>39604355134</v>
      </c>
      <c r="H5" s="23" t="n">
        <v>6054356777</v>
      </c>
      <c r="I5" s="23" t="n">
        <v>33549998357</v>
      </c>
      <c r="J5" s="23" t="n">
        <v>2068097500</v>
      </c>
      <c r="K5" s="23" t="n">
        <v>18</v>
      </c>
      <c r="L5" s="20" t="inlineStr">
        <is>
          <t>3개월 단독</t>
        </is>
      </c>
    </row>
    <row r="6">
      <c r="A6" s="20" t="inlineStr">
        <is>
          <t>2016Q4</t>
        </is>
      </c>
      <c r="B6" s="20" t="inlineStr">
        <is>
          <t>분기</t>
        </is>
      </c>
      <c r="C6" s="23" t="n">
        <v>6656130687</v>
      </c>
      <c r="D6" s="23" t="n">
        <v>66319052</v>
      </c>
      <c r="E6" s="23" t="n">
        <v>-519033974</v>
      </c>
      <c r="F6" s="23" t="n">
        <v>1</v>
      </c>
      <c r="G6" s="23" t="n">
        <v>48093280862</v>
      </c>
      <c r="H6" s="23" t="n">
        <v>13580363714</v>
      </c>
      <c r="I6" s="23" t="n">
        <v>34512917148</v>
      </c>
      <c r="J6" s="23" t="n">
        <v>4073350000</v>
      </c>
      <c r="K6" s="23" t="n">
        <v>39.3</v>
      </c>
      <c r="L6" s="20" t="inlineStr">
        <is>
          <t>연간-누적(1~3Q) 계산</t>
        </is>
      </c>
    </row>
    <row r="7">
      <c r="A7" s="20" t="inlineStr">
        <is>
          <t>2016 연간</t>
        </is>
      </c>
      <c r="B7" s="20" t="inlineStr">
        <is>
          <t>연간</t>
        </is>
      </c>
      <c r="C7" s="23" t="n">
        <v>22667923038</v>
      </c>
      <c r="D7" s="23" t="n">
        <v>-3487200063</v>
      </c>
      <c r="E7" s="23" t="n">
        <v>-4062429350</v>
      </c>
      <c r="F7" s="23" t="n">
        <v>-15.4</v>
      </c>
      <c r="G7" s="23" t="n">
        <v>48093280862</v>
      </c>
      <c r="H7" s="23" t="n">
        <v>13580363714</v>
      </c>
      <c r="I7" s="23" t="n">
        <v>34512917148</v>
      </c>
      <c r="J7" s="23" t="n">
        <v>4073350000</v>
      </c>
      <c r="K7" s="23" t="n">
        <v>39.3</v>
      </c>
      <c r="L7" s="20" t="inlineStr">
        <is>
          <t>연결</t>
        </is>
      </c>
    </row>
    <row r="8">
      <c r="A8" s="20" t="inlineStr">
        <is>
          <t>2017Q1</t>
        </is>
      </c>
      <c r="B8" s="20" t="inlineStr">
        <is>
          <t>분기</t>
        </is>
      </c>
      <c r="C8" s="23" t="n">
        <v>7809923561</v>
      </c>
      <c r="D8" s="23" t="n">
        <v>-526131305</v>
      </c>
      <c r="E8" s="23" t="n">
        <v>-318041870</v>
      </c>
      <c r="F8" s="23" t="n">
        <v>-6.7</v>
      </c>
      <c r="G8" s="23" t="n">
        <v>46924457321</v>
      </c>
      <c r="H8" s="23" t="n">
        <v>12706477680</v>
      </c>
      <c r="I8" s="23" t="n">
        <v>34217979641</v>
      </c>
      <c r="J8" s="23" t="n">
        <v>4073350000</v>
      </c>
      <c r="K8" s="23" t="n">
        <v>37.1</v>
      </c>
      <c r="L8" s="20" t="inlineStr">
        <is>
          <t>3개월 단독</t>
        </is>
      </c>
    </row>
    <row r="9">
      <c r="A9" s="20" t="inlineStr">
        <is>
          <t>2017Q2</t>
        </is>
      </c>
      <c r="B9" s="20" t="inlineStr">
        <is>
          <t>분기</t>
        </is>
      </c>
      <c r="C9" s="23" t="n">
        <v>7782274558</v>
      </c>
      <c r="D9" s="23" t="n">
        <v>7964014</v>
      </c>
      <c r="E9" s="23" t="n">
        <v>40132678</v>
      </c>
      <c r="F9" s="23" t="n">
        <v>0.1</v>
      </c>
      <c r="G9" s="23" t="n">
        <v>48064916039</v>
      </c>
      <c r="H9" s="23" t="n">
        <v>13770698273</v>
      </c>
      <c r="I9" s="23" t="n">
        <v>34294217766</v>
      </c>
      <c r="J9" s="23" t="n">
        <v>4075320000</v>
      </c>
      <c r="K9" s="23" t="n">
        <v>40.2</v>
      </c>
      <c r="L9" s="20" t="inlineStr">
        <is>
          <t>3개월 단독</t>
        </is>
      </c>
    </row>
    <row r="10">
      <c r="A10" s="20" t="inlineStr">
        <is>
          <t>2017Q3</t>
        </is>
      </c>
      <c r="B10" s="20" t="inlineStr">
        <is>
          <t>분기</t>
        </is>
      </c>
      <c r="C10" s="23" t="n">
        <v>7551765808</v>
      </c>
      <c r="D10" s="23" t="n">
        <v>105716925</v>
      </c>
      <c r="E10" s="23" t="n">
        <v>177826705</v>
      </c>
      <c r="F10" s="23" t="n">
        <v>1.4</v>
      </c>
      <c r="G10" s="23" t="n">
        <v>48586004990</v>
      </c>
      <c r="H10" s="23" t="n">
        <v>14083155827</v>
      </c>
      <c r="I10" s="23" t="n">
        <v>34502849163</v>
      </c>
      <c r="J10" s="23" t="n">
        <v>4075320000</v>
      </c>
      <c r="K10" s="23" t="n">
        <v>40.8</v>
      </c>
      <c r="L10" s="20" t="inlineStr">
        <is>
          <t>3개월 단독</t>
        </is>
      </c>
    </row>
    <row r="11">
      <c r="A11" s="20" t="inlineStr">
        <is>
          <t>2017Q4</t>
        </is>
      </c>
      <c r="B11" s="20" t="inlineStr">
        <is>
          <t>분기</t>
        </is>
      </c>
      <c r="C11" s="23" t="n">
        <v>9060705253</v>
      </c>
      <c r="D11" s="23" t="n">
        <v>33107282</v>
      </c>
      <c r="E11" s="23" t="n">
        <v>270343687</v>
      </c>
      <c r="F11" s="23" t="n">
        <v>0.4</v>
      </c>
      <c r="G11" s="23" t="n">
        <v>49063071782</v>
      </c>
      <c r="H11" s="23" t="n">
        <v>10481071263</v>
      </c>
      <c r="I11" s="23" t="n">
        <v>38582000519</v>
      </c>
      <c r="J11" s="23" t="n">
        <v>4502248500</v>
      </c>
      <c r="K11" s="23" t="n">
        <v>27.2</v>
      </c>
      <c r="L11" s="20" t="inlineStr">
        <is>
          <t>연간-누적(1~3Q) 계산</t>
        </is>
      </c>
    </row>
    <row r="12">
      <c r="A12" s="20" t="inlineStr">
        <is>
          <t>2017 연간</t>
        </is>
      </c>
      <c r="B12" s="20" t="inlineStr">
        <is>
          <t>연간</t>
        </is>
      </c>
      <c r="C12" s="23" t="n">
        <v>32204669180</v>
      </c>
      <c r="D12" s="23" t="n">
        <v>-379343084</v>
      </c>
      <c r="E12" s="23" t="n">
        <v>170261200</v>
      </c>
      <c r="F12" s="23" t="n">
        <v>-1.2</v>
      </c>
      <c r="G12" s="23" t="n">
        <v>49063071782</v>
      </c>
      <c r="H12" s="23" t="n">
        <v>10481071263</v>
      </c>
      <c r="I12" s="23" t="n">
        <v>38582000519</v>
      </c>
      <c r="J12" s="23" t="n">
        <v>4502248500</v>
      </c>
      <c r="K12" s="23" t="n">
        <v>27.2</v>
      </c>
      <c r="L12" s="20" t="inlineStr">
        <is>
          <t>연결</t>
        </is>
      </c>
    </row>
    <row r="13">
      <c r="A13" s="20" t="inlineStr">
        <is>
          <t>2018Q1</t>
        </is>
      </c>
      <c r="B13" s="20" t="inlineStr">
        <is>
          <t>분기</t>
        </is>
      </c>
      <c r="C13" s="23" t="n">
        <v>16312307533</v>
      </c>
      <c r="D13" s="23" t="n">
        <v>576220152</v>
      </c>
      <c r="E13" s="23" t="n">
        <v>872969054</v>
      </c>
      <c r="F13" s="23" t="n">
        <v>3.5</v>
      </c>
      <c r="G13" s="23" t="n">
        <v>58380868839</v>
      </c>
      <c r="H13" s="23" t="n">
        <v>17809720183</v>
      </c>
      <c r="I13" s="23" t="n">
        <v>40571148656</v>
      </c>
      <c r="J13" s="23" t="n">
        <v>4622664000</v>
      </c>
      <c r="K13" s="23" t="n">
        <v>43.9</v>
      </c>
      <c r="L13" s="20" t="inlineStr">
        <is>
          <t>3개월 단독</t>
        </is>
      </c>
    </row>
    <row r="14">
      <c r="A14" s="20" t="inlineStr">
        <is>
          <t>2018Q2</t>
        </is>
      </c>
      <c r="B14" s="20" t="inlineStr">
        <is>
          <t>분기</t>
        </is>
      </c>
      <c r="C14" s="23" t="n">
        <v>36436843500</v>
      </c>
      <c r="D14" s="23" t="n">
        <v>3483216772</v>
      </c>
      <c r="E14" s="23" t="n">
        <v>3740902040</v>
      </c>
      <c r="F14" s="23" t="n">
        <v>9.6</v>
      </c>
      <c r="G14" s="23" t="n">
        <v>56757908644</v>
      </c>
      <c r="H14" s="23" t="n">
        <v>12417770934</v>
      </c>
      <c r="I14" s="23" t="n">
        <v>44340137710</v>
      </c>
      <c r="J14" s="23" t="n">
        <v>4622664000</v>
      </c>
      <c r="K14" s="23" t="n">
        <v>28</v>
      </c>
      <c r="L14" s="20" t="inlineStr">
        <is>
          <t>3개월 단독</t>
        </is>
      </c>
    </row>
    <row r="15">
      <c r="A15" s="20" t="inlineStr">
        <is>
          <t>2018Q3</t>
        </is>
      </c>
      <c r="B15" s="20" t="inlineStr">
        <is>
          <t>분기</t>
        </is>
      </c>
      <c r="C15" s="23" t="n">
        <v>21886448274</v>
      </c>
      <c r="D15" s="23" t="n">
        <v>2891027867</v>
      </c>
      <c r="E15" s="23" t="n">
        <v>2957378439</v>
      </c>
      <c r="F15" s="23" t="n">
        <v>13.2</v>
      </c>
      <c r="G15" s="23" t="n">
        <v>60317783138</v>
      </c>
      <c r="H15" s="23" t="n">
        <v>13003962865</v>
      </c>
      <c r="I15" s="23" t="n">
        <v>47313820273</v>
      </c>
      <c r="J15" s="23" t="n">
        <v>4622664000</v>
      </c>
      <c r="K15" s="23" t="n">
        <v>27.5</v>
      </c>
      <c r="L15" s="20" t="inlineStr">
        <is>
          <t>3개월 단독</t>
        </is>
      </c>
    </row>
    <row r="16">
      <c r="A16" s="20" t="inlineStr">
        <is>
          <t>2018Q4</t>
        </is>
      </c>
      <c r="B16" s="20" t="inlineStr">
        <is>
          <t>분기</t>
        </is>
      </c>
      <c r="C16" s="23" t="n">
        <v>35629123288</v>
      </c>
      <c r="D16" s="23" t="n">
        <v>5148888741</v>
      </c>
      <c r="E16" s="23" t="n">
        <v>891907118</v>
      </c>
      <c r="F16" s="23" t="n">
        <v>14.5</v>
      </c>
      <c r="G16" s="23" t="n">
        <v>76845126964</v>
      </c>
      <c r="H16" s="23" t="n">
        <v>27991148294</v>
      </c>
      <c r="I16" s="23" t="n">
        <v>48853978670</v>
      </c>
      <c r="J16" s="23" t="n">
        <v>4626389500</v>
      </c>
      <c r="K16" s="23" t="n">
        <v>57.3</v>
      </c>
      <c r="L16" s="20" t="inlineStr">
        <is>
          <t>연간-누적(1~3Q) 계산</t>
        </is>
      </c>
    </row>
    <row r="17">
      <c r="A17" s="20" t="inlineStr">
        <is>
          <t>2018 연간</t>
        </is>
      </c>
      <c r="B17" s="20" t="inlineStr">
        <is>
          <t>연간</t>
        </is>
      </c>
      <c r="C17" s="23" t="n">
        <v>110264722595</v>
      </c>
      <c r="D17" s="23" t="n">
        <v>12099353532</v>
      </c>
      <c r="E17" s="23" t="n">
        <v>8463156651</v>
      </c>
      <c r="F17" s="23" t="n">
        <v>11</v>
      </c>
      <c r="G17" s="23" t="n">
        <v>76845126964</v>
      </c>
      <c r="H17" s="23" t="n">
        <v>27991148294</v>
      </c>
      <c r="I17" s="23" t="n">
        <v>48853978670</v>
      </c>
      <c r="J17" s="23" t="n">
        <v>4626389500</v>
      </c>
      <c r="K17" s="23" t="n">
        <v>57.3</v>
      </c>
      <c r="L17" s="20" t="inlineStr">
        <is>
          <t>연결</t>
        </is>
      </c>
    </row>
    <row r="18">
      <c r="A18" s="20" t="inlineStr">
        <is>
          <t>2019Q1</t>
        </is>
      </c>
      <c r="B18" s="20" t="inlineStr">
        <is>
          <t>분기</t>
        </is>
      </c>
      <c r="C18" s="23" t="n">
        <v>30342370650</v>
      </c>
      <c r="D18" s="23" t="n">
        <v>1154541060</v>
      </c>
      <c r="E18" s="23" t="n">
        <v>2360653931</v>
      </c>
      <c r="F18" s="23" t="n">
        <v>3.8</v>
      </c>
      <c r="G18" s="23" t="n">
        <v>77295536577</v>
      </c>
      <c r="H18" s="23" t="n">
        <v>26993066444</v>
      </c>
      <c r="I18" s="23" t="n">
        <v>50302470133</v>
      </c>
      <c r="J18" s="23" t="n">
        <v>4626389500</v>
      </c>
      <c r="K18" s="23" t="n">
        <v>53.7</v>
      </c>
      <c r="L18" s="20" t="inlineStr">
        <is>
          <t>3개월 단독</t>
        </is>
      </c>
    </row>
    <row r="19">
      <c r="A19" s="20" t="inlineStr">
        <is>
          <t>2019Q2</t>
        </is>
      </c>
      <c r="B19" s="20" t="inlineStr">
        <is>
          <t>분기</t>
        </is>
      </c>
      <c r="C19" s="23" t="n">
        <v>47971726146</v>
      </c>
      <c r="D19" s="23" t="n">
        <v>2677473246</v>
      </c>
      <c r="E19" s="23" t="n">
        <v>1647742627</v>
      </c>
      <c r="F19" s="23" t="n">
        <v>5.6</v>
      </c>
      <c r="G19" s="23" t="n">
        <v>97607520360</v>
      </c>
      <c r="H19" s="23" t="n">
        <v>45598511653</v>
      </c>
      <c r="I19" s="23" t="n">
        <v>52009008707</v>
      </c>
      <c r="J19" s="23" t="n">
        <v>4630766500</v>
      </c>
      <c r="K19" s="23" t="n">
        <v>87.7</v>
      </c>
      <c r="L19" s="20" t="inlineStr">
        <is>
          <t>3개월 단독</t>
        </is>
      </c>
    </row>
    <row r="20">
      <c r="A20" s="20" t="inlineStr">
        <is>
          <t>2019Q3</t>
        </is>
      </c>
      <c r="B20" s="20" t="inlineStr">
        <is>
          <t>분기</t>
        </is>
      </c>
      <c r="C20" s="23" t="n">
        <v>59957673449</v>
      </c>
      <c r="D20" s="23" t="n">
        <v>2416161272</v>
      </c>
      <c r="E20" s="23" t="n">
        <v>1429027544</v>
      </c>
      <c r="F20" s="23" t="n">
        <v>4</v>
      </c>
      <c r="G20" s="23" t="n">
        <v>106774998396</v>
      </c>
      <c r="H20" s="23" t="n">
        <v>53313882090</v>
      </c>
      <c r="I20" s="23" t="n">
        <v>53461116306</v>
      </c>
      <c r="J20" s="23" t="n">
        <v>4630766500</v>
      </c>
      <c r="K20" s="23" t="n">
        <v>99.7</v>
      </c>
      <c r="L20" s="20" t="inlineStr">
        <is>
          <t>3개월 단독</t>
        </is>
      </c>
    </row>
    <row r="21">
      <c r="A21" s="20" t="inlineStr">
        <is>
          <t>2019Q4</t>
        </is>
      </c>
      <c r="B21" s="20" t="inlineStr">
        <is>
          <t>분기</t>
        </is>
      </c>
      <c r="C21" s="23" t="n">
        <v>87537764078</v>
      </c>
      <c r="D21" s="23" t="n">
        <v>5910057264</v>
      </c>
      <c r="E21" s="23" t="n">
        <v>2566750508</v>
      </c>
      <c r="F21" s="23" t="n">
        <v>6.8</v>
      </c>
      <c r="G21" s="23" t="n">
        <v>110161796768</v>
      </c>
      <c r="H21" s="23" t="n">
        <v>54436301746</v>
      </c>
      <c r="I21" s="23" t="n">
        <v>55725495022</v>
      </c>
      <c r="J21" s="23" t="n">
        <v>4630766500</v>
      </c>
      <c r="K21" s="23" t="n">
        <v>97.7</v>
      </c>
      <c r="L21" s="20" t="inlineStr">
        <is>
          <t>연간-누적(1~3Q) 계산</t>
        </is>
      </c>
    </row>
    <row r="22">
      <c r="A22" s="20" t="inlineStr">
        <is>
          <t>2019 연간</t>
        </is>
      </c>
      <c r="B22" s="20" t="inlineStr">
        <is>
          <t>연간</t>
        </is>
      </c>
      <c r="C22" s="23" t="n">
        <v>225809534323</v>
      </c>
      <c r="D22" s="23" t="n">
        <v>12158232842</v>
      </c>
      <c r="E22" s="23" t="n">
        <v>8004174610</v>
      </c>
      <c r="F22" s="23" t="n">
        <v>5.4</v>
      </c>
      <c r="G22" s="23" t="n">
        <v>110161796768</v>
      </c>
      <c r="H22" s="23" t="n">
        <v>54436301746</v>
      </c>
      <c r="I22" s="23" t="n">
        <v>55725495022</v>
      </c>
      <c r="J22" s="23" t="n">
        <v>4630766500</v>
      </c>
      <c r="K22" s="23" t="n">
        <v>97.7</v>
      </c>
      <c r="L22" s="20" t="inlineStr">
        <is>
          <t>연결</t>
        </is>
      </c>
    </row>
    <row r="23">
      <c r="A23" s="20" t="inlineStr">
        <is>
          <t>2020Q1</t>
        </is>
      </c>
      <c r="B23" s="20" t="inlineStr">
        <is>
          <t>분기</t>
        </is>
      </c>
      <c r="C23" s="23" t="n">
        <v>62741113156</v>
      </c>
      <c r="D23" s="23" t="n">
        <v>2670055364</v>
      </c>
      <c r="E23" s="23" t="n">
        <v>2465251428</v>
      </c>
      <c r="F23" s="23" t="n">
        <v>4.3</v>
      </c>
      <c r="G23" s="23" t="n">
        <v>126312481830</v>
      </c>
      <c r="H23" s="23" t="n">
        <v>65462105868</v>
      </c>
      <c r="I23" s="23" t="n">
        <v>60850375962</v>
      </c>
      <c r="J23" s="23" t="n">
        <v>4630766500</v>
      </c>
      <c r="K23" s="23" t="n">
        <v>107.6</v>
      </c>
      <c r="L23" s="20" t="inlineStr">
        <is>
          <t>3개월 단독</t>
        </is>
      </c>
    </row>
    <row r="24">
      <c r="A24" s="20" t="inlineStr">
        <is>
          <t>2020Q2</t>
        </is>
      </c>
      <c r="B24" s="20" t="inlineStr">
        <is>
          <t>분기</t>
        </is>
      </c>
      <c r="C24" s="23" t="n">
        <v>69807660584</v>
      </c>
      <c r="D24" s="23" t="n">
        <v>4574236882</v>
      </c>
      <c r="E24" s="23" t="n">
        <v>643936562</v>
      </c>
      <c r="F24" s="23" t="n">
        <v>6.6</v>
      </c>
      <c r="G24" s="23" t="n">
        <v>132970271596</v>
      </c>
      <c r="H24" s="23" t="n">
        <v>70589014553</v>
      </c>
      <c r="I24" s="23" t="n">
        <v>62381257043</v>
      </c>
      <c r="J24" s="23" t="n">
        <v>4634650500</v>
      </c>
      <c r="K24" s="23" t="n">
        <v>113.2</v>
      </c>
      <c r="L24" s="20" t="inlineStr">
        <is>
          <t>3개월 단독</t>
        </is>
      </c>
    </row>
    <row r="25">
      <c r="A25" s="20" t="inlineStr">
        <is>
          <t>2020Q3</t>
        </is>
      </c>
      <c r="B25" s="20" t="inlineStr">
        <is>
          <t>분기</t>
        </is>
      </c>
      <c r="C25" s="23" t="n">
        <v>74475297616</v>
      </c>
      <c r="D25" s="23" t="n">
        <v>2278448178</v>
      </c>
      <c r="E25" s="23" t="n">
        <v>607010662</v>
      </c>
      <c r="F25" s="23" t="n">
        <v>3.1</v>
      </c>
      <c r="G25" s="23" t="n">
        <v>228731377875</v>
      </c>
      <c r="H25" s="23" t="n">
        <v>80864030155</v>
      </c>
      <c r="I25" s="23" t="n">
        <v>147867347720</v>
      </c>
      <c r="J25" s="23" t="n">
        <v>6600131500</v>
      </c>
      <c r="K25" s="23" t="n">
        <v>54.7</v>
      </c>
      <c r="L25" s="20" t="inlineStr">
        <is>
          <t>3개월 단독</t>
        </is>
      </c>
    </row>
    <row r="26">
      <c r="A26" s="20" t="inlineStr">
        <is>
          <t>2020Q4</t>
        </is>
      </c>
      <c r="B26" s="20" t="inlineStr">
        <is>
          <t>분기</t>
        </is>
      </c>
      <c r="C26" s="23" t="n">
        <v>85336298285</v>
      </c>
      <c r="D26" s="23" t="n">
        <v>3958985117</v>
      </c>
      <c r="E26" s="23" t="n">
        <v>-875273138</v>
      </c>
      <c r="F26" s="23" t="n">
        <v>4.6</v>
      </c>
      <c r="G26" s="23" t="n">
        <v>220316128949</v>
      </c>
      <c r="H26" s="23" t="n">
        <v>71845370389</v>
      </c>
      <c r="I26" s="23" t="n">
        <v>148470758560</v>
      </c>
      <c r="J26" s="23" t="n">
        <v>6637299000</v>
      </c>
      <c r="K26" s="23" t="n">
        <v>48.4</v>
      </c>
      <c r="L26" s="20" t="inlineStr">
        <is>
          <t>연간-누적(1~3Q) 계산</t>
        </is>
      </c>
    </row>
    <row r="27">
      <c r="A27" s="20" t="inlineStr">
        <is>
          <t>2020 연간</t>
        </is>
      </c>
      <c r="B27" s="20" t="inlineStr">
        <is>
          <t>연간</t>
        </is>
      </c>
      <c r="C27" s="23" t="n">
        <v>292360369641</v>
      </c>
      <c r="D27" s="23" t="n">
        <v>13481725541</v>
      </c>
      <c r="E27" s="23" t="n">
        <v>2840925514</v>
      </c>
      <c r="F27" s="23" t="n">
        <v>4.6</v>
      </c>
      <c r="G27" s="23" t="n">
        <v>220316128949</v>
      </c>
      <c r="H27" s="23" t="n">
        <v>71845370389</v>
      </c>
      <c r="I27" s="23" t="n">
        <v>148470758560</v>
      </c>
      <c r="J27" s="23" t="n">
        <v>6637299000</v>
      </c>
      <c r="K27" s="23" t="n">
        <v>48.4</v>
      </c>
      <c r="L27" s="20" t="inlineStr">
        <is>
          <t>연결</t>
        </is>
      </c>
    </row>
    <row r="28">
      <c r="A28" s="20" t="inlineStr">
        <is>
          <t>2021Q1</t>
        </is>
      </c>
      <c r="B28" s="20" t="inlineStr">
        <is>
          <t>분기</t>
        </is>
      </c>
      <c r="C28" s="23" t="n">
        <v>79672203110</v>
      </c>
      <c r="D28" s="23" t="n">
        <v>3665440967</v>
      </c>
      <c r="E28" s="23" t="n">
        <v>5209872452</v>
      </c>
      <c r="F28" s="23" t="n">
        <v>4.6</v>
      </c>
      <c r="G28" s="23" t="n">
        <v>234172078429</v>
      </c>
      <c r="H28" s="23" t="n">
        <v>80418415086</v>
      </c>
      <c r="I28" s="23" t="n">
        <v>153753663343</v>
      </c>
      <c r="J28" s="23" t="n">
        <v>6646590500</v>
      </c>
      <c r="K28" s="23" t="n">
        <v>52.3</v>
      </c>
      <c r="L28" s="20" t="inlineStr">
        <is>
          <t>3개월 단독</t>
        </is>
      </c>
    </row>
    <row r="29">
      <c r="A29" s="20" t="inlineStr">
        <is>
          <t>2021Q2</t>
        </is>
      </c>
      <c r="B29" s="20" t="inlineStr">
        <is>
          <t>분기</t>
        </is>
      </c>
      <c r="C29" s="23" t="n">
        <v>79039479556</v>
      </c>
      <c r="D29" s="23" t="n">
        <v>3493318424</v>
      </c>
      <c r="E29" s="23" t="n">
        <v>3748032721</v>
      </c>
      <c r="F29" s="23" t="n">
        <v>4.4</v>
      </c>
      <c r="G29" s="23" t="n">
        <v>231253379150</v>
      </c>
      <c r="H29" s="23" t="n">
        <v>73378614138</v>
      </c>
      <c r="I29" s="23" t="n">
        <v>157874765012</v>
      </c>
      <c r="J29" s="23" t="n">
        <v>6664916000</v>
      </c>
      <c r="K29" s="23" t="n">
        <v>46.5</v>
      </c>
      <c r="L29" s="20" t="inlineStr">
        <is>
          <t>3개월 단독</t>
        </is>
      </c>
    </row>
    <row r="30">
      <c r="A30" s="20" t="inlineStr">
        <is>
          <t>2021Q3</t>
        </is>
      </c>
      <c r="B30" s="20" t="inlineStr">
        <is>
          <t>분기</t>
        </is>
      </c>
      <c r="C30" s="23" t="n">
        <v>82711630342</v>
      </c>
      <c r="D30" s="23" t="n">
        <v>4257671368</v>
      </c>
      <c r="E30" s="23" t="n">
        <v>5836831847</v>
      </c>
      <c r="F30" s="23" t="n">
        <v>5.1</v>
      </c>
      <c r="G30" s="23" t="n">
        <v>229458640330</v>
      </c>
      <c r="H30" s="23" t="n">
        <v>65556448004</v>
      </c>
      <c r="I30" s="23" t="n">
        <v>163902192326</v>
      </c>
      <c r="J30" s="23" t="n">
        <v>6664916000</v>
      </c>
      <c r="K30" s="23" t="n">
        <v>40</v>
      </c>
      <c r="L30" s="20" t="inlineStr">
        <is>
          <t>3개월 단독</t>
        </is>
      </c>
    </row>
    <row r="31">
      <c r="A31" s="20" t="inlineStr">
        <is>
          <t>2021Q4</t>
        </is>
      </c>
      <c r="B31" s="20" t="inlineStr">
        <is>
          <t>분기</t>
        </is>
      </c>
      <c r="C31" s="23" t="n">
        <v>80660344497</v>
      </c>
      <c r="D31" s="23" t="n">
        <v>-30284251</v>
      </c>
      <c r="E31" s="23" t="n">
        <v>165868686</v>
      </c>
      <c r="F31" s="23" t="n">
        <v>0</v>
      </c>
      <c r="G31" s="23" t="n">
        <v>234198491068</v>
      </c>
      <c r="H31" s="23" t="n">
        <v>69878013706</v>
      </c>
      <c r="I31" s="23" t="n">
        <v>164320477362</v>
      </c>
      <c r="J31" s="23" t="n">
        <v>6664916000</v>
      </c>
      <c r="K31" s="23" t="n">
        <v>42.5</v>
      </c>
      <c r="L31" s="20" t="inlineStr">
        <is>
          <t>연간-누적(1~3Q) 계산</t>
        </is>
      </c>
    </row>
    <row r="32">
      <c r="A32" s="20" t="inlineStr">
        <is>
          <t>2021 연간</t>
        </is>
      </c>
      <c r="B32" s="20" t="inlineStr">
        <is>
          <t>연간</t>
        </is>
      </c>
      <c r="C32" s="23" t="n">
        <v>322083657505</v>
      </c>
      <c r="D32" s="23" t="n">
        <v>11386146508</v>
      </c>
      <c r="E32" s="23" t="n">
        <v>14960605706</v>
      </c>
      <c r="F32" s="23" t="n">
        <v>3.5</v>
      </c>
      <c r="G32" s="23" t="n">
        <v>234198491068</v>
      </c>
      <c r="H32" s="23" t="n">
        <v>69878013706</v>
      </c>
      <c r="I32" s="23" t="n">
        <v>164320477362</v>
      </c>
      <c r="J32" s="23" t="n">
        <v>6664916000</v>
      </c>
      <c r="K32" s="23" t="n">
        <v>42.5</v>
      </c>
      <c r="L32" s="20" t="inlineStr">
        <is>
          <t>연결</t>
        </is>
      </c>
    </row>
    <row r="33">
      <c r="A33" s="20" t="inlineStr">
        <is>
          <t>2022Q1</t>
        </is>
      </c>
      <c r="B33" s="20" t="inlineStr">
        <is>
          <t>분기</t>
        </is>
      </c>
      <c r="C33" s="23" t="n">
        <v>66206379113</v>
      </c>
      <c r="D33" s="23" t="n">
        <v>4027543228</v>
      </c>
      <c r="E33" s="23" t="n">
        <v>3063912637</v>
      </c>
      <c r="F33" s="23" t="n">
        <v>6.1</v>
      </c>
      <c r="G33" s="23" t="n">
        <v>228394690293</v>
      </c>
      <c r="H33" s="23" t="n">
        <v>61792096527</v>
      </c>
      <c r="I33" s="23" t="n">
        <v>166602593766</v>
      </c>
      <c r="J33" s="23" t="n">
        <v>6664916000</v>
      </c>
      <c r="K33" s="23" t="n">
        <v>37.1</v>
      </c>
      <c r="L33" s="20" t="inlineStr">
        <is>
          <t>3개월 단독</t>
        </is>
      </c>
    </row>
    <row r="34">
      <c r="A34" s="20" t="inlineStr">
        <is>
          <t>2022Q2</t>
        </is>
      </c>
      <c r="B34" s="20" t="inlineStr">
        <is>
          <t>분기</t>
        </is>
      </c>
      <c r="C34" s="23" t="n">
        <v>51091996356</v>
      </c>
      <c r="D34" s="23" t="n">
        <v>1645761342</v>
      </c>
      <c r="E34" s="23" t="n">
        <v>4929253720</v>
      </c>
      <c r="F34" s="23" t="n">
        <v>3.2</v>
      </c>
      <c r="G34" s="23" t="n">
        <v>230183827629</v>
      </c>
      <c r="H34" s="23" t="n">
        <v>58302483693</v>
      </c>
      <c r="I34" s="23" t="n">
        <v>171881343936</v>
      </c>
      <c r="J34" s="23" t="n">
        <v>6667163500</v>
      </c>
      <c r="K34" s="23" t="n">
        <v>33.9</v>
      </c>
      <c r="L34" s="20" t="inlineStr">
        <is>
          <t>3개월 단독</t>
        </is>
      </c>
    </row>
    <row r="35">
      <c r="A35" s="20" t="inlineStr">
        <is>
          <t>2022Q3</t>
        </is>
      </c>
      <c r="B35" s="20" t="inlineStr">
        <is>
          <t>분기</t>
        </is>
      </c>
      <c r="C35" s="23" t="n">
        <v>26503829826</v>
      </c>
      <c r="D35" s="23" t="n">
        <v>1052226168</v>
      </c>
      <c r="E35" s="23" t="n">
        <v>4593670995</v>
      </c>
      <c r="F35" s="23" t="n">
        <v>4</v>
      </c>
      <c r="G35" s="23" t="n">
        <v>227017558675</v>
      </c>
      <c r="H35" s="23" t="n">
        <v>51872109061</v>
      </c>
      <c r="I35" s="23" t="n">
        <v>175145449614</v>
      </c>
      <c r="J35" s="23" t="n">
        <v>6667163500</v>
      </c>
      <c r="K35" s="23" t="n">
        <v>29.6</v>
      </c>
      <c r="L35" s="20" t="inlineStr">
        <is>
          <t>3개월 단독</t>
        </is>
      </c>
    </row>
    <row r="36">
      <c r="A36" s="20" t="inlineStr">
        <is>
          <t>2022Q4</t>
        </is>
      </c>
      <c r="B36" s="20" t="inlineStr">
        <is>
          <t>분기</t>
        </is>
      </c>
      <c r="C36" s="23" t="n">
        <v>20446564282</v>
      </c>
      <c r="D36" s="23" t="n">
        <v>-2327890502</v>
      </c>
      <c r="E36" s="23" t="n">
        <v>-6965685161</v>
      </c>
      <c r="F36" s="23" t="n">
        <v>-11.4</v>
      </c>
      <c r="G36" s="23" t="n">
        <v>234055082976</v>
      </c>
      <c r="H36" s="23" t="n">
        <v>66431164310</v>
      </c>
      <c r="I36" s="23" t="n">
        <v>167623918666</v>
      </c>
      <c r="J36" s="23" t="n">
        <v>6667163500</v>
      </c>
      <c r="K36" s="23" t="n">
        <v>39.6</v>
      </c>
      <c r="L36" s="20" t="inlineStr">
        <is>
          <t>연간-누적(1~3Q) 계산</t>
        </is>
      </c>
    </row>
    <row r="37">
      <c r="A37" s="20" t="inlineStr">
        <is>
          <t>2022 연간</t>
        </is>
      </c>
      <c r="B37" s="20" t="inlineStr">
        <is>
          <t>연간</t>
        </is>
      </c>
      <c r="C37" s="23" t="n">
        <v>164248769577</v>
      </c>
      <c r="D37" s="23" t="n">
        <v>4397640236</v>
      </c>
      <c r="E37" s="23" t="n">
        <v>5621152191</v>
      </c>
      <c r="F37" s="23" t="n">
        <v>2.7</v>
      </c>
      <c r="G37" s="23" t="n">
        <v>234055082976</v>
      </c>
      <c r="H37" s="23" t="n">
        <v>66431164310</v>
      </c>
      <c r="I37" s="23" t="n">
        <v>167623918666</v>
      </c>
      <c r="J37" s="23" t="n">
        <v>6667163500</v>
      </c>
      <c r="K37" s="23" t="n">
        <v>39.6</v>
      </c>
      <c r="L37" s="20" t="inlineStr">
        <is>
          <t>연결</t>
        </is>
      </c>
    </row>
    <row r="38">
      <c r="A38" s="20" t="inlineStr">
        <is>
          <t>2023Q1</t>
        </is>
      </c>
      <c r="B38" s="20" t="inlineStr">
        <is>
          <t>분기</t>
        </is>
      </c>
      <c r="C38" s="23" t="n">
        <v>18118871416</v>
      </c>
      <c r="D38" s="23" t="n">
        <v>-5979710558</v>
      </c>
      <c r="E38" s="23" t="n">
        <v>-3575421258</v>
      </c>
      <c r="F38" s="23" t="n">
        <v>-33</v>
      </c>
      <c r="G38" s="23" t="n">
        <v>240678021955</v>
      </c>
      <c r="H38" s="23" t="n">
        <v>75976554626</v>
      </c>
      <c r="I38" s="23" t="n">
        <v>164701467329</v>
      </c>
      <c r="J38" s="23" t="n">
        <v>6711287500</v>
      </c>
      <c r="K38" s="23" t="n">
        <v>46.1</v>
      </c>
      <c r="L38" s="20" t="inlineStr">
        <is>
          <t>3개월 단독</t>
        </is>
      </c>
    </row>
    <row r="39">
      <c r="A39" s="20" t="inlineStr">
        <is>
          <t>2023Q2</t>
        </is>
      </c>
      <c r="B39" s="20" t="inlineStr">
        <is>
          <t>분기</t>
        </is>
      </c>
      <c r="C39" s="23" t="n">
        <v>20363493983</v>
      </c>
      <c r="D39" s="23" t="n">
        <v>-5765660180</v>
      </c>
      <c r="E39" s="23" t="n">
        <v>-4473942964</v>
      </c>
      <c r="F39" s="23" t="n">
        <v>-28.3</v>
      </c>
      <c r="G39" s="23" t="n">
        <v>246874912272</v>
      </c>
      <c r="H39" s="23" t="n">
        <v>88454954755</v>
      </c>
      <c r="I39" s="23" t="n">
        <v>158419957517</v>
      </c>
      <c r="J39" s="23" t="n">
        <v>6713534500</v>
      </c>
      <c r="K39" s="23" t="n">
        <v>55.8</v>
      </c>
      <c r="L39" s="20" t="inlineStr">
        <is>
          <t>3개월 단독</t>
        </is>
      </c>
    </row>
    <row r="40">
      <c r="A40" s="20" t="inlineStr">
        <is>
          <t>2023Q3</t>
        </is>
      </c>
      <c r="B40" s="20" t="inlineStr">
        <is>
          <t>분기</t>
        </is>
      </c>
      <c r="C40" s="23" t="n">
        <v>22215388890</v>
      </c>
      <c r="D40" s="23" t="n">
        <v>-3433134592</v>
      </c>
      <c r="E40" s="23" t="n">
        <v>-2475823705</v>
      </c>
      <c r="F40" s="23" t="n">
        <v>-15.5</v>
      </c>
      <c r="G40" s="23" t="n">
        <v>266111272893</v>
      </c>
      <c r="H40" s="23" t="n">
        <v>110534859532</v>
      </c>
      <c r="I40" s="23" t="n">
        <v>155576413361</v>
      </c>
      <c r="J40" s="23" t="n">
        <v>6713534500</v>
      </c>
      <c r="K40" s="23" t="n">
        <v>71</v>
      </c>
      <c r="L40" s="20" t="inlineStr">
        <is>
          <t>3개월 단독</t>
        </is>
      </c>
    </row>
    <row r="41">
      <c r="A41" s="20" t="inlineStr">
        <is>
          <t>2023Q4</t>
        </is>
      </c>
      <c r="B41" s="20" t="inlineStr">
        <is>
          <t>분기</t>
        </is>
      </c>
      <c r="C41" s="23" t="n">
        <v>39474423389</v>
      </c>
      <c r="D41" s="23" t="n">
        <v>-2228728501</v>
      </c>
      <c r="E41" s="23" t="n">
        <v>-5731242750</v>
      </c>
      <c r="F41" s="23" t="n">
        <v>-5.6</v>
      </c>
      <c r="G41" s="23" t="n">
        <v>289424082041</v>
      </c>
      <c r="H41" s="23" t="n">
        <v>140674922116</v>
      </c>
      <c r="I41" s="23" t="n">
        <v>148749159925</v>
      </c>
      <c r="J41" s="23" t="n">
        <v>6713534500</v>
      </c>
      <c r="K41" s="23" t="n">
        <v>94.59999999999999</v>
      </c>
      <c r="L41" s="20" t="inlineStr">
        <is>
          <t>연간-누적(1~3Q) 계산</t>
        </is>
      </c>
    </row>
    <row r="42">
      <c r="A42" s="20" t="inlineStr">
        <is>
          <t>2023 연간</t>
        </is>
      </c>
      <c r="B42" s="20" t="inlineStr">
        <is>
          <t>연간</t>
        </is>
      </c>
      <c r="C42" s="23" t="n">
        <v>100172177678</v>
      </c>
      <c r="D42" s="23" t="n">
        <v>-17407233831</v>
      </c>
      <c r="E42" s="23" t="n">
        <v>-16256430677</v>
      </c>
      <c r="F42" s="23" t="n">
        <v>-17.4</v>
      </c>
      <c r="G42" s="23" t="n">
        <v>289424082041</v>
      </c>
      <c r="H42" s="23" t="n">
        <v>140674922116</v>
      </c>
      <c r="I42" s="23" t="n">
        <v>148749159925</v>
      </c>
      <c r="J42" s="23" t="n">
        <v>6713534500</v>
      </c>
      <c r="K42" s="23" t="n">
        <v>94.59999999999999</v>
      </c>
      <c r="L42" s="20" t="inlineStr">
        <is>
          <t>연결</t>
        </is>
      </c>
    </row>
    <row r="43">
      <c r="A43" s="20" t="inlineStr">
        <is>
          <t>2024Q1</t>
        </is>
      </c>
      <c r="B43" s="20" t="inlineStr">
        <is>
          <t>분기</t>
        </is>
      </c>
      <c r="C43" s="23" t="n">
        <v>30589183817</v>
      </c>
      <c r="D43" s="23" t="n">
        <v>-3760775813</v>
      </c>
      <c r="E43" s="23" t="n">
        <v>561006520</v>
      </c>
      <c r="F43" s="23" t="n">
        <v>-12.3</v>
      </c>
      <c r="G43" s="23" t="n">
        <v>279661809874</v>
      </c>
      <c r="H43" s="23" t="n">
        <v>129908294820</v>
      </c>
      <c r="I43" s="23" t="n">
        <v>149753515054</v>
      </c>
      <c r="J43" s="23" t="n">
        <v>6720411000</v>
      </c>
      <c r="K43" s="23" t="n">
        <v>86.7</v>
      </c>
      <c r="L43" s="20" t="inlineStr">
        <is>
          <t>3개월 단독</t>
        </is>
      </c>
    </row>
    <row r="44">
      <c r="A44" s="20" t="inlineStr">
        <is>
          <t>2024Q2</t>
        </is>
      </c>
      <c r="B44" s="20" t="inlineStr">
        <is>
          <t>분기</t>
        </is>
      </c>
      <c r="C44" s="23" t="n">
        <v>20201187493</v>
      </c>
      <c r="D44" s="23" t="n">
        <v>-4426970645</v>
      </c>
      <c r="E44" s="23" t="n">
        <v>-2683390971</v>
      </c>
      <c r="F44" s="23" t="n">
        <v>-21.9</v>
      </c>
      <c r="G44" s="23" t="n">
        <v>273633359170</v>
      </c>
      <c r="H44" s="23" t="n">
        <v>126534170320</v>
      </c>
      <c r="I44" s="23" t="n">
        <v>147099188850</v>
      </c>
      <c r="J44" s="23" t="n">
        <v>6720411000</v>
      </c>
      <c r="K44" s="23" t="n">
        <v>86</v>
      </c>
      <c r="L44" s="20" t="inlineStr">
        <is>
          <t>3개월 단독</t>
        </is>
      </c>
    </row>
    <row r="45">
      <c r="A45" s="20" t="inlineStr">
        <is>
          <t>2024Q3</t>
        </is>
      </c>
      <c r="B45" s="20" t="inlineStr">
        <is>
          <t>분기</t>
        </is>
      </c>
      <c r="C45" s="23" t="n">
        <v>34416927561</v>
      </c>
      <c r="D45" s="23" t="n">
        <v>-1697566244</v>
      </c>
      <c r="E45" s="23" t="n">
        <v>-4142758013</v>
      </c>
      <c r="F45" s="23" t="n">
        <v>-4.9</v>
      </c>
      <c r="G45" s="23" t="n">
        <v>246645380168</v>
      </c>
      <c r="H45" s="23" t="n">
        <v>105746340926</v>
      </c>
      <c r="I45" s="23" t="n">
        <v>140899039242</v>
      </c>
      <c r="J45" s="23" t="n">
        <v>6720411000</v>
      </c>
      <c r="K45" s="23" t="n">
        <v>75.09999999999999</v>
      </c>
      <c r="L45" s="20" t="inlineStr">
        <is>
          <t>3개월 단독</t>
        </is>
      </c>
    </row>
    <row r="46">
      <c r="A46" s="20" t="inlineStr">
        <is>
          <t>2024Q4</t>
        </is>
      </c>
      <c r="B46" s="20" t="inlineStr">
        <is>
          <t>분기</t>
        </is>
      </c>
      <c r="C46" s="23" t="n">
        <v>21338165048</v>
      </c>
      <c r="D46" s="23" t="n">
        <v>-7068206510</v>
      </c>
      <c r="E46" s="23" t="n">
        <v>-8911618958</v>
      </c>
      <c r="F46" s="23" t="n">
        <v>-33.1</v>
      </c>
      <c r="G46" s="23" t="n">
        <v>244893383816</v>
      </c>
      <c r="H46" s="23" t="n">
        <v>113259369739</v>
      </c>
      <c r="I46" s="23" t="n">
        <v>131634014077</v>
      </c>
      <c r="J46" s="23" t="n">
        <v>6720411000</v>
      </c>
      <c r="K46" s="23" t="n">
        <v>86</v>
      </c>
      <c r="L46" s="20" t="inlineStr">
        <is>
          <t>연간-누적(1~3Q) 계산</t>
        </is>
      </c>
    </row>
    <row r="47">
      <c r="A47" s="20" t="inlineStr">
        <is>
          <t>2024 연간</t>
        </is>
      </c>
      <c r="B47" s="20" t="inlineStr">
        <is>
          <t>연간</t>
        </is>
      </c>
      <c r="C47" s="23" t="n">
        <v>106545463919</v>
      </c>
      <c r="D47" s="23" t="n">
        <v>-16953519212</v>
      </c>
      <c r="E47" s="23" t="n">
        <v>-15176761422</v>
      </c>
      <c r="F47" s="23" t="n">
        <v>-15.9</v>
      </c>
      <c r="G47" s="23" t="n">
        <v>244893383816</v>
      </c>
      <c r="H47" s="23" t="n">
        <v>113259369739</v>
      </c>
      <c r="I47" s="23" t="n">
        <v>131634014077</v>
      </c>
      <c r="J47" s="23" t="n">
        <v>6720411000</v>
      </c>
      <c r="K47" s="23" t="n">
        <v>86</v>
      </c>
      <c r="L47" s="20" t="inlineStr">
        <is>
          <t>연결</t>
        </is>
      </c>
    </row>
    <row r="48">
      <c r="A48" s="20" t="inlineStr">
        <is>
          <t>2025Q1</t>
        </is>
      </c>
      <c r="B48" s="20" t="inlineStr">
        <is>
          <t>분기</t>
        </is>
      </c>
      <c r="C48" s="23" t="n">
        <v>32640510178</v>
      </c>
      <c r="D48" s="23" t="n">
        <v>-1551685227</v>
      </c>
      <c r="E48" s="23" t="n">
        <v>-1741552880</v>
      </c>
      <c r="F48" s="23" t="n">
        <v>-4.8</v>
      </c>
      <c r="G48" s="23" t="n">
        <v>237865068703</v>
      </c>
      <c r="H48" s="23" t="n">
        <v>108018440804</v>
      </c>
      <c r="I48" s="23" t="n">
        <v>129846627899</v>
      </c>
      <c r="J48" s="23" t="n">
        <v>6720411000</v>
      </c>
      <c r="K48" s="23" t="n">
        <v>83.2</v>
      </c>
      <c r="L48" s="20" t="inlineStr">
        <is>
          <t>3개월 단독</t>
        </is>
      </c>
    </row>
    <row r="49">
      <c r="A49" s="20" t="inlineStr">
        <is>
          <t>2025Q2</t>
        </is>
      </c>
      <c r="B49" s="20" t="inlineStr">
        <is>
          <t>분기</t>
        </is>
      </c>
      <c r="C49" s="23" t="n">
        <v>34026867815</v>
      </c>
      <c r="D49" s="23" t="n">
        <v>-1019789581</v>
      </c>
      <c r="E49" s="23" t="n">
        <v>-3134225282</v>
      </c>
      <c r="F49" s="23" t="n">
        <v>-3</v>
      </c>
      <c r="G49" s="23" t="n">
        <v>249735118854</v>
      </c>
      <c r="H49" s="23" t="n">
        <v>123357170716</v>
      </c>
      <c r="I49" s="23" t="n">
        <v>126377948138</v>
      </c>
      <c r="J49" s="23" t="n">
        <v>6720411000</v>
      </c>
      <c r="K49" s="23" t="n">
        <v>97.59999999999999</v>
      </c>
      <c r="L49" s="20" t="inlineStr">
        <is>
          <t>3개월 단독</t>
        </is>
      </c>
    </row>
    <row r="50">
      <c r="A50" s="20" t="inlineStr">
        <is>
          <t>2025Q3</t>
        </is>
      </c>
      <c r="B50" s="20" t="inlineStr">
        <is>
          <t>분기</t>
        </is>
      </c>
      <c r="C50" s="23" t="n">
        <v>36805859459</v>
      </c>
      <c r="D50" s="23" t="n">
        <v>2668304819</v>
      </c>
      <c r="E50" s="23" t="n">
        <v>2999723848</v>
      </c>
      <c r="F50" s="23" t="n">
        <v>7.2</v>
      </c>
      <c r="G50" s="23" t="n">
        <v>286394179764</v>
      </c>
      <c r="H50" s="23" t="n">
        <v>156937410438</v>
      </c>
      <c r="I50" s="23" t="n">
        <v>129456769326</v>
      </c>
      <c r="J50" s="23" t="n">
        <v>6720411000</v>
      </c>
      <c r="K50" s="23" t="n">
        <v>121.2</v>
      </c>
      <c r="L50" s="20" t="inlineStr">
        <is>
          <t>3개월 단독</t>
        </is>
      </c>
    </row>
    <row r="51">
      <c r="A51" s="20" t="inlineStr">
        <is>
          <t>2025Q4</t>
        </is>
      </c>
      <c r="B51" s="20" t="inlineStr">
        <is>
          <t>분기</t>
        </is>
      </c>
      <c r="C51" s="23" t="n">
        <v>61038392406</v>
      </c>
      <c r="D51" s="23" t="n">
        <v>2756014745</v>
      </c>
      <c r="E51" s="23" t="n">
        <v>5454411383</v>
      </c>
      <c r="F51" s="23" t="n">
        <v>4.5</v>
      </c>
      <c r="G51" s="23" t="n">
        <v>293465147035</v>
      </c>
      <c r="H51" s="23" t="n">
        <v>157557771327</v>
      </c>
      <c r="I51" s="23" t="n">
        <v>135907375708</v>
      </c>
      <c r="J51" s="23" t="n">
        <v>6720411000</v>
      </c>
      <c r="K51" s="23" t="n">
        <v>115.9</v>
      </c>
      <c r="L51" s="20" t="inlineStr">
        <is>
          <t>연간-누적(1~3Q) 계산</t>
        </is>
      </c>
    </row>
    <row r="52">
      <c r="A52" s="20" t="inlineStr">
        <is>
          <t>2025 연간</t>
        </is>
      </c>
      <c r="B52" s="20" t="inlineStr">
        <is>
          <t>연간</t>
        </is>
      </c>
      <c r="C52" s="23" t="n">
        <v>164511629858</v>
      </c>
      <c r="D52" s="23" t="n">
        <v>2852844756</v>
      </c>
      <c r="E52" s="23" t="n">
        <v>3578357069</v>
      </c>
      <c r="F52" s="23" t="n">
        <v>1.7</v>
      </c>
      <c r="G52" s="23" t="n">
        <v>293465147035</v>
      </c>
      <c r="H52" s="23" t="n">
        <v>157557771327</v>
      </c>
      <c r="I52" s="23" t="n">
        <v>135907375708</v>
      </c>
      <c r="J52" s="23" t="n">
        <v>6720411000</v>
      </c>
      <c r="K52" s="23" t="n">
        <v>115.9</v>
      </c>
      <c r="L52" s="20" t="inlineStr">
        <is>
          <t>연결</t>
        </is>
      </c>
    </row>
    <row r="53">
      <c r="A53" s="20" t="inlineStr">
        <is>
          <t>2026Q1</t>
        </is>
      </c>
      <c r="B53" s="20" t="inlineStr">
        <is>
          <t>분기</t>
        </is>
      </c>
      <c r="C53" s="23" t="n">
        <v>36032593804</v>
      </c>
      <c r="D53" s="23" t="n">
        <v>-357067847</v>
      </c>
      <c r="E53" s="23" t="n">
        <v>357491660</v>
      </c>
      <c r="F53" s="23" t="n">
        <v>-1</v>
      </c>
      <c r="G53" s="23" t="n">
        <v>314661618130</v>
      </c>
      <c r="H53" s="23" t="n">
        <v>177568900266</v>
      </c>
      <c r="I53" s="23" t="n">
        <v>137092717864</v>
      </c>
      <c r="J53" s="23" t="n">
        <v>6731003500</v>
      </c>
      <c r="K53" s="23" t="n">
        <v>129.5</v>
      </c>
      <c r="L53" s="20" t="inlineStr">
        <is>
          <t>3개월 단독</t>
        </is>
      </c>
    </row>
    <row r="54">
      <c r="A54" s="20" t="inlineStr">
        <is>
          <t>2026Q2</t>
        </is>
      </c>
      <c r="B54" s="20" t="inlineStr">
        <is>
          <t>분기</t>
        </is>
      </c>
      <c r="C54" s="23" t="n">
        <v>45945836761</v>
      </c>
      <c r="D54" s="23" t="n">
        <v>-1173866599</v>
      </c>
      <c r="E54" s="23" t="n">
        <v>-6540691262</v>
      </c>
      <c r="F54" s="23" t="n">
        <v>-2.6</v>
      </c>
      <c r="G54" s="23" t="n">
        <v>421690903771</v>
      </c>
      <c r="H54" s="23" t="n">
        <v>240935972646</v>
      </c>
      <c r="I54" s="23" t="n">
        <v>180754931125</v>
      </c>
      <c r="J54" s="23" t="n">
        <v>6731003500</v>
      </c>
      <c r="K54" s="23" t="n">
        <v>133.3</v>
      </c>
      <c r="L54" s="20" t="inlineStr">
        <is>
          <t>3개월 단독</t>
        </is>
      </c>
    </row>
    <row r="56">
      <c r="A56" s="24" t="inlineStr">
        <is>
          <t>출처: DART 단일회사 주요계정 API(fnlttSinglAcnt). 연결 우선(없으면 별도). 단위: 원. 분기값은 해당 3개월, Q4는 연간-누적 계산.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30" customHeight="1">
      <c r="A1" s="19" t="inlineStr">
        <is>
          <t>매출유형 | 판매경로(품목)</t>
        </is>
      </c>
      <c r="B1" s="19" t="inlineStr">
        <is>
          <t>2026.06
누적</t>
        </is>
      </c>
      <c r="C1" s="19" t="inlineStr">
        <is>
          <t>2026.03
누적</t>
        </is>
      </c>
      <c r="D1" s="19" t="inlineStr">
        <is>
          <t>2025.12
연간</t>
        </is>
      </c>
      <c r="E1" s="19" t="inlineStr">
        <is>
          <t>2025.09
누적</t>
        </is>
      </c>
      <c r="F1" s="19" t="inlineStr">
        <is>
          <t>2025.06
누적</t>
        </is>
      </c>
      <c r="G1" s="19" t="inlineStr">
        <is>
          <t>2025.03
누적</t>
        </is>
      </c>
      <c r="H1" s="19" t="inlineStr">
        <is>
          <t>2024.12
연간</t>
        </is>
      </c>
      <c r="I1" s="19" t="inlineStr">
        <is>
          <t>2024.09
누적</t>
        </is>
      </c>
      <c r="J1" s="19" t="inlineStr">
        <is>
          <t>2024.06
누적</t>
        </is>
      </c>
      <c r="K1" s="19" t="inlineStr">
        <is>
          <t>2024.03
누적</t>
        </is>
      </c>
      <c r="L1" s="19" t="inlineStr">
        <is>
          <t>2023.12
연간</t>
        </is>
      </c>
      <c r="M1" s="19" t="inlineStr">
        <is>
          <t>2023.09
누적</t>
        </is>
      </c>
      <c r="N1" s="19" t="inlineStr">
        <is>
          <t>2023.06
누적</t>
        </is>
      </c>
      <c r="O1" s="19" t="inlineStr">
        <is>
          <t>2023.03
누적</t>
        </is>
      </c>
      <c r="P1" s="19" t="inlineStr">
        <is>
          <t>2022.12
연간</t>
        </is>
      </c>
      <c r="Q1" s="19" t="inlineStr">
        <is>
          <t>2022.09
누적</t>
        </is>
      </c>
      <c r="R1" s="19" t="inlineStr">
        <is>
          <t>2022.06
누적</t>
        </is>
      </c>
      <c r="S1" s="19" t="inlineStr">
        <is>
          <t>2022.03
누적</t>
        </is>
      </c>
      <c r="T1" s="19" t="inlineStr">
        <is>
          <t>2021.12
연간</t>
        </is>
      </c>
      <c r="U1" s="19" t="inlineStr">
        <is>
          <t>2021.09
누적</t>
        </is>
      </c>
      <c r="V1" s="19" t="inlineStr">
        <is>
          <t>2021.06
누적</t>
        </is>
      </c>
      <c r="W1" s="19" t="inlineStr">
        <is>
          <t>2021.03
누적</t>
        </is>
      </c>
      <c r="X1" s="19" t="inlineStr">
        <is>
          <t>2020.12
연간</t>
        </is>
      </c>
      <c r="Y1" s="19" t="inlineStr">
        <is>
          <t>2020.09
누적</t>
        </is>
      </c>
      <c r="Z1" s="19" t="inlineStr">
        <is>
          <t>2020.06
누적</t>
        </is>
      </c>
      <c r="AA1" s="19" t="inlineStr">
        <is>
          <t>2020.03
누적</t>
        </is>
      </c>
      <c r="AB1" s="19" t="inlineStr">
        <is>
          <t>2019.12
연간</t>
        </is>
      </c>
      <c r="AC1" s="19" t="inlineStr">
        <is>
          <t>2019.09
누적</t>
        </is>
      </c>
      <c r="AD1" s="19" t="inlineStr">
        <is>
          <t>2019.06
누적</t>
        </is>
      </c>
      <c r="AE1" s="19" t="inlineStr">
        <is>
          <t>2019.03
누적</t>
        </is>
      </c>
      <c r="AF1" s="19" t="inlineStr">
        <is>
          <t>2018.12
연간</t>
        </is>
      </c>
      <c r="AG1" s="19" t="inlineStr">
        <is>
          <t>2018.09
누적</t>
        </is>
      </c>
      <c r="AH1" s="19" t="inlineStr">
        <is>
          <t>2018.06
누적</t>
        </is>
      </c>
      <c r="AI1" s="19" t="inlineStr">
        <is>
          <t>2018.03
누적</t>
        </is>
      </c>
      <c r="AJ1" s="19" t="inlineStr">
        <is>
          <t>2017.12
연간</t>
        </is>
      </c>
      <c r="AK1" s="19" t="inlineStr">
        <is>
          <t>2017.09
누적</t>
        </is>
      </c>
      <c r="AL1" s="19" t="inlineStr">
        <is>
          <t>2017.06
누적</t>
        </is>
      </c>
      <c r="AM1" s="19" t="inlineStr">
        <is>
          <t>2017.03
누적</t>
        </is>
      </c>
      <c r="AN1" s="19" t="inlineStr">
        <is>
          <t>2016.12
연간</t>
        </is>
      </c>
      <c r="AO1" s="19" t="inlineStr">
        <is>
          <t>2016.09
누적</t>
        </is>
      </c>
      <c r="AP1" s="19" t="inlineStr">
        <is>
          <t>2016.06
누적</t>
        </is>
      </c>
      <c r="AQ1" s="19" t="inlineStr">
        <is>
          <t>2016.03
누적</t>
        </is>
      </c>
      <c r="AR1" s="19" t="inlineStr">
        <is>
          <t>2015.12
연간</t>
        </is>
      </c>
      <c r="AS1" s="19" t="inlineStr">
        <is>
          <t>2015.09
누적</t>
        </is>
      </c>
      <c r="AT1" s="19" t="inlineStr">
        <is>
          <t>2015.06
누적</t>
        </is>
      </c>
      <c r="AU1" s="19" t="inlineStr">
        <is>
          <t>2015.03
누적</t>
        </is>
      </c>
      <c r="AV1" s="19" t="inlineStr">
        <is>
          <t>2014.12
연간</t>
        </is>
      </c>
    </row>
    <row r="2">
      <c r="A2" s="20" t="inlineStr">
        <is>
          <t>제품(양산) | 내수</t>
        </is>
      </c>
      <c r="B2" s="23" t="n">
        <v>6357</v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  <c r="AR2" s="20" t="n"/>
      <c r="AS2" s="20" t="n"/>
      <c r="AT2" s="20" t="n"/>
      <c r="AU2" s="20" t="n"/>
      <c r="AV2" s="20" t="n"/>
    </row>
    <row r="3">
      <c r="A3" s="20" t="inlineStr">
        <is>
          <t>제품(양산) | 수출</t>
        </is>
      </c>
      <c r="B3" s="23" t="n">
        <v>0</v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</row>
    <row r="4">
      <c r="A4" s="20" t="inlineStr">
        <is>
          <t>제품(양산)</t>
        </is>
      </c>
      <c r="B4" s="23" t="n">
        <v>6357</v>
      </c>
      <c r="C4" s="23" t="n">
        <v>3548</v>
      </c>
      <c r="D4" s="23" t="n">
        <v>20437</v>
      </c>
      <c r="E4" s="23" t="n">
        <v>15000</v>
      </c>
      <c r="F4" s="23" t="n">
        <v>10817</v>
      </c>
      <c r="G4" s="23" t="n">
        <v>4982</v>
      </c>
      <c r="H4" s="23" t="n">
        <v>19097</v>
      </c>
      <c r="I4" s="23" t="n">
        <v>16350</v>
      </c>
      <c r="J4" s="23" t="n">
        <v>11101</v>
      </c>
      <c r="K4" s="23" t="n">
        <v>6447</v>
      </c>
      <c r="L4" s="23" t="n">
        <v>35459</v>
      </c>
      <c r="M4" s="23" t="n">
        <v>23889</v>
      </c>
      <c r="N4" s="23" t="n">
        <v>17844</v>
      </c>
      <c r="O4" s="23" t="n">
        <v>8404</v>
      </c>
      <c r="P4" s="23" t="n">
        <v>123811</v>
      </c>
      <c r="Q4" s="23" t="n">
        <v>115632</v>
      </c>
      <c r="R4" s="23" t="n">
        <v>267155</v>
      </c>
      <c r="S4" s="23" t="n">
        <v>267155</v>
      </c>
      <c r="T4" s="23" t="n">
        <v>207535</v>
      </c>
      <c r="U4" s="23" t="n">
        <v>207535</v>
      </c>
      <c r="V4" s="23" t="n">
        <v>207535</v>
      </c>
      <c r="W4" s="23" t="n">
        <v>84817</v>
      </c>
      <c r="X4" s="23" t="n">
        <v>12795</v>
      </c>
      <c r="Y4" s="23" t="n">
        <v>12795</v>
      </c>
      <c r="Z4" s="23" t="n">
        <v>12795</v>
      </c>
      <c r="AA4" s="23" t="n">
        <v>12795</v>
      </c>
      <c r="AB4" s="23" t="n">
        <v>6222</v>
      </c>
      <c r="AC4" s="23" t="n">
        <v>6222</v>
      </c>
      <c r="AD4" s="23" t="n">
        <v>6222</v>
      </c>
      <c r="AE4" s="23" t="n">
        <v>6222</v>
      </c>
      <c r="AF4" s="23" t="n">
        <v>19592</v>
      </c>
      <c r="AG4" s="23" t="n">
        <v>19592</v>
      </c>
      <c r="AH4" s="23" t="n">
        <v>19592</v>
      </c>
      <c r="AI4" s="23" t="n">
        <v>19592</v>
      </c>
      <c r="AJ4" s="23" t="n">
        <v>47476</v>
      </c>
      <c r="AK4" s="23" t="n">
        <v>47476</v>
      </c>
      <c r="AL4" s="23" t="n">
        <v>47476</v>
      </c>
      <c r="AM4" s="23" t="n">
        <v>47476</v>
      </c>
      <c r="AN4" s="23" t="n">
        <v>21200</v>
      </c>
      <c r="AO4" s="23" t="n">
        <v>21200</v>
      </c>
      <c r="AP4" s="23" t="n">
        <v>21200</v>
      </c>
      <c r="AQ4" s="23" t="n">
        <v>21200</v>
      </c>
      <c r="AR4" s="23" t="n">
        <v>5248</v>
      </c>
      <c r="AS4" s="23" t="n">
        <v>5248</v>
      </c>
      <c r="AT4" s="23" t="n">
        <v>5248</v>
      </c>
      <c r="AU4" s="23" t="n">
        <v>5248</v>
      </c>
      <c r="AV4" s="23" t="n">
        <v>4582</v>
      </c>
    </row>
    <row r="5">
      <c r="A5" s="20" t="inlineStr">
        <is>
          <t>용역(개발) | 내수</t>
        </is>
      </c>
      <c r="B5" s="23" t="n">
        <v>33482</v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</row>
    <row r="6">
      <c r="A6" s="20" t="inlineStr">
        <is>
          <t>용역(개발) | 수출</t>
        </is>
      </c>
      <c r="B6" s="23" t="n">
        <v>40203</v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</row>
    <row r="7">
      <c r="A7" s="20" t="inlineStr">
        <is>
          <t>용역(개발)</t>
        </is>
      </c>
      <c r="B7" s="23" t="n">
        <v>73685</v>
      </c>
      <c r="C7" s="23" t="n">
        <v>31514</v>
      </c>
      <c r="D7" s="23" t="n">
        <v>139505</v>
      </c>
      <c r="E7" s="23" t="n">
        <v>85111</v>
      </c>
      <c r="F7" s="23" t="n">
        <v>53483</v>
      </c>
      <c r="G7" s="23" t="n">
        <v>26420</v>
      </c>
      <c r="H7" s="23" t="n">
        <v>82359</v>
      </c>
      <c r="I7" s="23" t="n">
        <v>65115</v>
      </c>
      <c r="J7" s="23" t="n">
        <v>37217</v>
      </c>
      <c r="K7" s="23" t="n">
        <v>22923</v>
      </c>
      <c r="L7" s="23" t="n">
        <v>59312</v>
      </c>
      <c r="M7" s="23" t="n">
        <v>34470</v>
      </c>
      <c r="N7" s="23" t="n">
        <v>19230</v>
      </c>
      <c r="O7" s="23" t="n">
        <v>9105</v>
      </c>
      <c r="P7" s="23" t="n">
        <v>38918</v>
      </c>
      <c r="Q7" s="23" t="n">
        <v>27270</v>
      </c>
      <c r="R7" s="23" t="n">
        <v>25070</v>
      </c>
      <c r="S7" s="23" t="n">
        <v>25070</v>
      </c>
      <c r="T7" s="23" t="n">
        <v>18260</v>
      </c>
      <c r="U7" s="23" t="n">
        <v>18260</v>
      </c>
      <c r="V7" s="23" t="n">
        <v>18260</v>
      </c>
      <c r="W7" s="23" t="n">
        <v>25298</v>
      </c>
      <c r="X7" s="23" t="n">
        <v>19361</v>
      </c>
      <c r="Y7" s="23" t="n">
        <v>19361</v>
      </c>
      <c r="Z7" s="23" t="n">
        <v>19361</v>
      </c>
      <c r="AA7" s="23" t="n">
        <v>19361</v>
      </c>
      <c r="AB7" s="23" t="n">
        <v>16446</v>
      </c>
      <c r="AC7" s="23" t="n">
        <v>16446</v>
      </c>
      <c r="AD7" s="23" t="n">
        <v>16446</v>
      </c>
      <c r="AE7" s="23" t="n">
        <v>16446</v>
      </c>
      <c r="AF7" s="23" t="n">
        <v>16205</v>
      </c>
      <c r="AG7" s="23" t="n">
        <v>16205</v>
      </c>
      <c r="AH7" s="23" t="n">
        <v>16205</v>
      </c>
      <c r="AI7" s="23" t="n">
        <v>16205</v>
      </c>
      <c r="AJ7" s="23" t="n">
        <v>19006</v>
      </c>
      <c r="AK7" s="23" t="n">
        <v>19006</v>
      </c>
      <c r="AL7" s="23" t="n">
        <v>19006</v>
      </c>
      <c r="AM7" s="23" t="n">
        <v>19006</v>
      </c>
      <c r="AN7" s="23" t="n">
        <v>22502</v>
      </c>
      <c r="AO7" s="23" t="n">
        <v>22502</v>
      </c>
      <c r="AP7" s="23" t="n">
        <v>22502</v>
      </c>
      <c r="AQ7" s="23" t="n">
        <v>22502</v>
      </c>
      <c r="AR7" s="23" t="n">
        <v>19540</v>
      </c>
      <c r="AS7" s="23" t="n">
        <v>19540</v>
      </c>
      <c r="AT7" s="23" t="n">
        <v>19540</v>
      </c>
      <c r="AU7" s="23" t="n">
        <v>19540</v>
      </c>
      <c r="AV7" s="23" t="n">
        <v>17623</v>
      </c>
    </row>
    <row r="8">
      <c r="A8" s="20" t="inlineStr">
        <is>
          <t>기타 | 내수</t>
        </is>
      </c>
      <c r="B8" s="23" t="n">
        <v>1937</v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</row>
    <row r="9">
      <c r="A9" s="20" t="inlineStr">
        <is>
          <t>기타 | 수출</t>
        </is>
      </c>
      <c r="B9" s="23" t="n">
        <v>0</v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</row>
    <row r="10">
      <c r="A10" s="20" t="inlineStr">
        <is>
          <t>기타</t>
        </is>
      </c>
      <c r="B10" s="23" t="n">
        <v>1937</v>
      </c>
      <c r="C10" s="23" t="n">
        <v>971</v>
      </c>
      <c r="D10" s="23" t="n">
        <v>4570</v>
      </c>
      <c r="E10" s="23" t="n">
        <v>3362</v>
      </c>
      <c r="F10" s="23" t="n">
        <v>2367</v>
      </c>
      <c r="G10" s="23" t="n">
        <v>1239</v>
      </c>
      <c r="H10" s="23" t="n">
        <v>5089</v>
      </c>
      <c r="I10" s="23" t="n">
        <v>3742</v>
      </c>
      <c r="J10" s="23" t="n">
        <v>2472</v>
      </c>
      <c r="K10" s="23" t="n">
        <v>1219</v>
      </c>
      <c r="L10" s="23" t="n">
        <v>2962</v>
      </c>
      <c r="M10" s="23" t="n">
        <v>1909</v>
      </c>
      <c r="N10" s="23" t="n">
        <v>1096</v>
      </c>
      <c r="O10" s="23" t="n">
        <v>482</v>
      </c>
      <c r="P10" s="23" t="n">
        <v>1278</v>
      </c>
      <c r="Q10" s="23" t="n">
        <v>757</v>
      </c>
      <c r="R10" s="23" t="n">
        <v>0</v>
      </c>
      <c r="S10" s="23" t="n">
        <v>0</v>
      </c>
      <c r="T10" s="23" t="n">
        <v>0</v>
      </c>
      <c r="U10" s="23" t="n">
        <v>0</v>
      </c>
      <c r="V10" s="23" t="n">
        <v>0</v>
      </c>
      <c r="W10" s="23" t="n">
        <v>0</v>
      </c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</row>
    <row r="11">
      <c r="A11" s="20" t="inlineStr">
        <is>
          <t>합계</t>
        </is>
      </c>
      <c r="B11" s="23" t="n">
        <v>81978</v>
      </c>
      <c r="C11" s="23" t="n">
        <v>36033</v>
      </c>
      <c r="D11" s="23" t="n">
        <v>164512</v>
      </c>
      <c r="E11" s="25" t="n">
        <v>103473</v>
      </c>
      <c r="F11" s="23" t="n">
        <v>66667</v>
      </c>
      <c r="G11" s="23" t="n">
        <v>32641</v>
      </c>
      <c r="H11" s="23" t="n">
        <v>106545</v>
      </c>
      <c r="I11" s="23" t="n">
        <v>85207</v>
      </c>
      <c r="J11" s="23" t="n">
        <v>50790</v>
      </c>
      <c r="K11" s="23" t="n">
        <v>30589</v>
      </c>
      <c r="L11" s="23" t="n">
        <v>100172</v>
      </c>
      <c r="M11" s="23" t="n">
        <v>60697</v>
      </c>
      <c r="N11" s="23" t="n">
        <v>38482</v>
      </c>
      <c r="O11" s="23" t="n">
        <v>18119</v>
      </c>
      <c r="P11" s="23" t="n">
        <v>164249</v>
      </c>
      <c r="Q11" s="23" t="n">
        <v>143802</v>
      </c>
      <c r="R11" s="23" t="n">
        <v>292360</v>
      </c>
      <c r="S11" s="23" t="n">
        <v>292360</v>
      </c>
      <c r="T11" s="23" t="n">
        <v>225810</v>
      </c>
      <c r="U11" s="23" t="n">
        <v>225810</v>
      </c>
      <c r="V11" s="23" t="n">
        <v>225810</v>
      </c>
      <c r="W11" s="23" t="n">
        <v>110265</v>
      </c>
      <c r="X11" s="23" t="n">
        <v>32205</v>
      </c>
      <c r="Y11" s="23" t="n">
        <v>32205</v>
      </c>
      <c r="Z11" s="23" t="n">
        <v>32205</v>
      </c>
      <c r="AA11" s="23" t="n">
        <v>32205</v>
      </c>
      <c r="AB11" s="23" t="n">
        <v>22668</v>
      </c>
      <c r="AC11" s="23" t="n">
        <v>22668</v>
      </c>
      <c r="AD11" s="23" t="n">
        <v>22668</v>
      </c>
      <c r="AE11" s="23" t="n">
        <v>22668</v>
      </c>
      <c r="AF11" s="23" t="n">
        <v>35797</v>
      </c>
      <c r="AG11" s="23" t="n">
        <v>35797</v>
      </c>
      <c r="AH11" s="23" t="n">
        <v>35797</v>
      </c>
      <c r="AI11" s="23" t="n">
        <v>35797</v>
      </c>
      <c r="AJ11" s="23" t="n">
        <v>66482</v>
      </c>
      <c r="AK11" s="23" t="n">
        <v>66482</v>
      </c>
      <c r="AL11" s="23" t="n">
        <v>66482</v>
      </c>
      <c r="AM11" s="23" t="n">
        <v>66482</v>
      </c>
      <c r="AN11" s="23" t="n">
        <v>43702</v>
      </c>
      <c r="AO11" s="23" t="n">
        <v>43702</v>
      </c>
      <c r="AP11" s="23" t="n">
        <v>43702</v>
      </c>
      <c r="AQ11" s="23" t="n">
        <v>43702</v>
      </c>
      <c r="AR11" s="23" t="n">
        <v>24788</v>
      </c>
      <c r="AS11" s="23" t="n">
        <v>24788</v>
      </c>
      <c r="AT11" s="23" t="n">
        <v>24788</v>
      </c>
      <c r="AU11" s="23" t="n">
        <v>24788</v>
      </c>
      <c r="AV11" s="23" t="n">
        <v>22205</v>
      </c>
    </row>
    <row r="12">
      <c r="A12" s="20" t="inlineStr">
        <is>
          <t>상품</t>
        </is>
      </c>
      <c r="B12" s="20" t="n"/>
      <c r="C12" s="20" t="n"/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0</v>
      </c>
      <c r="J12" s="23" t="n">
        <v>0</v>
      </c>
      <c r="K12" s="23" t="n">
        <v>0</v>
      </c>
      <c r="L12" s="23" t="n">
        <v>2439</v>
      </c>
      <c r="M12" s="23" t="n">
        <v>429</v>
      </c>
      <c r="N12" s="23" t="n">
        <v>312</v>
      </c>
      <c r="O12" s="23" t="n">
        <v>128</v>
      </c>
      <c r="P12" s="23" t="n">
        <v>242</v>
      </c>
      <c r="Q12" s="23" t="n">
        <v>143</v>
      </c>
      <c r="R12" s="23" t="n">
        <v>135</v>
      </c>
      <c r="S12" s="23" t="n">
        <v>135</v>
      </c>
      <c r="T12" s="23" t="n">
        <v>15</v>
      </c>
      <c r="U12" s="23" t="n">
        <v>15</v>
      </c>
      <c r="V12" s="23" t="n">
        <v>15</v>
      </c>
      <c r="W12" s="23" t="n">
        <v>150</v>
      </c>
      <c r="X12" s="23" t="n">
        <v>49</v>
      </c>
      <c r="Y12" s="23" t="n">
        <v>49</v>
      </c>
      <c r="Z12" s="23" t="n">
        <v>49</v>
      </c>
      <c r="AA12" s="23" t="n">
        <v>49</v>
      </c>
      <c r="AB12" s="23" t="n">
        <v>0</v>
      </c>
      <c r="AC12" s="23" t="n">
        <v>0</v>
      </c>
      <c r="AD12" s="23" t="n">
        <v>0</v>
      </c>
      <c r="AE12" s="23" t="n">
        <v>0</v>
      </c>
      <c r="AF12" s="23" t="n">
        <v>0</v>
      </c>
      <c r="AG12" s="23" t="n">
        <v>0</v>
      </c>
      <c r="AH12" s="23" t="n">
        <v>0</v>
      </c>
      <c r="AI12" s="23" t="n">
        <v>0</v>
      </c>
      <c r="AJ12" s="23" t="n">
        <v>0</v>
      </c>
      <c r="AK12" s="23" t="n">
        <v>0</v>
      </c>
      <c r="AL12" s="23" t="n">
        <v>0</v>
      </c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</row>
    <row r="13">
      <c r="A13" s="20" t="inlineStr">
        <is>
          <t>임대료수입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3" t="n">
        <v>0</v>
      </c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</row>
    <row r="15">
      <c r="A15" s="24" t="inlineStr">
        <is>
          <t>출처: 각 정기보고서 'II. 사업의 내용 &gt; 매출 및 수주상황 &gt; 매출실적' 표의 당기 열(단위 백만원, 보고서 기준 누적 — 원문 단위 확인 필요). 열 헤더 = 보고서 기간 종료월.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.733333333333333" customWidth="1" min="3" max="3"/>
    <col hidden="1" width="10" customWidth="1" min="4" max="4"/>
    <col hidden="1" width="10" customWidth="1" min="5" max="5"/>
    <col width="11.6" customWidth="1" min="6" max="6"/>
    <col width="25" customWidth="1" min="7" max="7"/>
    <col width="12.53333333333333" customWidth="1" min="8" max="8"/>
    <col width="6.933333333333334" customWidth="1" min="9" max="9"/>
    <col width="25" customWidth="1" min="10" max="10"/>
    <col width="8.533333333333331" customWidth="1" min="11" max="11"/>
    <col width="11.73333333333333" customWidth="1" min="12" max="12"/>
    <col width="9.333333333333332" customWidth="1" min="13" max="13"/>
    <col width="11.73333333333333" customWidth="1" min="14" max="14"/>
    <col width="11.73333333333333" customWidth="1" min="15" max="15"/>
    <col width="6.666666666666666" customWidth="1" min="16" max="16"/>
    <col width="30" customWidth="1" min="17" max="17"/>
    <col width="14" customWidth="1" min="18" max="18"/>
    <col width="14" customWidth="1" min="19" max="19"/>
    <col hidden="1" width="18.8" customWidth="1" min="20" max="20"/>
  </cols>
  <sheetData>
    <row r="1" ht="25" customHeight="1">
      <c r="A1" s="1" t="inlineStr">
        <is>
          <t>접수일자</t>
        </is>
      </c>
      <c r="B1" s="1" t="inlineStr">
        <is>
          <t>DART링크</t>
        </is>
      </c>
      <c r="C1" s="1" t="inlineStr">
        <is>
          <t>회사명</t>
        </is>
      </c>
      <c r="D1" s="1" t="inlineStr">
        <is>
          <t>시장구분</t>
        </is>
      </c>
      <c r="E1" s="1" t="inlineStr">
        <is>
          <t>종목코드</t>
        </is>
      </c>
      <c r="F1" s="1" t="inlineStr">
        <is>
          <t>유형</t>
        </is>
      </c>
      <c r="G1" s="1" t="inlineStr">
        <is>
          <t>공시명</t>
        </is>
      </c>
      <c r="H1" s="1" t="inlineStr">
        <is>
          <t>조달금액</t>
        </is>
      </c>
      <c r="I1" s="1" t="inlineStr">
        <is>
          <t>발행가/전환가</t>
        </is>
      </c>
      <c r="J1" s="1" t="inlineStr">
        <is>
          <t>신주종류</t>
        </is>
      </c>
      <c r="K1" s="1" t="inlineStr">
        <is>
          <t>신주발행수</t>
        </is>
      </c>
      <c r="L1" s="1" t="inlineStr">
        <is>
          <t>납입일</t>
        </is>
      </c>
      <c r="M1" s="1" t="inlineStr">
        <is>
          <t>상장예정일</t>
        </is>
      </c>
      <c r="N1" s="1" t="inlineStr">
        <is>
          <t>전환청구시작일</t>
        </is>
      </c>
      <c r="O1" s="1" t="inlineStr">
        <is>
          <t>전환청구종료일</t>
        </is>
      </c>
      <c r="P1" s="1" t="inlineStr">
        <is>
          <t>주식총수대비</t>
        </is>
      </c>
      <c r="Q1" s="1" t="inlineStr">
        <is>
          <t>조달목적</t>
        </is>
      </c>
      <c r="R1" s="1" t="inlineStr">
        <is>
          <t>콜옵션 청구일</t>
        </is>
      </c>
      <c r="S1" s="1" t="inlineStr">
        <is>
          <t>풋옵션 청구일</t>
        </is>
      </c>
      <c r="T1" s="1" t="inlineStr">
        <is>
          <t>접수번호</t>
        </is>
      </c>
    </row>
    <row r="2" ht="36" customHeight="1">
      <c r="A2" s="2" t="inlineStr">
        <is>
          <t>2026-04-21</t>
        </is>
      </c>
      <c r="B2" s="3">
        <f>HYPERLINK("https://dart.fss.or.kr/dsaf001/main.do?rcpNo=20260421000499", "공시열람")</f>
        <v/>
      </c>
      <c r="C2" s="4" t="inlineStr">
        <is>
          <t>에이디테크놀로지</t>
        </is>
      </c>
      <c r="D2" s="2" t="inlineStr">
        <is>
          <t>코스닥</t>
        </is>
      </c>
      <c r="E2" s="2" t="inlineStr">
        <is>
          <t>200710</t>
        </is>
      </c>
      <c r="F2" s="5" t="inlineStr">
        <is>
          <t>전환사채(CB)</t>
        </is>
      </c>
      <c r="G2" s="4" t="inlineStr">
        <is>
          <t>주요사항보고서(전환사채권발행결정)</t>
        </is>
      </c>
      <c r="H2" s="6" t="n">
        <v>130000000000</v>
      </c>
      <c r="I2" s="6" t="n">
        <v>54603</v>
      </c>
      <c r="J2" s="2" t="inlineStr">
        <is>
          <t>주식회사 에이디테크놀로지 기명식 보통주</t>
        </is>
      </c>
      <c r="K2" s="7" t="n">
        <v>2380821</v>
      </c>
      <c r="L2" s="2" t="inlineStr">
        <is>
          <t>2026년 04월 29일</t>
        </is>
      </c>
      <c r="M2" s="2" t="inlineStr">
        <is>
          <t>-</t>
        </is>
      </c>
      <c r="N2" s="2" t="inlineStr">
        <is>
          <t>2027-04-29</t>
        </is>
      </c>
      <c r="O2" s="2" t="inlineStr">
        <is>
          <t>2031-03-29</t>
        </is>
      </c>
      <c r="P2" s="8" t="n">
        <v>15.03</v>
      </c>
      <c r="Q2" s="9" t="inlineStr">
        <is>
          <t>-</t>
        </is>
      </c>
      <c r="R2" s="2" t="inlineStr">
        <is>
          <t>2027-03-30</t>
        </is>
      </c>
      <c r="S2" s="2" t="inlineStr">
        <is>
          <t>2028-08-30</t>
        </is>
      </c>
      <c r="T2" s="2" t="inlineStr">
        <is>
          <t>20260421000499</t>
        </is>
      </c>
    </row>
    <row r="3" ht="36" customHeight="1">
      <c r="A3" s="2" t="inlineStr">
        <is>
          <t>2020-07-02</t>
        </is>
      </c>
      <c r="B3" s="3">
        <f>HYPERLINK("https://dart.fss.or.kr/dsaf001/main.do?rcpNo=20200702000022", "공시열람")</f>
        <v/>
      </c>
      <c r="C3" s="4" t="inlineStr">
        <is>
          <t>에이디테크놀로지</t>
        </is>
      </c>
      <c r="D3" s="2" t="inlineStr">
        <is>
          <t>코스닥</t>
        </is>
      </c>
      <c r="E3" s="2" t="inlineStr">
        <is>
          <t>200710</t>
        </is>
      </c>
      <c r="F3" s="10" t="inlineStr">
        <is>
          <t>유상증자</t>
        </is>
      </c>
      <c r="G3" s="4" t="inlineStr">
        <is>
          <t>[기재정정]주요사항보고서(유상증자결정)</t>
        </is>
      </c>
      <c r="H3" s="6" t="n">
        <v>67360000000</v>
      </c>
      <c r="I3" s="6" t="n">
        <v>21050</v>
      </c>
      <c r="J3" s="2" t="inlineStr">
        <is>
          <t>보통주식</t>
        </is>
      </c>
      <c r="K3" s="7" t="n">
        <v>3200000</v>
      </c>
      <c r="L3" s="2" t="inlineStr">
        <is>
          <t>2020-07-14</t>
        </is>
      </c>
      <c r="M3" s="2" t="inlineStr">
        <is>
          <t>2020-07-24</t>
        </is>
      </c>
      <c r="N3" s="2" t="inlineStr">
        <is>
          <t>-</t>
        </is>
      </c>
      <c r="O3" s="2" t="inlineStr">
        <is>
          <t>-</t>
        </is>
      </c>
      <c r="P3" s="4" t="inlineStr"/>
      <c r="Q3" s="9" t="inlineStr">
        <is>
          <t>시설자금 (100.0억원), 운영자금 (473.6억원), 채무상환자금 (100.0억원)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20200702000022</t>
        </is>
      </c>
    </row>
    <row r="4" ht="36" customHeight="1">
      <c r="A4" s="2" t="inlineStr">
        <is>
          <t>2020-06-02</t>
        </is>
      </c>
      <c r="B4" s="3">
        <f>HYPERLINK("https://dart.fss.or.kr/dsaf001/main.do?rcpNo=20200602000101", "공시열람")</f>
        <v/>
      </c>
      <c r="C4" s="4" t="inlineStr">
        <is>
          <t>에이디테크놀로지</t>
        </is>
      </c>
      <c r="D4" s="2" t="inlineStr">
        <is>
          <t>코스닥</t>
        </is>
      </c>
      <c r="E4" s="2" t="inlineStr">
        <is>
          <t>200710</t>
        </is>
      </c>
      <c r="F4" s="10" t="inlineStr">
        <is>
          <t>유상증자</t>
        </is>
      </c>
      <c r="G4" s="4" t="inlineStr">
        <is>
          <t>[기재정정]주요사항보고서(유상증자결정)</t>
        </is>
      </c>
      <c r="H4" s="6" t="n">
        <v>74240000000</v>
      </c>
      <c r="I4" s="6" t="inlineStr"/>
      <c r="J4" s="2" t="inlineStr">
        <is>
          <t>보통주식</t>
        </is>
      </c>
      <c r="K4" s="7" t="n">
        <v>3200000</v>
      </c>
      <c r="L4" s="2" t="inlineStr">
        <is>
          <t>2020-07-14</t>
        </is>
      </c>
      <c r="M4" s="2" t="inlineStr">
        <is>
          <t>2020-07-24</t>
        </is>
      </c>
      <c r="N4" s="2" t="inlineStr">
        <is>
          <t>-</t>
        </is>
      </c>
      <c r="O4" s="2" t="inlineStr">
        <is>
          <t>-</t>
        </is>
      </c>
      <c r="P4" s="4" t="inlineStr"/>
      <c r="Q4" s="9" t="inlineStr">
        <is>
          <t>시설자금 (300.0억원), 운영자금 (342.4억원), 채무상환자금 (100.0억원)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20200602000101</t>
        </is>
      </c>
    </row>
    <row r="5" ht="36" customHeight="1">
      <c r="A5" s="2" t="inlineStr">
        <is>
          <t>2020-04-17</t>
        </is>
      </c>
      <c r="B5" s="3">
        <f>HYPERLINK("https://dart.fss.or.kr/dsaf001/main.do?rcpNo=20200417000353", "공시열람")</f>
        <v/>
      </c>
      <c r="C5" s="4" t="inlineStr">
        <is>
          <t>에이디테크놀로지</t>
        </is>
      </c>
      <c r="D5" s="2" t="inlineStr">
        <is>
          <t>코스닥</t>
        </is>
      </c>
      <c r="E5" s="2" t="inlineStr">
        <is>
          <t>200710</t>
        </is>
      </c>
      <c r="F5" s="10" t="inlineStr">
        <is>
          <t>유상증자</t>
        </is>
      </c>
      <c r="G5" s="4" t="inlineStr">
        <is>
          <t>주요사항보고서(유상증자결정)</t>
        </is>
      </c>
      <c r="H5" s="6" t="n">
        <v>58720000000</v>
      </c>
      <c r="I5" s="6" t="inlineStr"/>
      <c r="J5" s="2" t="inlineStr">
        <is>
          <t>보통주식</t>
        </is>
      </c>
      <c r="K5" s="7" t="n">
        <v>3200000</v>
      </c>
      <c r="L5" s="2" t="inlineStr">
        <is>
          <t>2020-07-14</t>
        </is>
      </c>
      <c r="M5" s="2" t="inlineStr">
        <is>
          <t>2020-07-24</t>
        </is>
      </c>
      <c r="N5" s="2" t="inlineStr">
        <is>
          <t>-</t>
        </is>
      </c>
      <c r="O5" s="2" t="inlineStr">
        <is>
          <t>-</t>
        </is>
      </c>
      <c r="P5" s="4" t="inlineStr"/>
      <c r="Q5" s="9" t="inlineStr">
        <is>
          <t>시설자금 (200.0억원), 운영자금 (287.2억원), 채무상환자금 (100.0억원)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20200417000353</t>
        </is>
      </c>
    </row>
    <row r="6" ht="36" customHeight="1">
      <c r="A6" s="2" t="inlineStr">
        <is>
          <t>2019-08-20</t>
        </is>
      </c>
      <c r="B6" s="3">
        <f>HYPERLINK("https://dart.fss.or.kr/dsaf001/main.do?rcpNo=20190820000229", "공시열람")</f>
        <v/>
      </c>
      <c r="C6" s="4" t="inlineStr">
        <is>
          <t>에이디테크놀로지</t>
        </is>
      </c>
      <c r="D6" s="2" t="inlineStr">
        <is>
          <t>코스닥</t>
        </is>
      </c>
      <c r="E6" s="2" t="inlineStr">
        <is>
          <t>200710</t>
        </is>
      </c>
      <c r="F6" s="5" t="inlineStr">
        <is>
          <t>전환사채(CB)</t>
        </is>
      </c>
      <c r="G6" s="4" t="inlineStr">
        <is>
          <t>주요사항보고서(전환사채권발행결정)</t>
        </is>
      </c>
      <c r="H6" s="6" t="n">
        <v>15000000000</v>
      </c>
      <c r="I6" s="6" t="n">
        <v>17650</v>
      </c>
      <c r="J6" s="2" t="inlineStr">
        <is>
          <t>주식회사 에이디테크놀로지 기명식 보통주</t>
        </is>
      </c>
      <c r="K6" s="7" t="n">
        <v>849858</v>
      </c>
      <c r="L6" s="2" t="inlineStr">
        <is>
          <t>2019년 08월 28일</t>
        </is>
      </c>
      <c r="M6" s="2" t="inlineStr">
        <is>
          <t>-</t>
        </is>
      </c>
      <c r="N6" s="2" t="inlineStr">
        <is>
          <t>2020년 08월 28일</t>
        </is>
      </c>
      <c r="O6" s="2" t="inlineStr">
        <is>
          <t>2024년 07월 28일</t>
        </is>
      </c>
      <c r="P6" s="8" t="n">
        <v>8.4</v>
      </c>
      <c r="Q6" s="9" t="inlineStr">
        <is>
          <t>-</t>
        </is>
      </c>
      <c r="R6" s="2" t="inlineStr">
        <is>
          <t>2020-08-28</t>
        </is>
      </c>
      <c r="S6" s="2" t="inlineStr">
        <is>
          <t>2021-08-28</t>
        </is>
      </c>
      <c r="T6" s="2" t="inlineStr">
        <is>
          <t>20190820000229</t>
        </is>
      </c>
    </row>
    <row r="7" ht="36" customHeight="1">
      <c r="A7" s="2" t="inlineStr">
        <is>
          <t>2016-11-14</t>
        </is>
      </c>
      <c r="B7" s="3">
        <f>HYPERLINK("https://dart.fss.or.kr/dsaf001/main.do?rcpNo=20161114000882", "공시열람")</f>
        <v/>
      </c>
      <c r="C7" s="4" t="inlineStr">
        <is>
          <t>에이디테크놀로지</t>
        </is>
      </c>
      <c r="D7" s="2" t="inlineStr">
        <is>
          <t>코스닥</t>
        </is>
      </c>
      <c r="E7" s="2" t="inlineStr">
        <is>
          <t>200710</t>
        </is>
      </c>
      <c r="F7" s="5" t="inlineStr">
        <is>
          <t>전환사채(CB)</t>
        </is>
      </c>
      <c r="G7" s="4" t="inlineStr">
        <is>
          <t>[기재정정]주요사항보고서(전환사채권발행결정)</t>
        </is>
      </c>
      <c r="H7" s="6" t="inlineStr"/>
      <c r="I7" s="6" t="inlineStr"/>
      <c r="J7" s="2" t="inlineStr">
        <is>
          <t>-</t>
        </is>
      </c>
      <c r="K7" s="7" t="inlineStr"/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4" t="inlineStr"/>
      <c r="Q7" s="9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20161114000882</t>
        </is>
      </c>
    </row>
    <row r="8" ht="36" customHeight="1">
      <c r="A8" s="2" t="inlineStr">
        <is>
          <t>2016-10-28</t>
        </is>
      </c>
      <c r="B8" s="3">
        <f>HYPERLINK("https://dart.fss.or.kr/dsaf001/main.do?rcpNo=20161028000042", "공시열람")</f>
        <v/>
      </c>
      <c r="C8" s="4" t="inlineStr">
        <is>
          <t>에이디테크놀로지</t>
        </is>
      </c>
      <c r="D8" s="2" t="inlineStr">
        <is>
          <t>코스닥</t>
        </is>
      </c>
      <c r="E8" s="2" t="inlineStr">
        <is>
          <t>200710</t>
        </is>
      </c>
      <c r="F8" s="2" t="inlineStr">
        <is>
          <t>무상증자</t>
        </is>
      </c>
      <c r="G8" s="4" t="inlineStr">
        <is>
          <t>주요사항보고서(무상증자결정)</t>
        </is>
      </c>
      <c r="H8" s="6" t="inlineStr"/>
      <c r="I8" s="6" t="inlineStr"/>
      <c r="J8" s="2" t="inlineStr">
        <is>
          <t>-</t>
        </is>
      </c>
      <c r="K8" s="7" t="inlineStr"/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4" t="inlineStr"/>
      <c r="Q8" s="9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20161028000042</t>
        </is>
      </c>
    </row>
    <row r="9" ht="36" customHeight="1">
      <c r="A9" s="2" t="inlineStr">
        <is>
          <t>2016-10-26</t>
        </is>
      </c>
      <c r="B9" s="3">
        <f>HYPERLINK("https://dart.fss.or.kr/dsaf001/main.do?rcpNo=20161026000232", "공시열람")</f>
        <v/>
      </c>
      <c r="C9" s="4" t="inlineStr">
        <is>
          <t>에이디테크놀로지</t>
        </is>
      </c>
      <c r="D9" s="2" t="inlineStr">
        <is>
          <t>코스닥</t>
        </is>
      </c>
      <c r="E9" s="2" t="inlineStr">
        <is>
          <t>200710</t>
        </is>
      </c>
      <c r="F9" s="5" t="inlineStr">
        <is>
          <t>전환사채(CB)</t>
        </is>
      </c>
      <c r="G9" s="4" t="inlineStr">
        <is>
          <t>주요사항보고서(전환사채권발행결정)</t>
        </is>
      </c>
      <c r="H9" s="6" t="n">
        <v>6000000000</v>
      </c>
      <c r="I9" s="6" t="n">
        <v>5537</v>
      </c>
      <c r="J9" s="2" t="inlineStr">
        <is>
          <t>발행회사의 기명식 보통주식</t>
        </is>
      </c>
      <c r="K9" s="7" t="inlineStr"/>
      <c r="L9" s="2" t="inlineStr">
        <is>
          <t>2016년 10월 28일</t>
        </is>
      </c>
      <c r="M9" s="2" t="inlineStr">
        <is>
          <t>-</t>
        </is>
      </c>
      <c r="N9" s="2" t="inlineStr">
        <is>
          <t>2017년 10월 28일</t>
        </is>
      </c>
      <c r="O9" s="2" t="inlineStr">
        <is>
          <t>2020년 09월 28일</t>
        </is>
      </c>
      <c r="P9" s="4" t="inlineStr"/>
      <c r="Q9" s="9" t="inlineStr">
        <is>
          <t>-</t>
        </is>
      </c>
      <c r="R9" s="2" t="inlineStr">
        <is>
          <t>2019-10-28</t>
        </is>
      </c>
      <c r="S9" s="2" t="inlineStr">
        <is>
          <t>2018-10-28</t>
        </is>
      </c>
      <c r="T9" s="2" t="inlineStr">
        <is>
          <t>20161026000232</t>
        </is>
      </c>
    </row>
  </sheetData>
  <autoFilter ref="A1:T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1.6" customWidth="1" min="3" max="3"/>
    <col hidden="1" width="10" customWidth="1" min="4" max="4"/>
    <col hidden="1" width="10" customWidth="1" min="5" max="5"/>
    <col width="14" customWidth="1" min="6" max="6"/>
    <col width="25" customWidth="1" min="7" max="7"/>
    <col width="30" customWidth="1" min="8" max="8"/>
    <col width="14" customWidth="1" min="9" max="9"/>
    <col width="14" customWidth="1" min="10" max="10"/>
    <col width="17.6" customWidth="1" min="11" max="11"/>
    <col width="10" customWidth="1" min="12" max="12"/>
    <col width="12.8" customWidth="1" min="13" max="13"/>
    <col width="20" customWidth="1" min="14" max="14"/>
    <col width="18" customWidth="1" min="15" max="15"/>
    <col width="18.8" customWidth="1" min="16" max="16"/>
  </cols>
  <sheetData>
    <row r="1" ht="25" customHeight="1">
      <c r="A1" s="1" t="inlineStr">
        <is>
          <t>접수일자</t>
        </is>
      </c>
      <c r="B1" s="1" t="inlineStr">
        <is>
          <t>DART링크</t>
        </is>
      </c>
      <c r="C1" s="1" t="inlineStr">
        <is>
          <t>회사명</t>
        </is>
      </c>
      <c r="D1" s="1" t="inlineStr">
        <is>
          <t>시장구분</t>
        </is>
      </c>
      <c r="E1" s="1" t="inlineStr">
        <is>
          <t>종목코드</t>
        </is>
      </c>
      <c r="F1" s="1" t="inlineStr">
        <is>
          <t>유형</t>
        </is>
      </c>
      <c r="G1" s="1" t="inlineStr">
        <is>
          <t>공시명</t>
        </is>
      </c>
      <c r="H1" s="1" t="inlineStr">
        <is>
          <t>계약내용</t>
        </is>
      </c>
      <c r="I1" s="1" t="inlineStr">
        <is>
          <t>시작일</t>
        </is>
      </c>
      <c r="J1" s="1" t="inlineStr">
        <is>
          <t>종료일</t>
        </is>
      </c>
      <c r="K1" s="1" t="inlineStr">
        <is>
          <t>수주금액</t>
        </is>
      </c>
      <c r="L1" s="1" t="inlineStr">
        <is>
          <t>수주잔고</t>
        </is>
      </c>
      <c r="M1" s="1" t="inlineStr">
        <is>
          <t>최근 매출액 대비</t>
        </is>
      </c>
      <c r="N1" s="1" t="inlineStr">
        <is>
          <t>수주상대방</t>
        </is>
      </c>
      <c r="O1" s="1" t="inlineStr">
        <is>
          <t>판매ㆍ공급지역</t>
        </is>
      </c>
      <c r="P1" s="1" t="inlineStr">
        <is>
          <t>접수번호</t>
        </is>
      </c>
    </row>
    <row r="2" ht="36" customHeight="1">
      <c r="A2" s="2" t="inlineStr">
        <is>
          <t>2026-09-09 (원공시: 2026-04-15)</t>
        </is>
      </c>
      <c r="B2" s="3">
        <f>HYPERLINK("https://dart.fss.or.kr/dsaf001/main.do?rcpNo=20260909900486", "공시열람")</f>
        <v/>
      </c>
      <c r="C2" s="4" t="inlineStr">
        <is>
          <t>에이디테크놀로지</t>
        </is>
      </c>
      <c r="D2" s="2" t="inlineStr">
        <is>
          <t>코스닥</t>
        </is>
      </c>
      <c r="E2" s="2" t="inlineStr">
        <is>
          <t>200710</t>
        </is>
      </c>
      <c r="F2" s="2" t="inlineStr">
        <is>
          <t>단일판매공급계약체결</t>
        </is>
      </c>
      <c r="G2" s="4" t="inlineStr">
        <is>
          <t>단일판매ㆍ공급계약체결               (정정: 20260909)</t>
        </is>
      </c>
      <c r="H2" s="9" t="inlineStr">
        <is>
          <t>주문형 반도체 ASIC 개발</t>
        </is>
      </c>
      <c r="I2" s="2" t="inlineStr">
        <is>
          <t>2023-08-31</t>
        </is>
      </c>
      <c r="J2" s="2" t="inlineStr">
        <is>
          <t>2027-02-28</t>
        </is>
      </c>
      <c r="K2" s="6" t="n">
        <v>39584650000</v>
      </c>
      <c r="L2" s="2" t="inlineStr">
        <is>
          <t>-</t>
        </is>
      </c>
      <c r="M2" s="11" t="n">
        <v>24.1</v>
      </c>
      <c r="N2" s="9" t="inlineStr">
        <is>
          <t>Siemens Industry Software Inc.</t>
        </is>
      </c>
      <c r="O2" s="9" t="inlineStr">
        <is>
          <t>-</t>
        </is>
      </c>
      <c r="P2" s="2" t="inlineStr">
        <is>
          <t>20260909900486</t>
        </is>
      </c>
    </row>
    <row r="3" ht="36" customHeight="1">
      <c r="A3" s="2" t="inlineStr">
        <is>
          <t>2026-06-30 (원공시: 2026-01-23)</t>
        </is>
      </c>
      <c r="B3" s="3">
        <f>HYPERLINK("https://dart.fss.or.kr/dsaf001/main.do?rcpNo=20260630901379", "공시열람")</f>
        <v/>
      </c>
      <c r="C3" s="4" t="inlineStr">
        <is>
          <t>에이디테크놀로지</t>
        </is>
      </c>
      <c r="D3" s="2" t="inlineStr">
        <is>
          <t>코스닥</t>
        </is>
      </c>
      <c r="E3" s="2" t="inlineStr">
        <is>
          <t>200710</t>
        </is>
      </c>
      <c r="F3" s="2" t="inlineStr">
        <is>
          <t>단일판매공급계약체결</t>
        </is>
      </c>
      <c r="G3" s="4" t="inlineStr">
        <is>
          <t>[기재정정]단일판매ㆍ공급계약체결               (정정: 20260415) (정정: 20260630)</t>
        </is>
      </c>
      <c r="H3" s="9" t="inlineStr">
        <is>
          <t>차량용 반도체 ASIC 설계 개발</t>
        </is>
      </c>
      <c r="I3" s="2" t="inlineStr">
        <is>
          <t>2023-09-15</t>
        </is>
      </c>
      <c r="J3" s="2" t="inlineStr">
        <is>
          <t>2027-02-28</t>
        </is>
      </c>
      <c r="K3" s="6" t="n">
        <v>35203135953</v>
      </c>
      <c r="L3" s="2" t="inlineStr">
        <is>
          <t>-</t>
        </is>
      </c>
      <c r="M3" s="11" t="n">
        <v>21.43</v>
      </c>
      <c r="N3" s="9" t="inlineStr">
        <is>
          <t>보스반도체</t>
        </is>
      </c>
      <c r="O3" s="9" t="inlineStr">
        <is>
          <t>-</t>
        </is>
      </c>
      <c r="P3" s="2" t="inlineStr">
        <is>
          <t>20260630901379</t>
        </is>
      </c>
    </row>
    <row r="4" ht="36" customHeight="1">
      <c r="A4" s="2" t="inlineStr">
        <is>
          <t>2026-04-17 (원공시: 2025-11-20)</t>
        </is>
      </c>
      <c r="B4" s="3">
        <f>HYPERLINK("https://dart.fss.or.kr/dsaf001/main.do?rcpNo=20260417900943", "공시열람")</f>
        <v/>
      </c>
      <c r="C4" s="4" t="inlineStr">
        <is>
          <t>에이디테크놀로지</t>
        </is>
      </c>
      <c r="D4" s="2" t="inlineStr">
        <is>
          <t>코스닥</t>
        </is>
      </c>
      <c r="E4" s="2" t="inlineStr">
        <is>
          <t>200710</t>
        </is>
      </c>
      <c r="F4" s="2" t="inlineStr">
        <is>
          <t>단일판매공급계약체결</t>
        </is>
      </c>
      <c r="G4" s="4" t="inlineStr">
        <is>
          <t>[기재정정]단일판매ㆍ공급계약체결               (정정: 20260417)</t>
        </is>
      </c>
      <c r="H4" s="9" t="inlineStr">
        <is>
          <t>주문형 반도체 설계 개발</t>
        </is>
      </c>
      <c r="I4" s="2" t="inlineStr">
        <is>
          <t>2025-11-18</t>
        </is>
      </c>
      <c r="J4" s="2" t="inlineStr">
        <is>
          <t>2026-12-31</t>
        </is>
      </c>
      <c r="K4" s="6" t="n">
        <v>12471614331</v>
      </c>
      <c r="L4" s="2" t="inlineStr">
        <is>
          <t>-</t>
        </is>
      </c>
      <c r="M4" s="11" t="n">
        <v>7.58</v>
      </c>
      <c r="N4" s="9" t="inlineStr">
        <is>
          <t>-</t>
        </is>
      </c>
      <c r="O4" s="9" t="inlineStr">
        <is>
          <t>-</t>
        </is>
      </c>
      <c r="P4" s="2" t="inlineStr">
        <is>
          <t>20260417900943</t>
        </is>
      </c>
    </row>
    <row r="5" ht="36" customHeight="1">
      <c r="A5" s="2" t="inlineStr">
        <is>
          <t>2026-01-13</t>
        </is>
      </c>
      <c r="B5" s="3">
        <f>HYPERLINK("https://dart.fss.or.kr/dsaf001/main.do?rcpNo=20260113900255", "공시열람")</f>
        <v/>
      </c>
      <c r="C5" s="4" t="inlineStr">
        <is>
          <t>에이디테크놀로지</t>
        </is>
      </c>
      <c r="D5" s="2" t="inlineStr">
        <is>
          <t>코스닥</t>
        </is>
      </c>
      <c r="E5" s="2" t="inlineStr">
        <is>
          <t>200710</t>
        </is>
      </c>
      <c r="F5" s="2" t="inlineStr">
        <is>
          <t>단일판매공급계약체결</t>
        </is>
      </c>
      <c r="G5" s="4" t="inlineStr">
        <is>
          <t xml:space="preserve">단일판매ㆍ공급계약체결              </t>
        </is>
      </c>
      <c r="H5" s="9" t="inlineStr">
        <is>
          <t>주문형 반도체 ASIC 개발</t>
        </is>
      </c>
      <c r="I5" s="2" t="inlineStr">
        <is>
          <t>2025-12-24</t>
        </is>
      </c>
      <c r="J5" s="2" t="inlineStr">
        <is>
          <t>2027-04-30</t>
        </is>
      </c>
      <c r="K5" s="6" t="n">
        <v>22056016000</v>
      </c>
      <c r="L5" s="2" t="inlineStr">
        <is>
          <t>-</t>
        </is>
      </c>
      <c r="M5" s="11" t="n">
        <v>20.7</v>
      </c>
      <c r="N5" s="9" t="inlineStr">
        <is>
          <t>-</t>
        </is>
      </c>
      <c r="O5" s="9" t="inlineStr">
        <is>
          <t>-</t>
        </is>
      </c>
      <c r="P5" s="2" t="inlineStr">
        <is>
          <t>20260113900255</t>
        </is>
      </c>
    </row>
    <row r="6" ht="36" customHeight="1">
      <c r="A6" s="2" t="inlineStr">
        <is>
          <t>2025-12-09</t>
        </is>
      </c>
      <c r="B6" s="3">
        <f>HYPERLINK("https://dart.fss.or.kr/dsaf001/main.do?rcpNo=20251209900287", "공시열람")</f>
        <v/>
      </c>
      <c r="C6" s="4" t="inlineStr">
        <is>
          <t>에이디테크놀로지</t>
        </is>
      </c>
      <c r="D6" s="2" t="inlineStr">
        <is>
          <t>코스닥</t>
        </is>
      </c>
      <c r="E6" s="2" t="inlineStr">
        <is>
          <t>200710</t>
        </is>
      </c>
      <c r="F6" s="2" t="inlineStr">
        <is>
          <t>단일판매공급계약체결</t>
        </is>
      </c>
      <c r="G6" s="4" t="inlineStr">
        <is>
          <t xml:space="preserve">단일판매ㆍ공급계약체결              </t>
        </is>
      </c>
      <c r="H6" s="9" t="inlineStr">
        <is>
          <t>주문형 반도체 ASIC 개발</t>
        </is>
      </c>
      <c r="I6" s="2" t="inlineStr">
        <is>
          <t>2023-08-31</t>
        </is>
      </c>
      <c r="J6" s="2" t="inlineStr">
        <is>
          <t>2026-11-30</t>
        </is>
      </c>
      <c r="K6" s="6" t="inlineStr"/>
      <c r="L6" s="2" t="inlineStr">
        <is>
          <t>-</t>
        </is>
      </c>
      <c r="M6" s="4" t="inlineStr"/>
      <c r="N6" s="9" t="inlineStr">
        <is>
          <t>Siemens Industry Software Inc.</t>
        </is>
      </c>
      <c r="O6" s="9" t="inlineStr">
        <is>
          <t>-</t>
        </is>
      </c>
      <c r="P6" s="2" t="inlineStr">
        <is>
          <t>20251209900287</t>
        </is>
      </c>
    </row>
    <row r="7" ht="36" customHeight="1">
      <c r="A7" s="2" t="inlineStr">
        <is>
          <t>2025-11-19</t>
        </is>
      </c>
      <c r="B7" s="3">
        <f>HYPERLINK("https://dart.fss.or.kr/dsaf001/main.do?rcpNo=20251119900403", "공시열람")</f>
        <v/>
      </c>
      <c r="C7" s="4" t="inlineStr">
        <is>
          <t>에이디테크놀로지</t>
        </is>
      </c>
      <c r="D7" s="2" t="inlineStr">
        <is>
          <t>코스닥</t>
        </is>
      </c>
      <c r="E7" s="2" t="inlineStr">
        <is>
          <t>200710</t>
        </is>
      </c>
      <c r="F7" s="2" t="inlineStr">
        <is>
          <t>단일판매공급계약체결</t>
        </is>
      </c>
      <c r="G7" s="4" t="inlineStr">
        <is>
          <t xml:space="preserve">단일판매ㆍ공급계약체결              </t>
        </is>
      </c>
      <c r="H7" s="9" t="inlineStr">
        <is>
          <t>암호화폐 채굴용 주문형 반도체 설계 개발</t>
        </is>
      </c>
      <c r="I7" s="2" t="inlineStr">
        <is>
          <t>2025-11-18</t>
        </is>
      </c>
      <c r="J7" s="2" t="inlineStr">
        <is>
          <t>2026-12-31</t>
        </is>
      </c>
      <c r="K7" s="6" t="n">
        <v>12291904350</v>
      </c>
      <c r="L7" s="2" t="inlineStr">
        <is>
          <t>-</t>
        </is>
      </c>
      <c r="M7" s="11" t="n">
        <v>11.54</v>
      </c>
      <c r="N7" s="9" t="inlineStr">
        <is>
          <t>-</t>
        </is>
      </c>
      <c r="O7" s="9" t="inlineStr">
        <is>
          <t>-</t>
        </is>
      </c>
      <c r="P7" s="2" t="inlineStr">
        <is>
          <t>20251119900403</t>
        </is>
      </c>
    </row>
    <row r="8" ht="36" customHeight="1">
      <c r="A8" s="2" t="inlineStr">
        <is>
          <t>2025-10-15</t>
        </is>
      </c>
      <c r="B8" s="3">
        <f>HYPERLINK("https://dart.fss.or.kr/dsaf001/main.do?rcpNo=20251015900155", "공시열람")</f>
        <v/>
      </c>
      <c r="C8" s="4" t="inlineStr">
        <is>
          <t>에이디테크놀로지</t>
        </is>
      </c>
      <c r="D8" s="2" t="inlineStr">
        <is>
          <t>코스닥</t>
        </is>
      </c>
      <c r="E8" s="2" t="inlineStr">
        <is>
          <t>200710</t>
        </is>
      </c>
      <c r="F8" s="2" t="inlineStr">
        <is>
          <t>단일판매공급계약체결</t>
        </is>
      </c>
      <c r="G8" s="4" t="inlineStr">
        <is>
          <t xml:space="preserve">[기재정정]단일판매ㆍ공급계약체결              </t>
        </is>
      </c>
      <c r="H8" s="9" t="inlineStr">
        <is>
          <t>차량용 반도체 ASIC 설계 개발</t>
        </is>
      </c>
      <c r="I8" s="2" t="inlineStr">
        <is>
          <t>2023-09-15</t>
        </is>
      </c>
      <c r="J8" s="2" t="inlineStr">
        <is>
          <t>2026-01-31</t>
        </is>
      </c>
      <c r="K8" s="6" t="n">
        <v>31371797007</v>
      </c>
      <c r="L8" s="2" t="inlineStr">
        <is>
          <t>-</t>
        </is>
      </c>
      <c r="M8" s="11" t="n">
        <v>19.1</v>
      </c>
      <c r="N8" s="9" t="inlineStr">
        <is>
          <t>보스반도체</t>
        </is>
      </c>
      <c r="O8" s="9" t="inlineStr">
        <is>
          <t>-</t>
        </is>
      </c>
      <c r="P8" s="2" t="inlineStr">
        <is>
          <t>20251015900155</t>
        </is>
      </c>
    </row>
    <row r="9" ht="36" customHeight="1">
      <c r="A9" s="2" t="inlineStr">
        <is>
          <t>2025-06-26</t>
        </is>
      </c>
      <c r="B9" s="3">
        <f>HYPERLINK("https://dart.fss.or.kr/dsaf001/main.do?rcpNo=20250626900769", "공시열람")</f>
        <v/>
      </c>
      <c r="C9" s="4" t="inlineStr">
        <is>
          <t>에이디테크놀로지</t>
        </is>
      </c>
      <c r="D9" s="2" t="inlineStr">
        <is>
          <t>코스닥</t>
        </is>
      </c>
      <c r="E9" s="2" t="inlineStr">
        <is>
          <t>200710</t>
        </is>
      </c>
      <c r="F9" s="2" t="inlineStr">
        <is>
          <t>단일판매공급계약체결</t>
        </is>
      </c>
      <c r="G9" s="4" t="inlineStr">
        <is>
          <t xml:space="preserve">[기재정정]단일판매ㆍ공급계약체결              </t>
        </is>
      </c>
      <c r="H9" s="9" t="inlineStr">
        <is>
          <t>차량용 반도체 ASIC 설계 개발</t>
        </is>
      </c>
      <c r="I9" s="2" t="inlineStr">
        <is>
          <t>2023-09-15</t>
        </is>
      </c>
      <c r="J9" s="2" t="inlineStr">
        <is>
          <t>2026-01-31</t>
        </is>
      </c>
      <c r="K9" s="6" t="n">
        <v>31651954197</v>
      </c>
      <c r="L9" s="2" t="inlineStr">
        <is>
          <t>-</t>
        </is>
      </c>
      <c r="M9" s="11" t="n">
        <v>19.27</v>
      </c>
      <c r="N9" s="9" t="inlineStr">
        <is>
          <t>보스반도체</t>
        </is>
      </c>
      <c r="O9" s="9" t="inlineStr">
        <is>
          <t>-</t>
        </is>
      </c>
      <c r="P9" s="2" t="inlineStr">
        <is>
          <t>20250626900769</t>
        </is>
      </c>
    </row>
    <row r="10" ht="36" customHeight="1">
      <c r="A10" s="2" t="inlineStr">
        <is>
          <t>2024-10-10</t>
        </is>
      </c>
      <c r="B10" s="3">
        <f>HYPERLINK("https://dart.fss.or.kr/dsaf001/main.do?rcpNo=20241010900625", "공시열람")</f>
        <v/>
      </c>
      <c r="C10" s="4" t="inlineStr">
        <is>
          <t>에이디테크놀로지</t>
        </is>
      </c>
      <c r="D10" s="2" t="inlineStr">
        <is>
          <t>코스닥</t>
        </is>
      </c>
      <c r="E10" s="2" t="inlineStr">
        <is>
          <t>200710</t>
        </is>
      </c>
      <c r="F10" s="2" t="inlineStr">
        <is>
          <t>단일판매공급계약체결</t>
        </is>
      </c>
      <c r="G10" s="4" t="inlineStr">
        <is>
          <t xml:space="preserve">단일판매ㆍ공급계약체결              </t>
        </is>
      </c>
      <c r="H10" s="9" t="inlineStr">
        <is>
          <t>메모리 SSD 컨트롤러 설계 용역</t>
        </is>
      </c>
      <c r="I10" s="2" t="inlineStr">
        <is>
          <t>2024-02-01</t>
        </is>
      </c>
      <c r="J10" s="2" t="inlineStr">
        <is>
          <t>2025-01-31</t>
        </is>
      </c>
      <c r="K10" s="6" t="n">
        <v>12106752000</v>
      </c>
      <c r="L10" s="2" t="inlineStr">
        <is>
          <t>-</t>
        </is>
      </c>
      <c r="M10" s="11" t="n">
        <v>12.09</v>
      </c>
      <c r="N10" s="9" t="inlineStr">
        <is>
          <t>삼성전자(주)</t>
        </is>
      </c>
      <c r="O10" s="9" t="inlineStr">
        <is>
          <t>-</t>
        </is>
      </c>
      <c r="P10" s="2" t="inlineStr">
        <is>
          <t>20241010900625</t>
        </is>
      </c>
    </row>
    <row r="11" ht="36" customHeight="1">
      <c r="A11" s="2" t="inlineStr">
        <is>
          <t>2024-10-02</t>
        </is>
      </c>
      <c r="B11" s="3">
        <f>HYPERLINK("https://dart.fss.or.kr/dsaf001/main.do?rcpNo=20241002900733", "공시열람")</f>
        <v/>
      </c>
      <c r="C11" s="4" t="inlineStr">
        <is>
          <t>에이디테크놀로지</t>
        </is>
      </c>
      <c r="D11" s="2" t="inlineStr">
        <is>
          <t>코스닥</t>
        </is>
      </c>
      <c r="E11" s="2" t="inlineStr">
        <is>
          <t>200710</t>
        </is>
      </c>
      <c r="F11" s="2" t="inlineStr">
        <is>
          <t>단일판매공급계약체결</t>
        </is>
      </c>
      <c r="G11" s="4" t="inlineStr">
        <is>
          <t xml:space="preserve">[기재정정]단일판매ㆍ공급계약체결              </t>
        </is>
      </c>
      <c r="H11" s="9" t="inlineStr">
        <is>
          <t>차량용 반도체 ASIC 설계 개발</t>
        </is>
      </c>
      <c r="I11" s="2" t="inlineStr">
        <is>
          <t>2023-09-15</t>
        </is>
      </c>
      <c r="J11" s="2" t="inlineStr">
        <is>
          <t>2026-01-31</t>
        </is>
      </c>
      <c r="K11" s="6" t="n">
        <v>22080525096</v>
      </c>
      <c r="L11" s="2" t="inlineStr">
        <is>
          <t>-</t>
        </is>
      </c>
      <c r="M11" s="11" t="n">
        <v>13.44</v>
      </c>
      <c r="N11" s="9" t="inlineStr">
        <is>
          <t>보스반도체</t>
        </is>
      </c>
      <c r="O11" s="9" t="inlineStr">
        <is>
          <t>-</t>
        </is>
      </c>
      <c r="P11" s="2" t="inlineStr">
        <is>
          <t>20241002900733</t>
        </is>
      </c>
    </row>
    <row r="12" ht="36" customHeight="1">
      <c r="A12" s="2" t="inlineStr">
        <is>
          <t>2024-07-31</t>
        </is>
      </c>
      <c r="B12" s="3">
        <f>HYPERLINK("https://dart.fss.or.kr/dsaf001/main.do?rcpNo=20240731900638", "공시열람")</f>
        <v/>
      </c>
      <c r="C12" s="4" t="inlineStr">
        <is>
          <t>에이디테크놀로지</t>
        </is>
      </c>
      <c r="D12" s="2" t="inlineStr">
        <is>
          <t>코스닥</t>
        </is>
      </c>
      <c r="E12" s="2" t="inlineStr">
        <is>
          <t>200710</t>
        </is>
      </c>
      <c r="F12" s="2" t="inlineStr">
        <is>
          <t>단일판매공급계약체결</t>
        </is>
      </c>
      <c r="G12" s="4" t="inlineStr">
        <is>
          <t xml:space="preserve">[기재정정]단일판매ㆍ공급계약체결              </t>
        </is>
      </c>
      <c r="H12" s="9" t="inlineStr">
        <is>
          <t>서버향 주문형 반도체 설계 개발</t>
        </is>
      </c>
      <c r="I12" s="2" t="inlineStr">
        <is>
          <t>2023-03-17</t>
        </is>
      </c>
      <c r="J12" s="2" t="inlineStr">
        <is>
          <t>2024-07-31</t>
        </is>
      </c>
      <c r="K12" s="6" t="n">
        <v>22423000000</v>
      </c>
      <c r="L12" s="2" t="inlineStr">
        <is>
          <t>-</t>
        </is>
      </c>
      <c r="M12" s="11" t="n">
        <v>13.65</v>
      </c>
      <c r="N12" s="9" t="inlineStr">
        <is>
          <t>주식회사 소테리아</t>
        </is>
      </c>
      <c r="O12" s="9" t="inlineStr">
        <is>
          <t>-</t>
        </is>
      </c>
      <c r="P12" s="2" t="inlineStr">
        <is>
          <t>20240731900638</t>
        </is>
      </c>
    </row>
    <row r="13" ht="36" customHeight="1">
      <c r="A13" s="2" t="inlineStr">
        <is>
          <t>2023-09-18</t>
        </is>
      </c>
      <c r="B13" s="3">
        <f>HYPERLINK("https://dart.fss.or.kr/dsaf001/main.do?rcpNo=20230918900407", "공시열람")</f>
        <v/>
      </c>
      <c r="C13" s="4" t="inlineStr">
        <is>
          <t>에이디테크놀로지</t>
        </is>
      </c>
      <c r="D13" s="2" t="inlineStr">
        <is>
          <t>코스닥</t>
        </is>
      </c>
      <c r="E13" s="2" t="inlineStr">
        <is>
          <t>200710</t>
        </is>
      </c>
      <c r="F13" s="2" t="inlineStr">
        <is>
          <t>단일판매공급계약체결</t>
        </is>
      </c>
      <c r="G13" s="4" t="inlineStr">
        <is>
          <t>단일판매ㆍ공급계약체결</t>
        </is>
      </c>
      <c r="H13" s="9" t="inlineStr">
        <is>
          <t>차량용 반도체 ASIC 설계 개발</t>
        </is>
      </c>
      <c r="I13" s="2" t="inlineStr">
        <is>
          <t>2023-09-15</t>
        </is>
      </c>
      <c r="J13" s="2" t="inlineStr">
        <is>
          <t>2026-01-31</t>
        </is>
      </c>
      <c r="K13" s="6" t="n">
        <v>22092826000</v>
      </c>
      <c r="L13" s="2" t="inlineStr">
        <is>
          <t>-</t>
        </is>
      </c>
      <c r="M13" s="11" t="n">
        <v>13.45</v>
      </c>
      <c r="N13" s="9" t="inlineStr">
        <is>
          <t>보스반도체</t>
        </is>
      </c>
      <c r="O13" s="9" t="inlineStr">
        <is>
          <t>-</t>
        </is>
      </c>
      <c r="P13" s="2" t="inlineStr">
        <is>
          <t>20230918900407</t>
        </is>
      </c>
    </row>
    <row r="14" ht="36" customHeight="1">
      <c r="A14" s="2" t="inlineStr">
        <is>
          <t>2023-07-03</t>
        </is>
      </c>
      <c r="B14" s="3">
        <f>HYPERLINK("https://dart.fss.or.kr/dsaf001/main.do?rcpNo=20230703900282", "공시열람")</f>
        <v/>
      </c>
      <c r="C14" s="4" t="inlineStr">
        <is>
          <t>에이디테크놀로지</t>
        </is>
      </c>
      <c r="D14" s="2" t="inlineStr">
        <is>
          <t>코스닥</t>
        </is>
      </c>
      <c r="E14" s="2" t="inlineStr">
        <is>
          <t>200710</t>
        </is>
      </c>
      <c r="F14" s="2" t="inlineStr">
        <is>
          <t>단일판매공급계약체결</t>
        </is>
      </c>
      <c r="G14" s="4" t="inlineStr">
        <is>
          <t>단일판매ㆍ공급계약체결</t>
        </is>
      </c>
      <c r="H14" s="9" t="inlineStr">
        <is>
          <t>서버향 주문형 반도체 설계 개발</t>
        </is>
      </c>
      <c r="I14" s="2" t="inlineStr">
        <is>
          <t>2023-03-17</t>
        </is>
      </c>
      <c r="J14" s="2" t="inlineStr">
        <is>
          <t>2024-07-31</t>
        </is>
      </c>
      <c r="K14" s="6" t="n">
        <v>22423000000</v>
      </c>
      <c r="L14" s="2" t="inlineStr">
        <is>
          <t>-</t>
        </is>
      </c>
      <c r="M14" s="11" t="n">
        <v>13.65</v>
      </c>
      <c r="N14" s="9" t="inlineStr">
        <is>
          <t>-</t>
        </is>
      </c>
      <c r="O14" s="9" t="inlineStr">
        <is>
          <t>-</t>
        </is>
      </c>
      <c r="P14" s="2" t="inlineStr">
        <is>
          <t>20230703900282</t>
        </is>
      </c>
    </row>
    <row r="15" ht="36" customHeight="1">
      <c r="A15" s="2" t="inlineStr">
        <is>
          <t>2022-06-15</t>
        </is>
      </c>
      <c r="B15" s="3">
        <f>HYPERLINK("https://dart.fss.or.kr/dsaf001/main.do?rcpNo=20220615900136", "공시열람")</f>
        <v/>
      </c>
      <c r="C15" s="4" t="inlineStr">
        <is>
          <t>에이디테크놀로지</t>
        </is>
      </c>
      <c r="D15" s="2" t="inlineStr">
        <is>
          <t>코스닥</t>
        </is>
      </c>
      <c r="E15" s="2" t="inlineStr">
        <is>
          <t>200710</t>
        </is>
      </c>
      <c r="F15" s="2" t="inlineStr">
        <is>
          <t>단일판매공급계약체결</t>
        </is>
      </c>
      <c r="G15" s="4" t="inlineStr">
        <is>
          <t>단일판매ㆍ공급계약체결(자율공시)</t>
        </is>
      </c>
      <c r="H15" s="9" t="inlineStr">
        <is>
          <t>메모리 컨트롤러 IC공급등</t>
        </is>
      </c>
      <c r="I15" s="2" t="inlineStr">
        <is>
          <t>2022-06-14</t>
        </is>
      </c>
      <c r="J15" s="2" t="inlineStr">
        <is>
          <t>2022-09-27</t>
        </is>
      </c>
      <c r="K15" s="6" t="n">
        <v>17265725661</v>
      </c>
      <c r="L15" s="2" t="inlineStr">
        <is>
          <t>-</t>
        </is>
      </c>
      <c r="M15" s="11" t="n">
        <v>5.4</v>
      </c>
      <c r="N15" s="9" t="inlineStr">
        <is>
          <t>에스케이하이닉스 주식회사</t>
        </is>
      </c>
      <c r="O15" s="9" t="inlineStr">
        <is>
          <t>국내</t>
        </is>
      </c>
      <c r="P15" s="2" t="inlineStr">
        <is>
          <t>20220615900136</t>
        </is>
      </c>
    </row>
    <row r="16" ht="36" customHeight="1">
      <c r="A16" s="2" t="inlineStr">
        <is>
          <t>2022-03-02</t>
        </is>
      </c>
      <c r="B16" s="3">
        <f>HYPERLINK("https://dart.fss.or.kr/dsaf001/main.do?rcpNo=20220302900643", "공시열람")</f>
        <v/>
      </c>
      <c r="C16" s="4" t="inlineStr">
        <is>
          <t>에이디테크놀로지</t>
        </is>
      </c>
      <c r="D16" s="2" t="inlineStr">
        <is>
          <t>코스닥</t>
        </is>
      </c>
      <c r="E16" s="2" t="inlineStr">
        <is>
          <t>200710</t>
        </is>
      </c>
      <c r="F16" s="2" t="inlineStr">
        <is>
          <t>단일판매공급계약체결</t>
        </is>
      </c>
      <c r="G16" s="4" t="inlineStr">
        <is>
          <t>단일판매ㆍ공급계약체결(자율공시)</t>
        </is>
      </c>
      <c r="H16" s="9" t="inlineStr">
        <is>
          <t>메모리 컨트롤러 IC공급</t>
        </is>
      </c>
      <c r="I16" s="2" t="inlineStr">
        <is>
          <t>2022-02-28</t>
        </is>
      </c>
      <c r="J16" s="2" t="inlineStr">
        <is>
          <t>2022-06-14</t>
        </is>
      </c>
      <c r="K16" s="6" t="n">
        <v>21109650886</v>
      </c>
      <c r="L16" s="2" t="inlineStr">
        <is>
          <t>-</t>
        </is>
      </c>
      <c r="M16" s="11" t="n">
        <v>7.2</v>
      </c>
      <c r="N16" s="9" t="inlineStr">
        <is>
          <t>에스케이하이닉스 주식회사</t>
        </is>
      </c>
      <c r="O16" s="9" t="inlineStr">
        <is>
          <t>국내</t>
        </is>
      </c>
      <c r="P16" s="2" t="inlineStr">
        <is>
          <t>20220302900643</t>
        </is>
      </c>
    </row>
    <row r="17" ht="36" customHeight="1">
      <c r="A17" s="2" t="inlineStr">
        <is>
          <t>2022-01-27</t>
        </is>
      </c>
      <c r="B17" s="3">
        <f>HYPERLINK("https://dart.fss.or.kr/dsaf001/main.do?rcpNo=20220127900197", "공시열람")</f>
        <v/>
      </c>
      <c r="C17" s="4" t="inlineStr">
        <is>
          <t>에이디테크놀로지</t>
        </is>
      </c>
      <c r="D17" s="2" t="inlineStr">
        <is>
          <t>코스닥</t>
        </is>
      </c>
      <c r="E17" s="2" t="inlineStr">
        <is>
          <t>200710</t>
        </is>
      </c>
      <c r="F17" s="2" t="inlineStr">
        <is>
          <t>단일판매공급계약체결</t>
        </is>
      </c>
      <c r="G17" s="4" t="inlineStr">
        <is>
          <t>단일판매ㆍ공급계약체결(자율공시)</t>
        </is>
      </c>
      <c r="H17" s="9" t="inlineStr">
        <is>
          <t>메모리 컨트롤러 IC공급</t>
        </is>
      </c>
      <c r="I17" s="2" t="inlineStr">
        <is>
          <t>2022-01-26</t>
        </is>
      </c>
      <c r="J17" s="2" t="inlineStr">
        <is>
          <t>2022-05-11</t>
        </is>
      </c>
      <c r="K17" s="6" t="n">
        <v>16515885902</v>
      </c>
      <c r="L17" s="2" t="inlineStr">
        <is>
          <t>-</t>
        </is>
      </c>
      <c r="M17" s="11" t="n">
        <v>5.65</v>
      </c>
      <c r="N17" s="9" t="inlineStr">
        <is>
          <t>에스케이하이닉스 주식회사</t>
        </is>
      </c>
      <c r="O17" s="9" t="inlineStr">
        <is>
          <t>국내</t>
        </is>
      </c>
      <c r="P17" s="2" t="inlineStr">
        <is>
          <t>20220127900197</t>
        </is>
      </c>
    </row>
    <row r="18" ht="36" customHeight="1">
      <c r="A18" s="2" t="inlineStr">
        <is>
          <t>2021-07-12 (원공시: 2021-05-28)</t>
        </is>
      </c>
      <c r="B18" s="3">
        <f>HYPERLINK("https://dart.fss.or.kr/dsaf001/main.do?rcpNo=20210712900530", "공시열람")</f>
        <v/>
      </c>
      <c r="C18" s="4" t="inlineStr">
        <is>
          <t>에이디테크놀로지</t>
        </is>
      </c>
      <c r="D18" s="2" t="inlineStr">
        <is>
          <t>코스닥</t>
        </is>
      </c>
      <c r="E18" s="2" t="inlineStr">
        <is>
          <t>200710</t>
        </is>
      </c>
      <c r="F18" s="2" t="inlineStr">
        <is>
          <t>단일판매공급계약체결</t>
        </is>
      </c>
      <c r="G18" s="4" t="inlineStr">
        <is>
          <t>단일판매ㆍ공급계약체결(자율공시) (정정: 20210712)</t>
        </is>
      </c>
      <c r="H18" s="9" t="inlineStr">
        <is>
          <t>메모리 컨트롤러 IC공급</t>
        </is>
      </c>
      <c r="I18" s="2" t="inlineStr">
        <is>
          <t>2021-05-27</t>
        </is>
      </c>
      <c r="J18" s="2" t="inlineStr">
        <is>
          <t>2021-10-11</t>
        </is>
      </c>
      <c r="K18" s="6" t="n">
        <v>26234047263</v>
      </c>
      <c r="L18" s="2" t="inlineStr">
        <is>
          <t>-</t>
        </is>
      </c>
      <c r="M18" s="11" t="n">
        <v>9</v>
      </c>
      <c r="N18" s="9" t="inlineStr">
        <is>
          <t>에스케이하이닉스 주식회사</t>
        </is>
      </c>
      <c r="O18" s="9" t="inlineStr">
        <is>
          <t>국내</t>
        </is>
      </c>
      <c r="P18" s="2" t="inlineStr">
        <is>
          <t>20210712900530</t>
        </is>
      </c>
    </row>
    <row r="19" ht="36" customHeight="1">
      <c r="A19" s="2" t="inlineStr">
        <is>
          <t>2021-07-12 (원공시: 2021-04-21)</t>
        </is>
      </c>
      <c r="B19" s="3">
        <f>HYPERLINK("https://dart.fss.or.kr/dsaf001/main.do?rcpNo=20210712900524", "공시열람")</f>
        <v/>
      </c>
      <c r="C19" s="4" t="inlineStr">
        <is>
          <t>에이디테크놀로지</t>
        </is>
      </c>
      <c r="D19" s="2" t="inlineStr">
        <is>
          <t>코스닥</t>
        </is>
      </c>
      <c r="E19" s="2" t="inlineStr">
        <is>
          <t>200710</t>
        </is>
      </c>
      <c r="F19" s="2" t="inlineStr">
        <is>
          <t>단일판매공급계약체결</t>
        </is>
      </c>
      <c r="G19" s="4" t="inlineStr">
        <is>
          <t>단일판매ㆍ공급계약체결(자율공시) (정정: 20210712)</t>
        </is>
      </c>
      <c r="H19" s="9" t="inlineStr">
        <is>
          <t>메모리 컨트롤러 IC공급</t>
        </is>
      </c>
      <c r="I19" s="2" t="inlineStr">
        <is>
          <t>2021-04-21</t>
        </is>
      </c>
      <c r="J19" s="2" t="inlineStr">
        <is>
          <t>2021-10-11</t>
        </is>
      </c>
      <c r="K19" s="6" t="n">
        <v>27197334219</v>
      </c>
      <c r="L19" s="2" t="inlineStr">
        <is>
          <t>-</t>
        </is>
      </c>
      <c r="M19" s="11" t="n">
        <v>9.300000000000001</v>
      </c>
      <c r="N19" s="9" t="inlineStr">
        <is>
          <t>에스케이하이닉스 주식회사</t>
        </is>
      </c>
      <c r="O19" s="9" t="inlineStr">
        <is>
          <t>국내</t>
        </is>
      </c>
      <c r="P19" s="2" t="inlineStr">
        <is>
          <t>20210712900524</t>
        </is>
      </c>
    </row>
    <row r="20" ht="36" customHeight="1">
      <c r="A20" s="2" t="inlineStr">
        <is>
          <t>2021-04-30 (원공시: 2021-01-19)</t>
        </is>
      </c>
      <c r="B20" s="3">
        <f>HYPERLINK("https://dart.fss.or.kr/dsaf001/main.do?rcpNo=20210430900416", "공시열람")</f>
        <v/>
      </c>
      <c r="C20" s="4" t="inlineStr">
        <is>
          <t>에이디테크놀로지</t>
        </is>
      </c>
      <c r="D20" s="2" t="inlineStr">
        <is>
          <t>코스닥</t>
        </is>
      </c>
      <c r="E20" s="2" t="inlineStr">
        <is>
          <t>200710</t>
        </is>
      </c>
      <c r="F20" s="2" t="inlineStr">
        <is>
          <t>단일판매공급계약체결</t>
        </is>
      </c>
      <c r="G20" s="4" t="inlineStr">
        <is>
          <t>단일판매ㆍ공급계약체결 (정정: 20210430)</t>
        </is>
      </c>
      <c r="H20" s="9" t="inlineStr">
        <is>
          <t>메모리 컨트롤러 IC공급</t>
        </is>
      </c>
      <c r="I20" s="2" t="inlineStr">
        <is>
          <t>2021-01-18</t>
        </is>
      </c>
      <c r="J20" s="2" t="inlineStr">
        <is>
          <t>2021-08-18</t>
        </is>
      </c>
      <c r="K20" s="6" t="n">
        <v>37463158624</v>
      </c>
      <c r="L20" s="2" t="inlineStr">
        <is>
          <t>-</t>
        </is>
      </c>
      <c r="M20" s="11" t="n">
        <v>16.5</v>
      </c>
      <c r="N20" s="9" t="inlineStr">
        <is>
          <t>에스케이하이닉스 주식회사</t>
        </is>
      </c>
      <c r="O20" s="9" t="inlineStr">
        <is>
          <t>국내</t>
        </is>
      </c>
      <c r="P20" s="2" t="inlineStr">
        <is>
          <t>20210430900416</t>
        </is>
      </c>
    </row>
    <row r="21" ht="36" customHeight="1">
      <c r="A21" s="2" t="inlineStr">
        <is>
          <t>2020-07-17 (원공시: 2020-02-21)</t>
        </is>
      </c>
      <c r="B21" s="3">
        <f>HYPERLINK("https://dart.fss.or.kr/dsaf001/main.do?rcpNo=20200717900167", "공시열람")</f>
        <v/>
      </c>
      <c r="C21" s="4" t="inlineStr">
        <is>
          <t>에이디테크놀로지</t>
        </is>
      </c>
      <c r="D21" s="2" t="inlineStr">
        <is>
          <t>코스닥</t>
        </is>
      </c>
      <c r="E21" s="2" t="inlineStr">
        <is>
          <t>200710</t>
        </is>
      </c>
      <c r="F21" s="2" t="inlineStr">
        <is>
          <t>단일판매공급계약체결</t>
        </is>
      </c>
      <c r="G21" s="4" t="inlineStr">
        <is>
          <t>[기재정정]단일판매ㆍ공급계약체결 (정정: 20200717)</t>
        </is>
      </c>
      <c r="H21" s="9" t="inlineStr">
        <is>
          <t>메모리 컨트롤러 IC공급</t>
        </is>
      </c>
      <c r="I21" s="2" t="inlineStr">
        <is>
          <t>2019-11-07</t>
        </is>
      </c>
      <c r="J21" s="2" t="inlineStr">
        <is>
          <t>2020-08-07</t>
        </is>
      </c>
      <c r="K21" s="6" t="n">
        <v>45215422500</v>
      </c>
      <c r="L21" s="2" t="inlineStr">
        <is>
          <t>-</t>
        </is>
      </c>
      <c r="M21" s="11" t="n">
        <v>41</v>
      </c>
      <c r="N21" s="9" t="inlineStr">
        <is>
          <t>에스케이하이닉스 주식회사</t>
        </is>
      </c>
      <c r="O21" s="9" t="inlineStr">
        <is>
          <t>국내</t>
        </is>
      </c>
      <c r="P21" s="2" t="inlineStr">
        <is>
          <t>20200717900167</t>
        </is>
      </c>
    </row>
    <row r="22" ht="36" customHeight="1">
      <c r="A22" s="2" t="inlineStr">
        <is>
          <t>2020-05-22 (원공시: 2020-02-05)</t>
        </is>
      </c>
      <c r="B22" s="3">
        <f>HYPERLINK("https://dart.fss.or.kr/dsaf001/main.do?rcpNo=20200522900253", "공시열람")</f>
        <v/>
      </c>
      <c r="C22" s="4" t="inlineStr">
        <is>
          <t>에이디테크놀로지</t>
        </is>
      </c>
      <c r="D22" s="2" t="inlineStr">
        <is>
          <t>코스닥</t>
        </is>
      </c>
      <c r="E22" s="2" t="inlineStr">
        <is>
          <t>200710</t>
        </is>
      </c>
      <c r="F22" s="2" t="inlineStr">
        <is>
          <t>단일판매공급계약체결</t>
        </is>
      </c>
      <c r="G22" s="4" t="inlineStr">
        <is>
          <t>단일판매ㆍ공급계약체결 (정정: 20200522)</t>
        </is>
      </c>
      <c r="H22" s="9" t="inlineStr">
        <is>
          <t>메모리 컨트롤러 IC공급</t>
        </is>
      </c>
      <c r="I22" s="2" t="inlineStr">
        <is>
          <t>2020-02-04</t>
        </is>
      </c>
      <c r="J22" s="2" t="inlineStr">
        <is>
          <t>2020-10-23</t>
        </is>
      </c>
      <c r="K22" s="6" t="n">
        <v>43016532000</v>
      </c>
      <c r="L22" s="2" t="inlineStr">
        <is>
          <t>-</t>
        </is>
      </c>
      <c r="M22" s="11" t="n">
        <v>39</v>
      </c>
      <c r="N22" s="9" t="inlineStr">
        <is>
          <t>에스케이하이닉스 주식회사</t>
        </is>
      </c>
      <c r="O22" s="9" t="inlineStr">
        <is>
          <t>국내</t>
        </is>
      </c>
      <c r="P22" s="2" t="inlineStr">
        <is>
          <t>20200522900253</t>
        </is>
      </c>
    </row>
    <row r="23" ht="36" customHeight="1">
      <c r="A23" s="2" t="inlineStr">
        <is>
          <t>2020-01-22</t>
        </is>
      </c>
      <c r="B23" s="3">
        <f>HYPERLINK("https://dart.fss.or.kr/dsaf001/main.do?rcpNo=20200122900411", "공시열람")</f>
        <v/>
      </c>
      <c r="C23" s="4" t="inlineStr">
        <is>
          <t>에이디테크놀로지</t>
        </is>
      </c>
      <c r="D23" s="2" t="inlineStr">
        <is>
          <t>코스닥</t>
        </is>
      </c>
      <c r="E23" s="2" t="inlineStr">
        <is>
          <t>200710</t>
        </is>
      </c>
      <c r="F23" s="2" t="inlineStr">
        <is>
          <t>단일판매공급계약체결</t>
        </is>
      </c>
      <c r="G23" s="4" t="inlineStr">
        <is>
          <t>[기재정정]단일판매ㆍ공급계약체결</t>
        </is>
      </c>
      <c r="H23" s="9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6" t="inlineStr"/>
      <c r="L23" s="2" t="inlineStr">
        <is>
          <t>-</t>
        </is>
      </c>
      <c r="M23" s="4" t="inlineStr"/>
      <c r="N23" s="9" t="inlineStr">
        <is>
          <t>-</t>
        </is>
      </c>
      <c r="O23" s="9" t="inlineStr">
        <is>
          <t>-</t>
        </is>
      </c>
      <c r="P23" s="2" t="inlineStr">
        <is>
          <t>20200122900411</t>
        </is>
      </c>
    </row>
    <row r="24" ht="36" customHeight="1">
      <c r="A24" s="2" t="inlineStr">
        <is>
          <t>2020-01-03</t>
        </is>
      </c>
      <c r="B24" s="3">
        <f>HYPERLINK("https://dart.fss.or.kr/dsaf001/main.do?rcpNo=20200103900430", "공시열람")</f>
        <v/>
      </c>
      <c r="C24" s="4" t="inlineStr">
        <is>
          <t>에이디테크놀로지</t>
        </is>
      </c>
      <c r="D24" s="2" t="inlineStr">
        <is>
          <t>코스닥</t>
        </is>
      </c>
      <c r="E24" s="2" t="inlineStr">
        <is>
          <t>200710</t>
        </is>
      </c>
      <c r="F24" s="2" t="inlineStr">
        <is>
          <t>단일판매공급계약체결</t>
        </is>
      </c>
      <c r="G24" s="4" t="inlineStr">
        <is>
          <t>[기재정정]단일판매ㆍ공급계약체결</t>
        </is>
      </c>
      <c r="H24" s="9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6" t="inlineStr"/>
      <c r="L24" s="2" t="inlineStr">
        <is>
          <t>-</t>
        </is>
      </c>
      <c r="M24" s="4" t="inlineStr"/>
      <c r="N24" s="9" t="inlineStr">
        <is>
          <t>-</t>
        </is>
      </c>
      <c r="O24" s="9" t="inlineStr">
        <is>
          <t>-</t>
        </is>
      </c>
      <c r="P24" s="2" t="inlineStr">
        <is>
          <t>20200103900430</t>
        </is>
      </c>
    </row>
    <row r="25" ht="36" customHeight="1">
      <c r="A25" s="2" t="inlineStr">
        <is>
          <t>2019-12-20</t>
        </is>
      </c>
      <c r="B25" s="3">
        <f>HYPERLINK("https://dart.fss.or.kr/dsaf001/main.do?rcpNo=20191220900845", "공시열람")</f>
        <v/>
      </c>
      <c r="C25" s="4" t="inlineStr">
        <is>
          <t>에이디테크놀로지</t>
        </is>
      </c>
      <c r="D25" s="2" t="inlineStr">
        <is>
          <t>코스닥</t>
        </is>
      </c>
      <c r="E25" s="2" t="inlineStr">
        <is>
          <t>200710</t>
        </is>
      </c>
      <c r="F25" s="2" t="inlineStr">
        <is>
          <t>단일판매공급계약체결</t>
        </is>
      </c>
      <c r="G25" s="4" t="inlineStr">
        <is>
          <t>[기재정정]단일판매ㆍ공급계약체결</t>
        </is>
      </c>
      <c r="H25" s="9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6" t="inlineStr"/>
      <c r="L25" s="2" t="inlineStr">
        <is>
          <t>-</t>
        </is>
      </c>
      <c r="M25" s="4" t="inlineStr"/>
      <c r="N25" s="9" t="inlineStr">
        <is>
          <t>-</t>
        </is>
      </c>
      <c r="O25" s="9" t="inlineStr">
        <is>
          <t>-</t>
        </is>
      </c>
      <c r="P25" s="2" t="inlineStr">
        <is>
          <t>20191220900845</t>
        </is>
      </c>
    </row>
    <row r="26" ht="36" customHeight="1">
      <c r="A26" s="2" t="inlineStr">
        <is>
          <t>2019-11-12</t>
        </is>
      </c>
      <c r="B26" s="3">
        <f>HYPERLINK("https://dart.fss.or.kr/dsaf001/main.do?rcpNo=20191112900488", "공시열람")</f>
        <v/>
      </c>
      <c r="C26" s="4" t="inlineStr">
        <is>
          <t>에이디테크놀로지</t>
        </is>
      </c>
      <c r="D26" s="2" t="inlineStr">
        <is>
          <t>코스닥</t>
        </is>
      </c>
      <c r="E26" s="2" t="inlineStr">
        <is>
          <t>200710</t>
        </is>
      </c>
      <c r="F26" s="2" t="inlineStr">
        <is>
          <t>단일판매공급계약체결</t>
        </is>
      </c>
      <c r="G26" s="4" t="inlineStr">
        <is>
          <t>[기재정정]단일판매ㆍ공급계약체결</t>
        </is>
      </c>
      <c r="H26" s="9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6" t="inlineStr"/>
      <c r="L26" s="2" t="inlineStr">
        <is>
          <t>-</t>
        </is>
      </c>
      <c r="M26" s="4" t="inlineStr"/>
      <c r="N26" s="9" t="inlineStr">
        <is>
          <t>-</t>
        </is>
      </c>
      <c r="O26" s="9" t="inlineStr">
        <is>
          <t>-</t>
        </is>
      </c>
      <c r="P26" s="2" t="inlineStr">
        <is>
          <t>20191112900488</t>
        </is>
      </c>
    </row>
    <row r="27" ht="36" customHeight="1">
      <c r="A27" s="2" t="inlineStr">
        <is>
          <t>2019-11-12</t>
        </is>
      </c>
      <c r="B27" s="3">
        <f>HYPERLINK("https://dart.fss.or.kr/dsaf001/main.do?rcpNo=20191112900532", "공시열람")</f>
        <v/>
      </c>
      <c r="C27" s="4" t="inlineStr">
        <is>
          <t>에이디테크놀로지</t>
        </is>
      </c>
      <c r="D27" s="2" t="inlineStr">
        <is>
          <t>코스닥</t>
        </is>
      </c>
      <c r="E27" s="2" t="inlineStr">
        <is>
          <t>200710</t>
        </is>
      </c>
      <c r="F27" s="2" t="inlineStr">
        <is>
          <t>단일판매공급계약체결</t>
        </is>
      </c>
      <c r="G27" s="4" t="inlineStr">
        <is>
          <t>[기재정정]단일판매ㆍ공급계약체결</t>
        </is>
      </c>
      <c r="H27" s="9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6" t="inlineStr"/>
      <c r="L27" s="2" t="inlineStr">
        <is>
          <t>-</t>
        </is>
      </c>
      <c r="M27" s="4" t="inlineStr"/>
      <c r="N27" s="9" t="inlineStr">
        <is>
          <t>-</t>
        </is>
      </c>
      <c r="O27" s="9" t="inlineStr">
        <is>
          <t>-</t>
        </is>
      </c>
      <c r="P27" s="2" t="inlineStr">
        <is>
          <t>20191112900532</t>
        </is>
      </c>
    </row>
    <row r="28" ht="36" customHeight="1">
      <c r="A28" s="2" t="inlineStr">
        <is>
          <t>2019-11-08</t>
        </is>
      </c>
      <c r="B28" s="3">
        <f>HYPERLINK("https://dart.fss.or.kr/dsaf001/main.do?rcpNo=20191108900343", "공시열람")</f>
        <v/>
      </c>
      <c r="C28" s="4" t="inlineStr">
        <is>
          <t>에이디테크놀로지</t>
        </is>
      </c>
      <c r="D28" s="2" t="inlineStr">
        <is>
          <t>코스닥</t>
        </is>
      </c>
      <c r="E28" s="2" t="inlineStr">
        <is>
          <t>200710</t>
        </is>
      </c>
      <c r="F28" s="2" t="inlineStr">
        <is>
          <t>단일판매공급계약체결</t>
        </is>
      </c>
      <c r="G28" s="4" t="inlineStr">
        <is>
          <t>단일판매ㆍ공급계약체결</t>
        </is>
      </c>
      <c r="H28" s="9" t="inlineStr">
        <is>
          <t>메모리 컨트롤러 IC공급</t>
        </is>
      </c>
      <c r="I28" s="2" t="inlineStr">
        <is>
          <t>2019-11-07</t>
        </is>
      </c>
      <c r="J28" s="2" t="inlineStr">
        <is>
          <t>2020-02-23</t>
        </is>
      </c>
      <c r="K28" s="6" t="n">
        <v>45215422500</v>
      </c>
      <c r="L28" s="2" t="inlineStr">
        <is>
          <t>-</t>
        </is>
      </c>
      <c r="M28" s="11" t="n">
        <v>41</v>
      </c>
      <c r="N28" s="9" t="inlineStr">
        <is>
          <t>에스케이하이닉스 주식회사</t>
        </is>
      </c>
      <c r="O28" s="9" t="inlineStr">
        <is>
          <t>국내</t>
        </is>
      </c>
      <c r="P28" s="2" t="inlineStr">
        <is>
          <t>20191108900343</t>
        </is>
      </c>
    </row>
    <row r="29" ht="36" customHeight="1">
      <c r="A29" s="2" t="inlineStr">
        <is>
          <t>2019-10-25</t>
        </is>
      </c>
      <c r="B29" s="3">
        <f>HYPERLINK("https://dart.fss.or.kr/dsaf001/main.do?rcpNo=20191025900271", "공시열람")</f>
        <v/>
      </c>
      <c r="C29" s="4" t="inlineStr">
        <is>
          <t>에이디테크놀로지</t>
        </is>
      </c>
      <c r="D29" s="2" t="inlineStr">
        <is>
          <t>코스닥</t>
        </is>
      </c>
      <c r="E29" s="2" t="inlineStr">
        <is>
          <t>200710</t>
        </is>
      </c>
      <c r="F29" s="2" t="inlineStr">
        <is>
          <t>단일판매공급계약체결</t>
        </is>
      </c>
      <c r="G29" s="4" t="inlineStr">
        <is>
          <t>[기재정정]단일판매ㆍ공급계약체결</t>
        </is>
      </c>
      <c r="H29" s="9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6" t="inlineStr"/>
      <c r="L29" s="2" t="inlineStr">
        <is>
          <t>-</t>
        </is>
      </c>
      <c r="M29" s="4" t="inlineStr"/>
      <c r="N29" s="9" t="inlineStr">
        <is>
          <t>-</t>
        </is>
      </c>
      <c r="O29" s="9" t="inlineStr">
        <is>
          <t>-</t>
        </is>
      </c>
      <c r="P29" s="2" t="inlineStr">
        <is>
          <t>20191025900271</t>
        </is>
      </c>
    </row>
    <row r="30" ht="36" customHeight="1">
      <c r="A30" s="2" t="inlineStr">
        <is>
          <t>2019-10-15</t>
        </is>
      </c>
      <c r="B30" s="3">
        <f>HYPERLINK("https://dart.fss.or.kr/dsaf001/main.do?rcpNo=20191015900342", "공시열람")</f>
        <v/>
      </c>
      <c r="C30" s="4" t="inlineStr">
        <is>
          <t>에이디테크놀로지</t>
        </is>
      </c>
      <c r="D30" s="2" t="inlineStr">
        <is>
          <t>코스닥</t>
        </is>
      </c>
      <c r="E30" s="2" t="inlineStr">
        <is>
          <t>200710</t>
        </is>
      </c>
      <c r="F30" s="2" t="inlineStr">
        <is>
          <t>단일판매공급계약체결</t>
        </is>
      </c>
      <c r="G30" s="4" t="inlineStr">
        <is>
          <t>단일판매ㆍ공급계약체결</t>
        </is>
      </c>
      <c r="H30" s="9" t="inlineStr">
        <is>
          <t>메모리 컨트롤러 IC공급</t>
        </is>
      </c>
      <c r="I30" s="2" t="inlineStr">
        <is>
          <t>2019-10-15</t>
        </is>
      </c>
      <c r="J30" s="2" t="inlineStr">
        <is>
          <t>2020-01-26</t>
        </is>
      </c>
      <c r="K30" s="6" t="n">
        <v>20783996450</v>
      </c>
      <c r="L30" s="2" t="inlineStr">
        <is>
          <t>-</t>
        </is>
      </c>
      <c r="M30" s="11" t="n">
        <v>18.8</v>
      </c>
      <c r="N30" s="9" t="inlineStr">
        <is>
          <t>에스케이하이닉스 주식회사</t>
        </is>
      </c>
      <c r="O30" s="9" t="inlineStr">
        <is>
          <t>국내</t>
        </is>
      </c>
      <c r="P30" s="2" t="inlineStr">
        <is>
          <t>20191015900342</t>
        </is>
      </c>
    </row>
    <row r="31" ht="36" customHeight="1">
      <c r="A31" s="2" t="inlineStr">
        <is>
          <t>2019-10-02</t>
        </is>
      </c>
      <c r="B31" s="3">
        <f>HYPERLINK("https://dart.fss.or.kr/dsaf001/main.do?rcpNo=20191002900533", "공시열람")</f>
        <v/>
      </c>
      <c r="C31" s="4" t="inlineStr">
        <is>
          <t>에이디테크놀로지</t>
        </is>
      </c>
      <c r="D31" s="2" t="inlineStr">
        <is>
          <t>코스닥</t>
        </is>
      </c>
      <c r="E31" s="2" t="inlineStr">
        <is>
          <t>200710</t>
        </is>
      </c>
      <c r="F31" s="2" t="inlineStr">
        <is>
          <t>단일판매공급계약체결</t>
        </is>
      </c>
      <c r="G31" s="4" t="inlineStr">
        <is>
          <t>[기재정정]단일판매ㆍ공급계약체결</t>
        </is>
      </c>
      <c r="H31" s="9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6" t="inlineStr"/>
      <c r="L31" s="2" t="inlineStr">
        <is>
          <t>-</t>
        </is>
      </c>
      <c r="M31" s="4" t="inlineStr"/>
      <c r="N31" s="9" t="inlineStr">
        <is>
          <t>-</t>
        </is>
      </c>
      <c r="O31" s="9" t="inlineStr">
        <is>
          <t>-</t>
        </is>
      </c>
      <c r="P31" s="2" t="inlineStr">
        <is>
          <t>20191002900533</t>
        </is>
      </c>
    </row>
    <row r="32" ht="36" customHeight="1">
      <c r="A32" s="2" t="inlineStr">
        <is>
          <t>2019-10-02</t>
        </is>
      </c>
      <c r="B32" s="3">
        <f>HYPERLINK("https://dart.fss.or.kr/dsaf001/main.do?rcpNo=20191002900536", "공시열람")</f>
        <v/>
      </c>
      <c r="C32" s="4" t="inlineStr">
        <is>
          <t>에이디테크놀로지</t>
        </is>
      </c>
      <c r="D32" s="2" t="inlineStr">
        <is>
          <t>코스닥</t>
        </is>
      </c>
      <c r="E32" s="2" t="inlineStr">
        <is>
          <t>200710</t>
        </is>
      </c>
      <c r="F32" s="2" t="inlineStr">
        <is>
          <t>단일판매공급계약체결</t>
        </is>
      </c>
      <c r="G32" s="4" t="inlineStr">
        <is>
          <t>[기재정정]단일판매ㆍ공급계약체결</t>
        </is>
      </c>
      <c r="H32" s="9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6" t="inlineStr"/>
      <c r="L32" s="2" t="inlineStr">
        <is>
          <t>-</t>
        </is>
      </c>
      <c r="M32" s="4" t="inlineStr"/>
      <c r="N32" s="9" t="inlineStr">
        <is>
          <t>-</t>
        </is>
      </c>
      <c r="O32" s="9" t="inlineStr">
        <is>
          <t>-</t>
        </is>
      </c>
      <c r="P32" s="2" t="inlineStr">
        <is>
          <t>20191002900536</t>
        </is>
      </c>
    </row>
    <row r="33" ht="36" customHeight="1">
      <c r="A33" s="2" t="inlineStr">
        <is>
          <t>2019-10-02</t>
        </is>
      </c>
      <c r="B33" s="3">
        <f>HYPERLINK("https://dart.fss.or.kr/dsaf001/main.do?rcpNo=20191002900537", "공시열람")</f>
        <v/>
      </c>
      <c r="C33" s="4" t="inlineStr">
        <is>
          <t>에이디테크놀로지</t>
        </is>
      </c>
      <c r="D33" s="2" t="inlineStr">
        <is>
          <t>코스닥</t>
        </is>
      </c>
      <c r="E33" s="2" t="inlineStr">
        <is>
          <t>200710</t>
        </is>
      </c>
      <c r="F33" s="2" t="inlineStr">
        <is>
          <t>단일판매공급계약체결</t>
        </is>
      </c>
      <c r="G33" s="4" t="inlineStr">
        <is>
          <t>[기재정정]단일판매ㆍ공급계약체결</t>
        </is>
      </c>
      <c r="H33" s="9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6" t="inlineStr"/>
      <c r="L33" s="2" t="inlineStr">
        <is>
          <t>-</t>
        </is>
      </c>
      <c r="M33" s="4" t="inlineStr"/>
      <c r="N33" s="9" t="inlineStr">
        <is>
          <t>-</t>
        </is>
      </c>
      <c r="O33" s="9" t="inlineStr">
        <is>
          <t>-</t>
        </is>
      </c>
      <c r="P33" s="2" t="inlineStr">
        <is>
          <t>20191002900537</t>
        </is>
      </c>
    </row>
    <row r="34" ht="36" customHeight="1">
      <c r="A34" s="2" t="inlineStr">
        <is>
          <t>2019-09-10</t>
        </is>
      </c>
      <c r="B34" s="3">
        <f>HYPERLINK("https://dart.fss.or.kr/dsaf001/main.do?rcpNo=20190910900230", "공시열람")</f>
        <v/>
      </c>
      <c r="C34" s="4" t="inlineStr">
        <is>
          <t>에이디테크놀로지</t>
        </is>
      </c>
      <c r="D34" s="2" t="inlineStr">
        <is>
          <t>코스닥</t>
        </is>
      </c>
      <c r="E34" s="2" t="inlineStr">
        <is>
          <t>200710</t>
        </is>
      </c>
      <c r="F34" s="2" t="inlineStr">
        <is>
          <t>단일판매공급계약체결</t>
        </is>
      </c>
      <c r="G34" s="4" t="inlineStr">
        <is>
          <t>단일판매ㆍ공급계약체결</t>
        </is>
      </c>
      <c r="H34" s="9" t="inlineStr">
        <is>
          <t>메모리 컨트롤러 IC공급</t>
        </is>
      </c>
      <c r="I34" s="2" t="inlineStr">
        <is>
          <t>2019-09-09</t>
        </is>
      </c>
      <c r="J34" s="2" t="inlineStr">
        <is>
          <t>2020-01-03</t>
        </is>
      </c>
      <c r="K34" s="6" t="n">
        <v>31215259721</v>
      </c>
      <c r="L34" s="2" t="inlineStr">
        <is>
          <t>-</t>
        </is>
      </c>
      <c r="M34" s="11" t="n">
        <v>28.3</v>
      </c>
      <c r="N34" s="9" t="inlineStr">
        <is>
          <t>에스케이하이닉스 주식회사</t>
        </is>
      </c>
      <c r="O34" s="9" t="inlineStr">
        <is>
          <t>국내</t>
        </is>
      </c>
      <c r="P34" s="2" t="inlineStr">
        <is>
          <t>20190910900230</t>
        </is>
      </c>
    </row>
    <row r="35" ht="36" customHeight="1">
      <c r="A35" s="2" t="inlineStr">
        <is>
          <t>2019-08-14</t>
        </is>
      </c>
      <c r="B35" s="3">
        <f>HYPERLINK("https://dart.fss.or.kr/dsaf001/main.do?rcpNo=20190814901197", "공시열람")</f>
        <v/>
      </c>
      <c r="C35" s="4" t="inlineStr">
        <is>
          <t>에이디테크놀로지</t>
        </is>
      </c>
      <c r="D35" s="2" t="inlineStr">
        <is>
          <t>코스닥</t>
        </is>
      </c>
      <c r="E35" s="2" t="inlineStr">
        <is>
          <t>200710</t>
        </is>
      </c>
      <c r="F35" s="2" t="inlineStr">
        <is>
          <t>단일판매공급계약체결</t>
        </is>
      </c>
      <c r="G35" s="4" t="inlineStr">
        <is>
          <t>단일판매ㆍ공급계약체결</t>
        </is>
      </c>
      <c r="H35" s="9" t="inlineStr">
        <is>
          <t>메모리 컨트롤러 IC공급</t>
        </is>
      </c>
      <c r="I35" s="2" t="inlineStr">
        <is>
          <t>2019-08-13</t>
        </is>
      </c>
      <c r="J35" s="2" t="inlineStr">
        <is>
          <t>2019-12-20</t>
        </is>
      </c>
      <c r="K35" s="6" t="n">
        <v>23925214314</v>
      </c>
      <c r="L35" s="2" t="inlineStr">
        <is>
          <t>-</t>
        </is>
      </c>
      <c r="M35" s="11" t="n">
        <v>21.6</v>
      </c>
      <c r="N35" s="9" t="inlineStr">
        <is>
          <t>에스케이하이닉스 주식회사</t>
        </is>
      </c>
      <c r="O35" s="9" t="inlineStr">
        <is>
          <t>국내</t>
        </is>
      </c>
      <c r="P35" s="2" t="inlineStr">
        <is>
          <t>20190814901197</t>
        </is>
      </c>
    </row>
    <row r="36" ht="36" customHeight="1">
      <c r="A36" s="2" t="inlineStr">
        <is>
          <t>2019-08-07</t>
        </is>
      </c>
      <c r="B36" s="3">
        <f>HYPERLINK("https://dart.fss.or.kr/dsaf001/main.do?rcpNo=20190807900440", "공시열람")</f>
        <v/>
      </c>
      <c r="C36" s="4" t="inlineStr">
        <is>
          <t>에이디테크놀로지</t>
        </is>
      </c>
      <c r="D36" s="2" t="inlineStr">
        <is>
          <t>코스닥</t>
        </is>
      </c>
      <c r="E36" s="2" t="inlineStr">
        <is>
          <t>200710</t>
        </is>
      </c>
      <c r="F36" s="2" t="inlineStr">
        <is>
          <t>단일판매공급계약체결</t>
        </is>
      </c>
      <c r="G36" s="4" t="inlineStr">
        <is>
          <t>[기재정정]단일판매ㆍ공급계약체결</t>
        </is>
      </c>
      <c r="H36" s="9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6" t="inlineStr"/>
      <c r="L36" s="2" t="inlineStr">
        <is>
          <t>-</t>
        </is>
      </c>
      <c r="M36" s="4" t="inlineStr"/>
      <c r="N36" s="9" t="inlineStr">
        <is>
          <t>-</t>
        </is>
      </c>
      <c r="O36" s="9" t="inlineStr">
        <is>
          <t>-</t>
        </is>
      </c>
      <c r="P36" s="2" t="inlineStr">
        <is>
          <t>20190807900440</t>
        </is>
      </c>
    </row>
    <row r="37" ht="36" customHeight="1">
      <c r="A37" s="2" t="inlineStr">
        <is>
          <t>2019-08-01</t>
        </is>
      </c>
      <c r="B37" s="3">
        <f>HYPERLINK("https://dart.fss.or.kr/dsaf001/main.do?rcpNo=20190801900323", "공시열람")</f>
        <v/>
      </c>
      <c r="C37" s="4" t="inlineStr">
        <is>
          <t>에이디테크놀로지</t>
        </is>
      </c>
      <c r="D37" s="2" t="inlineStr">
        <is>
          <t>코스닥</t>
        </is>
      </c>
      <c r="E37" s="2" t="inlineStr">
        <is>
          <t>200710</t>
        </is>
      </c>
      <c r="F37" s="2" t="inlineStr">
        <is>
          <t>단일판매공급계약체결</t>
        </is>
      </c>
      <c r="G37" s="4" t="inlineStr">
        <is>
          <t>[기재정정]단일판매ㆍ공급계약체결</t>
        </is>
      </c>
      <c r="H37" s="9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6" t="inlineStr"/>
      <c r="L37" s="2" t="inlineStr">
        <is>
          <t>-</t>
        </is>
      </c>
      <c r="M37" s="4" t="inlineStr"/>
      <c r="N37" s="9" t="inlineStr">
        <is>
          <t>-</t>
        </is>
      </c>
      <c r="O37" s="9" t="inlineStr">
        <is>
          <t>-</t>
        </is>
      </c>
      <c r="P37" s="2" t="inlineStr">
        <is>
          <t>20190801900323</t>
        </is>
      </c>
    </row>
    <row r="38" ht="36" customHeight="1">
      <c r="A38" s="2" t="inlineStr">
        <is>
          <t>2019-07-23</t>
        </is>
      </c>
      <c r="B38" s="3">
        <f>HYPERLINK("https://dart.fss.or.kr/dsaf001/main.do?rcpNo=20190723900553", "공시열람")</f>
        <v/>
      </c>
      <c r="C38" s="4" t="inlineStr">
        <is>
          <t>에이디테크놀로지</t>
        </is>
      </c>
      <c r="D38" s="2" t="inlineStr">
        <is>
          <t>코스닥</t>
        </is>
      </c>
      <c r="E38" s="2" t="inlineStr">
        <is>
          <t>200710</t>
        </is>
      </c>
      <c r="F38" s="2" t="inlineStr">
        <is>
          <t>기타</t>
        </is>
      </c>
      <c r="G38" s="4" t="inlineStr">
        <is>
          <t>기타경영사항(특허권취득)(자율공시)(제어신호와 입력신호의 동시 전이에 따른 출력 오류를 방지하는 래치 회로)</t>
        </is>
      </c>
      <c r="H38" s="9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6" t="inlineStr"/>
      <c r="L38" s="2" t="inlineStr">
        <is>
          <t>-</t>
        </is>
      </c>
      <c r="M38" s="4" t="inlineStr"/>
      <c r="N38" s="9" t="inlineStr">
        <is>
          <t>-</t>
        </is>
      </c>
      <c r="O38" s="9" t="inlineStr">
        <is>
          <t>-</t>
        </is>
      </c>
      <c r="P38" s="2" t="inlineStr">
        <is>
          <t>20190723900553</t>
        </is>
      </c>
    </row>
    <row r="39" ht="36" customHeight="1">
      <c r="A39" s="2" t="inlineStr">
        <is>
          <t>2019-07-16</t>
        </is>
      </c>
      <c r="B39" s="3">
        <f>HYPERLINK("https://dart.fss.or.kr/dsaf001/main.do?rcpNo=20190716900285", "공시열람")</f>
        <v/>
      </c>
      <c r="C39" s="4" t="inlineStr">
        <is>
          <t>에이디테크놀로지</t>
        </is>
      </c>
      <c r="D39" s="2" t="inlineStr">
        <is>
          <t>코스닥</t>
        </is>
      </c>
      <c r="E39" s="2" t="inlineStr">
        <is>
          <t>200710</t>
        </is>
      </c>
      <c r="F39" s="2" t="inlineStr">
        <is>
          <t>단일판매공급계약체결</t>
        </is>
      </c>
      <c r="G39" s="4" t="inlineStr">
        <is>
          <t>단일판매ㆍ공급계약체결</t>
        </is>
      </c>
      <c r="H39" s="9" t="inlineStr">
        <is>
          <t>메모리 컨트롤러 IC공급</t>
        </is>
      </c>
      <c r="I39" s="2" t="inlineStr">
        <is>
          <t>2019-07-15</t>
        </is>
      </c>
      <c r="J39" s="2" t="inlineStr">
        <is>
          <t>2019-11-12</t>
        </is>
      </c>
      <c r="K39" s="6" t="n">
        <v>18014579567</v>
      </c>
      <c r="L39" s="2" t="inlineStr">
        <is>
          <t>-</t>
        </is>
      </c>
      <c r="M39" s="11" t="n">
        <v>16.3</v>
      </c>
      <c r="N39" s="9" t="inlineStr">
        <is>
          <t>에스케이하이닉스 주식회사</t>
        </is>
      </c>
      <c r="O39" s="9" t="inlineStr">
        <is>
          <t>국내</t>
        </is>
      </c>
      <c r="P39" s="2" t="inlineStr">
        <is>
          <t>20190716900285</t>
        </is>
      </c>
    </row>
    <row r="40" ht="36" customHeight="1">
      <c r="A40" s="2" t="inlineStr">
        <is>
          <t>2019-07-09</t>
        </is>
      </c>
      <c r="B40" s="3">
        <f>HYPERLINK("https://dart.fss.or.kr/dsaf001/main.do?rcpNo=20190709900341", "공시열람")</f>
        <v/>
      </c>
      <c r="C40" s="4" t="inlineStr">
        <is>
          <t>에이디테크놀로지</t>
        </is>
      </c>
      <c r="D40" s="2" t="inlineStr">
        <is>
          <t>코스닥</t>
        </is>
      </c>
      <c r="E40" s="2" t="inlineStr">
        <is>
          <t>200710</t>
        </is>
      </c>
      <c r="F40" s="2" t="inlineStr">
        <is>
          <t>단일판매공급계약체결</t>
        </is>
      </c>
      <c r="G40" s="4" t="inlineStr">
        <is>
          <t>[기재정정]단일판매ㆍ공급계약체결</t>
        </is>
      </c>
      <c r="H40" s="9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6" t="inlineStr"/>
      <c r="L40" s="2" t="inlineStr">
        <is>
          <t>-</t>
        </is>
      </c>
      <c r="M40" s="4" t="inlineStr"/>
      <c r="N40" s="9" t="inlineStr">
        <is>
          <t>-</t>
        </is>
      </c>
      <c r="O40" s="9" t="inlineStr">
        <is>
          <t>-</t>
        </is>
      </c>
      <c r="P40" s="2" t="inlineStr">
        <is>
          <t>20190709900341</t>
        </is>
      </c>
    </row>
    <row r="41" ht="36" customHeight="1">
      <c r="A41" s="2" t="inlineStr">
        <is>
          <t>2019-07-09</t>
        </is>
      </c>
      <c r="B41" s="3">
        <f>HYPERLINK("https://dart.fss.or.kr/dsaf001/main.do?rcpNo=20190709900338", "공시열람")</f>
        <v/>
      </c>
      <c r="C41" s="4" t="inlineStr">
        <is>
          <t>에이디테크놀로지</t>
        </is>
      </c>
      <c r="D41" s="2" t="inlineStr">
        <is>
          <t>코스닥</t>
        </is>
      </c>
      <c r="E41" s="2" t="inlineStr">
        <is>
          <t>200710</t>
        </is>
      </c>
      <c r="F41" s="2" t="inlineStr">
        <is>
          <t>단일판매공급계약체결</t>
        </is>
      </c>
      <c r="G41" s="4" t="inlineStr">
        <is>
          <t>[기재정정]단일판매ㆍ공급계약체결</t>
        </is>
      </c>
      <c r="H41" s="9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6" t="inlineStr"/>
      <c r="L41" s="2" t="inlineStr">
        <is>
          <t>-</t>
        </is>
      </c>
      <c r="M41" s="4" t="inlineStr"/>
      <c r="N41" s="9" t="inlineStr">
        <is>
          <t>-</t>
        </is>
      </c>
      <c r="O41" s="9" t="inlineStr">
        <is>
          <t>-</t>
        </is>
      </c>
      <c r="P41" s="2" t="inlineStr">
        <is>
          <t>20190709900338</t>
        </is>
      </c>
    </row>
    <row r="42" ht="36" customHeight="1">
      <c r="A42" s="2" t="inlineStr">
        <is>
          <t>2019-07-04</t>
        </is>
      </c>
      <c r="B42" s="3">
        <f>HYPERLINK("https://dart.fss.or.kr/dsaf001/main.do?rcpNo=20190704900379", "공시열람")</f>
        <v/>
      </c>
      <c r="C42" s="4" t="inlineStr">
        <is>
          <t>에이디테크놀로지</t>
        </is>
      </c>
      <c r="D42" s="2" t="inlineStr">
        <is>
          <t>코스닥</t>
        </is>
      </c>
      <c r="E42" s="2" t="inlineStr">
        <is>
          <t>200710</t>
        </is>
      </c>
      <c r="F42" s="2" t="inlineStr">
        <is>
          <t>기타</t>
        </is>
      </c>
      <c r="G42" s="4" t="inlineStr">
        <is>
          <t>기타경영사항(특허권취득)(자율공시)(제어신호와 입력신호의 동시 전이에 따른 출력 오류를 방지하는 래치 회로)</t>
        </is>
      </c>
      <c r="H42" s="9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6" t="inlineStr"/>
      <c r="L42" s="2" t="inlineStr">
        <is>
          <t>-</t>
        </is>
      </c>
      <c r="M42" s="4" t="inlineStr"/>
      <c r="N42" s="9" t="inlineStr">
        <is>
          <t>-</t>
        </is>
      </c>
      <c r="O42" s="9" t="inlineStr">
        <is>
          <t>-</t>
        </is>
      </c>
      <c r="P42" s="2" t="inlineStr">
        <is>
          <t>20190704900379</t>
        </is>
      </c>
    </row>
    <row r="43" ht="36" customHeight="1">
      <c r="A43" s="2" t="inlineStr">
        <is>
          <t>2019-07-02</t>
        </is>
      </c>
      <c r="B43" s="3">
        <f>HYPERLINK("https://dart.fss.or.kr/dsaf001/main.do?rcpNo=20190702900510", "공시열람")</f>
        <v/>
      </c>
      <c r="C43" s="4" t="inlineStr">
        <is>
          <t>에이디테크놀로지</t>
        </is>
      </c>
      <c r="D43" s="2" t="inlineStr">
        <is>
          <t>코스닥</t>
        </is>
      </c>
      <c r="E43" s="2" t="inlineStr">
        <is>
          <t>200710</t>
        </is>
      </c>
      <c r="F43" s="2" t="inlineStr">
        <is>
          <t>단일판매공급계약체결</t>
        </is>
      </c>
      <c r="G43" s="4" t="inlineStr">
        <is>
          <t>[기재정정]단일판매ㆍ공급계약체결</t>
        </is>
      </c>
      <c r="H43" s="9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6" t="inlineStr"/>
      <c r="L43" s="2" t="inlineStr">
        <is>
          <t>-</t>
        </is>
      </c>
      <c r="M43" s="4" t="inlineStr"/>
      <c r="N43" s="9" t="inlineStr">
        <is>
          <t>-</t>
        </is>
      </c>
      <c r="O43" s="9" t="inlineStr">
        <is>
          <t>-</t>
        </is>
      </c>
      <c r="P43" s="2" t="inlineStr">
        <is>
          <t>20190702900510</t>
        </is>
      </c>
    </row>
    <row r="44" ht="36" customHeight="1">
      <c r="A44" s="2" t="inlineStr">
        <is>
          <t>2019-06-11</t>
        </is>
      </c>
      <c r="B44" s="3">
        <f>HYPERLINK("https://dart.fss.or.kr/dsaf001/main.do?rcpNo=20190611900371", "공시열람")</f>
        <v/>
      </c>
      <c r="C44" s="4" t="inlineStr">
        <is>
          <t>에이디테크놀로지</t>
        </is>
      </c>
      <c r="D44" s="2" t="inlineStr">
        <is>
          <t>코스닥</t>
        </is>
      </c>
      <c r="E44" s="2" t="inlineStr">
        <is>
          <t>200710</t>
        </is>
      </c>
      <c r="F44" s="2" t="inlineStr">
        <is>
          <t>단일판매공급계약체결</t>
        </is>
      </c>
      <c r="G44" s="4" t="inlineStr">
        <is>
          <t>단일판매ㆍ공급계약체결</t>
        </is>
      </c>
      <c r="H44" s="9" t="inlineStr">
        <is>
          <t>메모리 컨트롤러 IC공급</t>
        </is>
      </c>
      <c r="I44" s="2" t="inlineStr">
        <is>
          <t>2019-06-10</t>
        </is>
      </c>
      <c r="J44" s="2" t="inlineStr">
        <is>
          <t>2019-10-03</t>
        </is>
      </c>
      <c r="K44" s="6" t="n">
        <v>23777074598</v>
      </c>
      <c r="L44" s="2" t="inlineStr">
        <is>
          <t>-</t>
        </is>
      </c>
      <c r="M44" s="11" t="n">
        <v>21.5</v>
      </c>
      <c r="N44" s="9" t="inlineStr">
        <is>
          <t>에스케이하이닉스 주식회사</t>
        </is>
      </c>
      <c r="O44" s="9" t="inlineStr">
        <is>
          <t>국내</t>
        </is>
      </c>
      <c r="P44" s="2" t="inlineStr">
        <is>
          <t>20190611900371</t>
        </is>
      </c>
    </row>
    <row r="45" ht="36" customHeight="1">
      <c r="A45" s="2" t="inlineStr">
        <is>
          <t>2019-06-05</t>
        </is>
      </c>
      <c r="B45" s="3">
        <f>HYPERLINK("https://dart.fss.or.kr/dsaf001/main.do?rcpNo=20190605900506", "공시열람")</f>
        <v/>
      </c>
      <c r="C45" s="4" t="inlineStr">
        <is>
          <t>에이디테크놀로지</t>
        </is>
      </c>
      <c r="D45" s="2" t="inlineStr">
        <is>
          <t>코스닥</t>
        </is>
      </c>
      <c r="E45" s="2" t="inlineStr">
        <is>
          <t>200710</t>
        </is>
      </c>
      <c r="F45" s="2" t="inlineStr">
        <is>
          <t>단일판매공급계약체결</t>
        </is>
      </c>
      <c r="G45" s="4" t="inlineStr">
        <is>
          <t>[기재정정]단일판매ㆍ공급계약체결</t>
        </is>
      </c>
      <c r="H45" s="9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6" t="inlineStr"/>
      <c r="L45" s="2" t="inlineStr">
        <is>
          <t>-</t>
        </is>
      </c>
      <c r="M45" s="4" t="inlineStr"/>
      <c r="N45" s="9" t="inlineStr">
        <is>
          <t>-</t>
        </is>
      </c>
      <c r="O45" s="9" t="inlineStr">
        <is>
          <t>-</t>
        </is>
      </c>
      <c r="P45" s="2" t="inlineStr">
        <is>
          <t>20190605900506</t>
        </is>
      </c>
    </row>
    <row r="46" ht="36" customHeight="1">
      <c r="A46" s="2" t="inlineStr">
        <is>
          <t>2019-05-16</t>
        </is>
      </c>
      <c r="B46" s="3">
        <f>HYPERLINK("https://dart.fss.or.kr/dsaf001/main.do?rcpNo=20190516900274", "공시열람")</f>
        <v/>
      </c>
      <c r="C46" s="4" t="inlineStr">
        <is>
          <t>에이디테크놀로지</t>
        </is>
      </c>
      <c r="D46" s="2" t="inlineStr">
        <is>
          <t>코스닥</t>
        </is>
      </c>
      <c r="E46" s="2" t="inlineStr">
        <is>
          <t>200710</t>
        </is>
      </c>
      <c r="F46" s="2" t="inlineStr">
        <is>
          <t>단일판매공급계약체결</t>
        </is>
      </c>
      <c r="G46" s="4" t="inlineStr">
        <is>
          <t>[기재정정]단일판매ㆍ공급계약체결</t>
        </is>
      </c>
      <c r="H46" s="9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6" t="inlineStr"/>
      <c r="L46" s="2" t="inlineStr">
        <is>
          <t>-</t>
        </is>
      </c>
      <c r="M46" s="4" t="inlineStr"/>
      <c r="N46" s="9" t="inlineStr">
        <is>
          <t>-</t>
        </is>
      </c>
      <c r="O46" s="9" t="inlineStr">
        <is>
          <t>-</t>
        </is>
      </c>
      <c r="P46" s="2" t="inlineStr">
        <is>
          <t>20190516900274</t>
        </is>
      </c>
    </row>
    <row r="47" ht="36" customHeight="1">
      <c r="A47" s="2" t="inlineStr">
        <is>
          <t>2019-05-15</t>
        </is>
      </c>
      <c r="B47" s="3">
        <f>HYPERLINK("https://dart.fss.or.kr/dsaf001/main.do?rcpNo=20190515901053", "공시열람")</f>
        <v/>
      </c>
      <c r="C47" s="4" t="inlineStr">
        <is>
          <t>에이디테크놀로지</t>
        </is>
      </c>
      <c r="D47" s="2" t="inlineStr">
        <is>
          <t>코스닥</t>
        </is>
      </c>
      <c r="E47" s="2" t="inlineStr">
        <is>
          <t>200710</t>
        </is>
      </c>
      <c r="F47" s="2" t="inlineStr">
        <is>
          <t>단일판매공급계약체결</t>
        </is>
      </c>
      <c r="G47" s="4" t="inlineStr">
        <is>
          <t>[기재정정]단일판매ㆍ공급계약체결</t>
        </is>
      </c>
      <c r="H47" s="9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6" t="inlineStr"/>
      <c r="L47" s="2" t="inlineStr">
        <is>
          <t>-</t>
        </is>
      </c>
      <c r="M47" s="4" t="inlineStr"/>
      <c r="N47" s="9" t="inlineStr">
        <is>
          <t>-</t>
        </is>
      </c>
      <c r="O47" s="9" t="inlineStr">
        <is>
          <t>-</t>
        </is>
      </c>
      <c r="P47" s="2" t="inlineStr">
        <is>
          <t>20190515901053</t>
        </is>
      </c>
    </row>
    <row r="48" ht="36" customHeight="1">
      <c r="A48" s="2" t="inlineStr">
        <is>
          <t>2019-05-15</t>
        </is>
      </c>
      <c r="B48" s="3">
        <f>HYPERLINK("https://dart.fss.or.kr/dsaf001/main.do?rcpNo=20190515902643", "공시열람")</f>
        <v/>
      </c>
      <c r="C48" s="4" t="inlineStr">
        <is>
          <t>에이디테크놀로지</t>
        </is>
      </c>
      <c r="D48" s="2" t="inlineStr">
        <is>
          <t>코스닥</t>
        </is>
      </c>
      <c r="E48" s="2" t="inlineStr">
        <is>
          <t>200710</t>
        </is>
      </c>
      <c r="F48" s="2" t="inlineStr">
        <is>
          <t>단일판매공급계약체결</t>
        </is>
      </c>
      <c r="G48" s="4" t="inlineStr">
        <is>
          <t>[기재정정]단일판매ㆍ공급계약체결</t>
        </is>
      </c>
      <c r="H48" s="9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6" t="inlineStr"/>
      <c r="L48" s="2" t="inlineStr">
        <is>
          <t>-</t>
        </is>
      </c>
      <c r="M48" s="4" t="inlineStr"/>
      <c r="N48" s="9" t="inlineStr">
        <is>
          <t>-</t>
        </is>
      </c>
      <c r="O48" s="9" t="inlineStr">
        <is>
          <t>-</t>
        </is>
      </c>
      <c r="P48" s="2" t="inlineStr">
        <is>
          <t>20190515902643</t>
        </is>
      </c>
    </row>
    <row r="49" ht="36" customHeight="1">
      <c r="A49" s="2" t="inlineStr">
        <is>
          <t>2019-05-09</t>
        </is>
      </c>
      <c r="B49" s="3">
        <f>HYPERLINK("https://dart.fss.or.kr/dsaf001/main.do?rcpNo=20190509900316", "공시열람")</f>
        <v/>
      </c>
      <c r="C49" s="4" t="inlineStr">
        <is>
          <t>에이디테크놀로지</t>
        </is>
      </c>
      <c r="D49" s="2" t="inlineStr">
        <is>
          <t>코스닥</t>
        </is>
      </c>
      <c r="E49" s="2" t="inlineStr">
        <is>
          <t>200710</t>
        </is>
      </c>
      <c r="F49" s="2" t="inlineStr">
        <is>
          <t>단일판매공급계약체결</t>
        </is>
      </c>
      <c r="G49" s="4" t="inlineStr">
        <is>
          <t>[기재정정]단일판매ㆍ공급계약체결</t>
        </is>
      </c>
      <c r="H49" s="9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6" t="inlineStr"/>
      <c r="L49" s="2" t="inlineStr">
        <is>
          <t>-</t>
        </is>
      </c>
      <c r="M49" s="4" t="inlineStr"/>
      <c r="N49" s="9" t="inlineStr">
        <is>
          <t>-</t>
        </is>
      </c>
      <c r="O49" s="9" t="inlineStr">
        <is>
          <t>-</t>
        </is>
      </c>
      <c r="P49" s="2" t="inlineStr">
        <is>
          <t>20190509900316</t>
        </is>
      </c>
    </row>
    <row r="50" ht="36" customHeight="1">
      <c r="A50" s="2" t="inlineStr">
        <is>
          <t>2019-05-09</t>
        </is>
      </c>
      <c r="B50" s="3">
        <f>HYPERLINK("https://dart.fss.or.kr/dsaf001/main.do?rcpNo=20190509900317", "공시열람")</f>
        <v/>
      </c>
      <c r="C50" s="4" t="inlineStr">
        <is>
          <t>에이디테크놀로지</t>
        </is>
      </c>
      <c r="D50" s="2" t="inlineStr">
        <is>
          <t>코스닥</t>
        </is>
      </c>
      <c r="E50" s="2" t="inlineStr">
        <is>
          <t>200710</t>
        </is>
      </c>
      <c r="F50" s="2" t="inlineStr">
        <is>
          <t>단일판매공급계약체결</t>
        </is>
      </c>
      <c r="G50" s="4" t="inlineStr">
        <is>
          <t>[기재정정]단일판매ㆍ공급계약체결</t>
        </is>
      </c>
      <c r="H50" s="9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6" t="inlineStr"/>
      <c r="L50" s="2" t="inlineStr">
        <is>
          <t>-</t>
        </is>
      </c>
      <c r="M50" s="4" t="inlineStr"/>
      <c r="N50" s="9" t="inlineStr">
        <is>
          <t>-</t>
        </is>
      </c>
      <c r="O50" s="9" t="inlineStr">
        <is>
          <t>-</t>
        </is>
      </c>
      <c r="P50" s="2" t="inlineStr">
        <is>
          <t>20190509900317</t>
        </is>
      </c>
    </row>
    <row r="51" ht="36" customHeight="1">
      <c r="A51" s="2" t="inlineStr">
        <is>
          <t>2019-05-09</t>
        </is>
      </c>
      <c r="B51" s="3">
        <f>HYPERLINK("https://dart.fss.or.kr/dsaf001/main.do?rcpNo=20190509900346", "공시열람")</f>
        <v/>
      </c>
      <c r="C51" s="4" t="inlineStr">
        <is>
          <t>에이디테크놀로지</t>
        </is>
      </c>
      <c r="D51" s="2" t="inlineStr">
        <is>
          <t>코스닥</t>
        </is>
      </c>
      <c r="E51" s="2" t="inlineStr">
        <is>
          <t>200710</t>
        </is>
      </c>
      <c r="F51" s="2" t="inlineStr">
        <is>
          <t>단일판매공급계약체결</t>
        </is>
      </c>
      <c r="G51" s="4" t="inlineStr">
        <is>
          <t>단일판매ㆍ공급계약체결</t>
        </is>
      </c>
      <c r="H51" s="9" t="inlineStr">
        <is>
          <t>메모리 컨트롤러 IC공급</t>
        </is>
      </c>
      <c r="I51" s="2" t="inlineStr">
        <is>
          <t>2019-05-08</t>
        </is>
      </c>
      <c r="J51" s="2" t="inlineStr">
        <is>
          <t>2019-10-04</t>
        </is>
      </c>
      <c r="K51" s="6" t="n">
        <v>29500396585</v>
      </c>
      <c r="L51" s="2" t="inlineStr">
        <is>
          <t>-</t>
        </is>
      </c>
      <c r="M51" s="11" t="n">
        <v>26.7</v>
      </c>
      <c r="N51" s="9" t="inlineStr">
        <is>
          <t>에스케이하이닉스 주식회사</t>
        </is>
      </c>
      <c r="O51" s="9" t="inlineStr">
        <is>
          <t>국내</t>
        </is>
      </c>
      <c r="P51" s="2" t="inlineStr">
        <is>
          <t>20190509900346</t>
        </is>
      </c>
    </row>
    <row r="52" ht="36" customHeight="1">
      <c r="A52" s="2" t="inlineStr">
        <is>
          <t>2019-04-19</t>
        </is>
      </c>
      <c r="B52" s="3">
        <f>HYPERLINK("https://dart.fss.or.kr/dsaf001/main.do?rcpNo=20190419900685", "공시열람")</f>
        <v/>
      </c>
      <c r="C52" s="4" t="inlineStr">
        <is>
          <t>에이디테크놀로지</t>
        </is>
      </c>
      <c r="D52" s="2" t="inlineStr">
        <is>
          <t>코스닥</t>
        </is>
      </c>
      <c r="E52" s="2" t="inlineStr">
        <is>
          <t>200710</t>
        </is>
      </c>
      <c r="F52" s="2" t="inlineStr">
        <is>
          <t>단일판매공급계약체결</t>
        </is>
      </c>
      <c r="G52" s="4" t="inlineStr">
        <is>
          <t>[기재정정]단일판매ㆍ공급계약체결</t>
        </is>
      </c>
      <c r="H52" s="9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6" t="inlineStr"/>
      <c r="L52" s="2" t="inlineStr">
        <is>
          <t>-</t>
        </is>
      </c>
      <c r="M52" s="4" t="inlineStr"/>
      <c r="N52" s="9" t="inlineStr">
        <is>
          <t>-</t>
        </is>
      </c>
      <c r="O52" s="9" t="inlineStr">
        <is>
          <t>-</t>
        </is>
      </c>
      <c r="P52" s="2" t="inlineStr">
        <is>
          <t>20190419900685</t>
        </is>
      </c>
    </row>
    <row r="53" ht="36" customHeight="1">
      <c r="A53" s="2" t="inlineStr">
        <is>
          <t>2019-04-19</t>
        </is>
      </c>
      <c r="B53" s="3">
        <f>HYPERLINK("https://dart.fss.or.kr/dsaf001/main.do?rcpNo=20190419900696", "공시열람")</f>
        <v/>
      </c>
      <c r="C53" s="4" t="inlineStr">
        <is>
          <t>에이디테크놀로지</t>
        </is>
      </c>
      <c r="D53" s="2" t="inlineStr">
        <is>
          <t>코스닥</t>
        </is>
      </c>
      <c r="E53" s="2" t="inlineStr">
        <is>
          <t>200710</t>
        </is>
      </c>
      <c r="F53" s="2" t="inlineStr">
        <is>
          <t>단일판매공급계약체결</t>
        </is>
      </c>
      <c r="G53" s="4" t="inlineStr">
        <is>
          <t>[기재정정]단일판매ㆍ공급계약체결</t>
        </is>
      </c>
      <c r="H53" s="9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6" t="inlineStr"/>
      <c r="L53" s="2" t="inlineStr">
        <is>
          <t>-</t>
        </is>
      </c>
      <c r="M53" s="4" t="inlineStr"/>
      <c r="N53" s="9" t="inlineStr">
        <is>
          <t>-</t>
        </is>
      </c>
      <c r="O53" s="9" t="inlineStr">
        <is>
          <t>-</t>
        </is>
      </c>
      <c r="P53" s="2" t="inlineStr">
        <is>
          <t>20190419900696</t>
        </is>
      </c>
    </row>
    <row r="54" ht="36" customHeight="1">
      <c r="A54" s="2" t="inlineStr">
        <is>
          <t>2019-04-19</t>
        </is>
      </c>
      <c r="B54" s="3">
        <f>HYPERLINK("https://dart.fss.or.kr/dsaf001/main.do?rcpNo=20190419900692", "공시열람")</f>
        <v/>
      </c>
      <c r="C54" s="4" t="inlineStr">
        <is>
          <t>에이디테크놀로지</t>
        </is>
      </c>
      <c r="D54" s="2" t="inlineStr">
        <is>
          <t>코스닥</t>
        </is>
      </c>
      <c r="E54" s="2" t="inlineStr">
        <is>
          <t>200710</t>
        </is>
      </c>
      <c r="F54" s="2" t="inlineStr">
        <is>
          <t>단일판매공급계약체결</t>
        </is>
      </c>
      <c r="G54" s="4" t="inlineStr">
        <is>
          <t>[기재정정]단일판매ㆍ공급계약체결</t>
        </is>
      </c>
      <c r="H54" s="9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6" t="inlineStr"/>
      <c r="L54" s="2" t="inlineStr">
        <is>
          <t>-</t>
        </is>
      </c>
      <c r="M54" s="4" t="inlineStr"/>
      <c r="N54" s="9" t="inlineStr">
        <is>
          <t>-</t>
        </is>
      </c>
      <c r="O54" s="9" t="inlineStr">
        <is>
          <t>-</t>
        </is>
      </c>
      <c r="P54" s="2" t="inlineStr">
        <is>
          <t>20190419900692</t>
        </is>
      </c>
    </row>
    <row r="55" ht="36" customHeight="1">
      <c r="A55" s="2" t="inlineStr">
        <is>
          <t>2019-04-03</t>
        </is>
      </c>
      <c r="B55" s="3">
        <f>HYPERLINK("https://dart.fss.or.kr/dsaf001/main.do?rcpNo=20190403900442", "공시열람")</f>
        <v/>
      </c>
      <c r="C55" s="4" t="inlineStr">
        <is>
          <t>에이디테크놀로지</t>
        </is>
      </c>
      <c r="D55" s="2" t="inlineStr">
        <is>
          <t>코스닥</t>
        </is>
      </c>
      <c r="E55" s="2" t="inlineStr">
        <is>
          <t>200710</t>
        </is>
      </c>
      <c r="F55" s="2" t="inlineStr">
        <is>
          <t>단일판매공급계약체결</t>
        </is>
      </c>
      <c r="G55" s="4" t="inlineStr">
        <is>
          <t>단일판매ㆍ공급계약체결</t>
        </is>
      </c>
      <c r="H55" s="9" t="inlineStr">
        <is>
          <t>메모리 컨트롤러 IC공급</t>
        </is>
      </c>
      <c r="I55" s="2" t="inlineStr">
        <is>
          <t>2019-04-02</t>
        </is>
      </c>
      <c r="J55" s="2" t="inlineStr">
        <is>
          <t>2019-08-07</t>
        </is>
      </c>
      <c r="K55" s="6" t="n">
        <v>23016016584</v>
      </c>
      <c r="L55" s="2" t="inlineStr">
        <is>
          <t>-</t>
        </is>
      </c>
      <c r="M55" s="11" t="n">
        <v>20.8</v>
      </c>
      <c r="N55" s="9" t="inlineStr">
        <is>
          <t>에스케이하이닉스 주식회사</t>
        </is>
      </c>
      <c r="O55" s="9" t="inlineStr">
        <is>
          <t>국내</t>
        </is>
      </c>
      <c r="P55" s="2" t="inlineStr">
        <is>
          <t>20190403900442</t>
        </is>
      </c>
    </row>
    <row r="56" ht="36" customHeight="1">
      <c r="A56" s="2" t="inlineStr">
        <is>
          <t>2019-03-12</t>
        </is>
      </c>
      <c r="B56" s="3">
        <f>HYPERLINK("https://dart.fss.or.kr/dsaf001/main.do?rcpNo=20190312900938", "공시열람")</f>
        <v/>
      </c>
      <c r="C56" s="4" t="inlineStr">
        <is>
          <t>에이디테크놀로지</t>
        </is>
      </c>
      <c r="D56" s="2" t="inlineStr">
        <is>
          <t>코스닥</t>
        </is>
      </c>
      <c r="E56" s="2" t="inlineStr">
        <is>
          <t>200710</t>
        </is>
      </c>
      <c r="F56" s="2" t="inlineStr">
        <is>
          <t>단일판매공급계약체결</t>
        </is>
      </c>
      <c r="G56" s="4" t="inlineStr">
        <is>
          <t>[기재정정]단일판매ㆍ공급계약체결</t>
        </is>
      </c>
      <c r="H56" s="9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6" t="inlineStr"/>
      <c r="L56" s="2" t="inlineStr">
        <is>
          <t>-</t>
        </is>
      </c>
      <c r="M56" s="4" t="inlineStr"/>
      <c r="N56" s="9" t="inlineStr">
        <is>
          <t>-</t>
        </is>
      </c>
      <c r="O56" s="9" t="inlineStr">
        <is>
          <t>-</t>
        </is>
      </c>
      <c r="P56" s="2" t="inlineStr">
        <is>
          <t>20190312900938</t>
        </is>
      </c>
    </row>
    <row r="57" ht="36" customHeight="1">
      <c r="A57" s="2" t="inlineStr">
        <is>
          <t>2019-03-12</t>
        </is>
      </c>
      <c r="B57" s="3">
        <f>HYPERLINK("https://dart.fss.or.kr/dsaf001/main.do?rcpNo=20190312900927", "공시열람")</f>
        <v/>
      </c>
      <c r="C57" s="4" t="inlineStr">
        <is>
          <t>에이디테크놀로지</t>
        </is>
      </c>
      <c r="D57" s="2" t="inlineStr">
        <is>
          <t>코스닥</t>
        </is>
      </c>
      <c r="E57" s="2" t="inlineStr">
        <is>
          <t>200710</t>
        </is>
      </c>
      <c r="F57" s="2" t="inlineStr">
        <is>
          <t>단일판매공급계약체결</t>
        </is>
      </c>
      <c r="G57" s="4" t="inlineStr">
        <is>
          <t>[기재정정]단일판매ㆍ공급계약체결</t>
        </is>
      </c>
      <c r="H57" s="9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6" t="inlineStr"/>
      <c r="L57" s="2" t="inlineStr">
        <is>
          <t>-</t>
        </is>
      </c>
      <c r="M57" s="4" t="inlineStr"/>
      <c r="N57" s="9" t="inlineStr">
        <is>
          <t>-</t>
        </is>
      </c>
      <c r="O57" s="9" t="inlineStr">
        <is>
          <t>-</t>
        </is>
      </c>
      <c r="P57" s="2" t="inlineStr">
        <is>
          <t>20190312900927</t>
        </is>
      </c>
    </row>
    <row r="58" ht="36" customHeight="1">
      <c r="A58" s="2" t="inlineStr">
        <is>
          <t>2019-03-11</t>
        </is>
      </c>
      <c r="B58" s="3">
        <f>HYPERLINK("https://dart.fss.or.kr/dsaf001/main.do?rcpNo=20190311900158", "공시열람")</f>
        <v/>
      </c>
      <c r="C58" s="4" t="inlineStr">
        <is>
          <t>에이디테크놀로지</t>
        </is>
      </c>
      <c r="D58" s="2" t="inlineStr">
        <is>
          <t>코스닥</t>
        </is>
      </c>
      <c r="E58" s="2" t="inlineStr">
        <is>
          <t>200710</t>
        </is>
      </c>
      <c r="F58" s="2" t="inlineStr">
        <is>
          <t>단일판매공급계약체결</t>
        </is>
      </c>
      <c r="G58" s="4" t="inlineStr">
        <is>
          <t>단일판매ㆍ공급계약체결</t>
        </is>
      </c>
      <c r="H58" s="9" t="inlineStr">
        <is>
          <t>메모리 컨트롤러 IC공급</t>
        </is>
      </c>
      <c r="I58" s="2" t="inlineStr">
        <is>
          <t>2019-03-08</t>
        </is>
      </c>
      <c r="J58" s="2" t="inlineStr">
        <is>
          <t>2019-07-09</t>
        </is>
      </c>
      <c r="K58" s="6" t="n">
        <v>19788576720</v>
      </c>
      <c r="L58" s="2" t="inlineStr">
        <is>
          <t>-</t>
        </is>
      </c>
      <c r="M58" s="11" t="n">
        <v>61.4</v>
      </c>
      <c r="N58" s="9" t="inlineStr">
        <is>
          <t>에스케이하이닉스 주식회사</t>
        </is>
      </c>
      <c r="O58" s="9" t="inlineStr">
        <is>
          <t>국내</t>
        </is>
      </c>
      <c r="P58" s="2" t="inlineStr">
        <is>
          <t>20190311900158</t>
        </is>
      </c>
    </row>
    <row r="59" ht="36" customHeight="1">
      <c r="A59" s="2" t="inlineStr">
        <is>
          <t>2019-03-06</t>
        </is>
      </c>
      <c r="B59" s="3">
        <f>HYPERLINK("https://dart.fss.or.kr/dsaf001/main.do?rcpNo=20190306900108", "공시열람")</f>
        <v/>
      </c>
      <c r="C59" s="4" t="inlineStr">
        <is>
          <t>에이디테크놀로지</t>
        </is>
      </c>
      <c r="D59" s="2" t="inlineStr">
        <is>
          <t>코스닥</t>
        </is>
      </c>
      <c r="E59" s="2" t="inlineStr">
        <is>
          <t>200710</t>
        </is>
      </c>
      <c r="F59" s="2" t="inlineStr">
        <is>
          <t>단일판매공급계약체결</t>
        </is>
      </c>
      <c r="G59" s="4" t="inlineStr">
        <is>
          <t>단일판매ㆍ공급계약체결</t>
        </is>
      </c>
      <c r="H59" s="9" t="inlineStr">
        <is>
          <t>메모리 컨트롤러 IC공급</t>
        </is>
      </c>
      <c r="I59" s="2" t="inlineStr">
        <is>
          <t>2019-03-05</t>
        </is>
      </c>
      <c r="J59" s="2" t="inlineStr">
        <is>
          <t>2019-07-03</t>
        </is>
      </c>
      <c r="K59" s="6" t="n">
        <v>4383680625</v>
      </c>
      <c r="L59" s="2" t="inlineStr">
        <is>
          <t>-</t>
        </is>
      </c>
      <c r="M59" s="11" t="n">
        <v>13.6</v>
      </c>
      <c r="N59" s="9" t="inlineStr">
        <is>
          <t>에스케이하이닉스 주식회사</t>
        </is>
      </c>
      <c r="O59" s="9" t="inlineStr">
        <is>
          <t>국내</t>
        </is>
      </c>
      <c r="P59" s="2" t="inlineStr">
        <is>
          <t>20190306900108</t>
        </is>
      </c>
    </row>
    <row r="60" ht="36" customHeight="1">
      <c r="A60" s="2" t="inlineStr">
        <is>
          <t>2019-02-21</t>
        </is>
      </c>
      <c r="B60" s="3">
        <f>HYPERLINK("https://dart.fss.or.kr/dsaf001/main.do?rcpNo=20190221900096", "공시열람")</f>
        <v/>
      </c>
      <c r="C60" s="4" t="inlineStr">
        <is>
          <t>에이디테크놀로지</t>
        </is>
      </c>
      <c r="D60" s="2" t="inlineStr">
        <is>
          <t>코스닥</t>
        </is>
      </c>
      <c r="E60" s="2" t="inlineStr">
        <is>
          <t>200710</t>
        </is>
      </c>
      <c r="F60" s="2" t="inlineStr">
        <is>
          <t>단일판매공급계약체결</t>
        </is>
      </c>
      <c r="G60" s="4" t="inlineStr">
        <is>
          <t>단일판매ㆍ공급계약체결</t>
        </is>
      </c>
      <c r="H60" s="9" t="inlineStr">
        <is>
          <t>메모리 컨트롤러 IC공급</t>
        </is>
      </c>
      <c r="I60" s="2" t="inlineStr">
        <is>
          <t>2019-02-20</t>
        </is>
      </c>
      <c r="J60" s="2" t="inlineStr">
        <is>
          <t>2019-05-10</t>
        </is>
      </c>
      <c r="K60" s="6" t="n">
        <v>7087465000</v>
      </c>
      <c r="L60" s="2" t="inlineStr">
        <is>
          <t>-</t>
        </is>
      </c>
      <c r="M60" s="11" t="n">
        <v>22</v>
      </c>
      <c r="N60" s="9" t="inlineStr">
        <is>
          <t>에스케이하이닉스 주식회사</t>
        </is>
      </c>
      <c r="O60" s="9" t="inlineStr">
        <is>
          <t>국내</t>
        </is>
      </c>
      <c r="P60" s="2" t="inlineStr">
        <is>
          <t>20190221900096</t>
        </is>
      </c>
    </row>
    <row r="61" ht="36" customHeight="1">
      <c r="A61" s="2" t="inlineStr">
        <is>
          <t>2019-02-20</t>
        </is>
      </c>
      <c r="B61" s="3">
        <f>HYPERLINK("https://dart.fss.or.kr/dsaf001/main.do?rcpNo=20190220900087", "공시열람")</f>
        <v/>
      </c>
      <c r="C61" s="4" t="inlineStr">
        <is>
          <t>에이디테크놀로지</t>
        </is>
      </c>
      <c r="D61" s="2" t="inlineStr">
        <is>
          <t>코스닥</t>
        </is>
      </c>
      <c r="E61" s="2" t="inlineStr">
        <is>
          <t>200710</t>
        </is>
      </c>
      <c r="F61" s="2" t="inlineStr">
        <is>
          <t>단일판매공급계약체결</t>
        </is>
      </c>
      <c r="G61" s="4" t="inlineStr">
        <is>
          <t>단일판매ㆍ공급계약체결</t>
        </is>
      </c>
      <c r="H61" s="9" t="inlineStr">
        <is>
          <t>메모리 컨트롤러 IC공급</t>
        </is>
      </c>
      <c r="I61" s="2" t="inlineStr">
        <is>
          <t>2019-02-19</t>
        </is>
      </c>
      <c r="J61" s="2" t="inlineStr">
        <is>
          <t>2019-04-19</t>
        </is>
      </c>
      <c r="K61" s="6" t="n">
        <v>6841943745</v>
      </c>
      <c r="L61" s="2" t="inlineStr">
        <is>
          <t>-</t>
        </is>
      </c>
      <c r="M61" s="11" t="n">
        <v>21.2</v>
      </c>
      <c r="N61" s="9" t="inlineStr">
        <is>
          <t>에스케이하이닉스 주식회사</t>
        </is>
      </c>
      <c r="O61" s="9" t="inlineStr">
        <is>
          <t>국내</t>
        </is>
      </c>
      <c r="P61" s="2" t="inlineStr">
        <is>
          <t>20190220900087</t>
        </is>
      </c>
    </row>
    <row r="62" ht="36" customHeight="1">
      <c r="A62" s="2" t="inlineStr">
        <is>
          <t>2019-02-15</t>
        </is>
      </c>
      <c r="B62" s="3">
        <f>HYPERLINK("https://dart.fss.or.kr/dsaf001/main.do?rcpNo=20190215900515", "공시열람")</f>
        <v/>
      </c>
      <c r="C62" s="4" t="inlineStr">
        <is>
          <t>에이디테크놀로지</t>
        </is>
      </c>
      <c r="D62" s="2" t="inlineStr">
        <is>
          <t>코스닥</t>
        </is>
      </c>
      <c r="E62" s="2" t="inlineStr">
        <is>
          <t>200710</t>
        </is>
      </c>
      <c r="F62" s="2" t="inlineStr">
        <is>
          <t>단일판매공급계약체결</t>
        </is>
      </c>
      <c r="G62" s="4" t="inlineStr">
        <is>
          <t>단일판매ㆍ공급계약체결</t>
        </is>
      </c>
      <c r="H62" s="9" t="inlineStr">
        <is>
          <t>메모리 컨트롤러 IC공급</t>
        </is>
      </c>
      <c r="I62" s="2" t="inlineStr">
        <is>
          <t>2019-02-14</t>
        </is>
      </c>
      <c r="J62" s="2" t="inlineStr">
        <is>
          <t>2019-07-11</t>
        </is>
      </c>
      <c r="K62" s="6" t="n">
        <v>14565296934</v>
      </c>
      <c r="L62" s="2" t="inlineStr">
        <is>
          <t>-</t>
        </is>
      </c>
      <c r="M62" s="11" t="n">
        <v>45.2</v>
      </c>
      <c r="N62" s="9" t="inlineStr">
        <is>
          <t>에스케이하이닉스 주식회사</t>
        </is>
      </c>
      <c r="O62" s="9" t="inlineStr">
        <is>
          <t>국내</t>
        </is>
      </c>
      <c r="P62" s="2" t="inlineStr">
        <is>
          <t>20190215900515</t>
        </is>
      </c>
    </row>
    <row r="63" ht="36" customHeight="1">
      <c r="A63" s="2" t="inlineStr">
        <is>
          <t>2019-01-30</t>
        </is>
      </c>
      <c r="B63" s="3">
        <f>HYPERLINK("https://dart.fss.or.kr/dsaf001/main.do?rcpNo=20190130900497", "공시열람")</f>
        <v/>
      </c>
      <c r="C63" s="4" t="inlineStr">
        <is>
          <t>에이디테크놀로지</t>
        </is>
      </c>
      <c r="D63" s="2" t="inlineStr">
        <is>
          <t>코스닥</t>
        </is>
      </c>
      <c r="E63" s="2" t="inlineStr">
        <is>
          <t>200710</t>
        </is>
      </c>
      <c r="F63" s="2" t="inlineStr">
        <is>
          <t>단일판매공급계약체결</t>
        </is>
      </c>
      <c r="G63" s="4" t="inlineStr">
        <is>
          <t>[기재정정]단일판매ㆍ공급계약체결</t>
        </is>
      </c>
      <c r="H63" s="9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6" t="inlineStr"/>
      <c r="L63" s="2" t="inlineStr">
        <is>
          <t>-</t>
        </is>
      </c>
      <c r="M63" s="4" t="inlineStr"/>
      <c r="N63" s="9" t="inlineStr">
        <is>
          <t>-</t>
        </is>
      </c>
      <c r="O63" s="9" t="inlineStr">
        <is>
          <t>-</t>
        </is>
      </c>
      <c r="P63" s="2" t="inlineStr">
        <is>
          <t>20190130900497</t>
        </is>
      </c>
    </row>
    <row r="64" ht="36" customHeight="1">
      <c r="A64" s="2" t="inlineStr">
        <is>
          <t>2019-01-15</t>
        </is>
      </c>
      <c r="B64" s="3">
        <f>HYPERLINK("https://dart.fss.or.kr/dsaf001/main.do?rcpNo=20190115900331", "공시열람")</f>
        <v/>
      </c>
      <c r="C64" s="4" t="inlineStr">
        <is>
          <t>에이디테크놀로지</t>
        </is>
      </c>
      <c r="D64" s="2" t="inlineStr">
        <is>
          <t>코스닥</t>
        </is>
      </c>
      <c r="E64" s="2" t="inlineStr">
        <is>
          <t>200710</t>
        </is>
      </c>
      <c r="F64" s="2" t="inlineStr">
        <is>
          <t>단일판매공급계약체결</t>
        </is>
      </c>
      <c r="G64" s="4" t="inlineStr">
        <is>
          <t>단일판매ㆍ공급계약체결</t>
        </is>
      </c>
      <c r="H64" s="9" t="inlineStr">
        <is>
          <t>메모리 컨트롤러 IC공급</t>
        </is>
      </c>
      <c r="I64" s="2" t="inlineStr">
        <is>
          <t>2019-01-15</t>
        </is>
      </c>
      <c r="J64" s="2" t="inlineStr">
        <is>
          <t>2019-05-15</t>
        </is>
      </c>
      <c r="K64" s="6" t="n">
        <v>15719947803</v>
      </c>
      <c r="L64" s="2" t="inlineStr">
        <is>
          <t>-</t>
        </is>
      </c>
      <c r="M64" s="11" t="n">
        <v>48.8</v>
      </c>
      <c r="N64" s="9" t="inlineStr">
        <is>
          <t>에스케이하이닉스 주식회사</t>
        </is>
      </c>
      <c r="O64" s="9" t="inlineStr">
        <is>
          <t>국내</t>
        </is>
      </c>
      <c r="P64" s="2" t="inlineStr">
        <is>
          <t>20190115900331</t>
        </is>
      </c>
    </row>
    <row r="65" ht="36" customHeight="1">
      <c r="A65" s="2" t="inlineStr">
        <is>
          <t>2018-12-21</t>
        </is>
      </c>
      <c r="B65" s="3">
        <f>HYPERLINK("https://dart.fss.or.kr/dsaf001/main.do?rcpNo=20181221900324", "공시열람")</f>
        <v/>
      </c>
      <c r="C65" s="4" t="inlineStr">
        <is>
          <t>에이디테크놀로지</t>
        </is>
      </c>
      <c r="D65" s="2" t="inlineStr">
        <is>
          <t>코스닥</t>
        </is>
      </c>
      <c r="E65" s="2" t="inlineStr">
        <is>
          <t>200710</t>
        </is>
      </c>
      <c r="F65" s="2" t="inlineStr">
        <is>
          <t>단일판매공급계약체결</t>
        </is>
      </c>
      <c r="G65" s="4" t="inlineStr">
        <is>
          <t>[기재정정]단일판매ㆍ공급계약체결</t>
        </is>
      </c>
      <c r="H65" s="9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6" t="inlineStr"/>
      <c r="L65" s="2" t="inlineStr">
        <is>
          <t>-</t>
        </is>
      </c>
      <c r="M65" s="4" t="inlineStr"/>
      <c r="N65" s="9" t="inlineStr">
        <is>
          <t>-</t>
        </is>
      </c>
      <c r="O65" s="9" t="inlineStr">
        <is>
          <t>-</t>
        </is>
      </c>
      <c r="P65" s="2" t="inlineStr">
        <is>
          <t>20181221900324</t>
        </is>
      </c>
    </row>
    <row r="66" ht="36" customHeight="1">
      <c r="A66" s="2" t="inlineStr">
        <is>
          <t>2018-12-11</t>
        </is>
      </c>
      <c r="B66" s="3">
        <f>HYPERLINK("https://dart.fss.or.kr/dsaf001/main.do?rcpNo=20181211900333", "공시열람")</f>
        <v/>
      </c>
      <c r="C66" s="4" t="inlineStr">
        <is>
          <t>에이디테크놀로지</t>
        </is>
      </c>
      <c r="D66" s="2" t="inlineStr">
        <is>
          <t>코스닥</t>
        </is>
      </c>
      <c r="E66" s="2" t="inlineStr">
        <is>
          <t>200710</t>
        </is>
      </c>
      <c r="F66" s="2" t="inlineStr">
        <is>
          <t>단일판매공급계약체결</t>
        </is>
      </c>
      <c r="G66" s="4" t="inlineStr">
        <is>
          <t>단일판매ㆍ공급계약체결</t>
        </is>
      </c>
      <c r="H66" s="9" t="inlineStr">
        <is>
          <t>메모리 컨트롤러 IC공급</t>
        </is>
      </c>
      <c r="I66" s="2" t="inlineStr">
        <is>
          <t>2018-12-10</t>
        </is>
      </c>
      <c r="J66" s="2" t="inlineStr">
        <is>
          <t>2019-04-19</t>
        </is>
      </c>
      <c r="K66" s="6" t="n">
        <v>6802401970</v>
      </c>
      <c r="L66" s="2" t="inlineStr">
        <is>
          <t>-</t>
        </is>
      </c>
      <c r="M66" s="11" t="n">
        <v>21.1</v>
      </c>
      <c r="N66" s="9" t="inlineStr">
        <is>
          <t>에스케이하이닉스 주식회사</t>
        </is>
      </c>
      <c r="O66" s="9" t="inlineStr">
        <is>
          <t>국내</t>
        </is>
      </c>
      <c r="P66" s="2" t="inlineStr">
        <is>
          <t>20181211900333</t>
        </is>
      </c>
    </row>
    <row r="67" ht="36" customHeight="1">
      <c r="A67" s="2" t="inlineStr">
        <is>
          <t>2018-11-15</t>
        </is>
      </c>
      <c r="B67" s="3">
        <f>HYPERLINK("https://dart.fss.or.kr/dsaf001/main.do?rcpNo=20181115900265", "공시열람")</f>
        <v/>
      </c>
      <c r="C67" s="4" t="inlineStr">
        <is>
          <t>에이디테크놀로지</t>
        </is>
      </c>
      <c r="D67" s="2" t="inlineStr">
        <is>
          <t>코스닥</t>
        </is>
      </c>
      <c r="E67" s="2" t="inlineStr">
        <is>
          <t>200710</t>
        </is>
      </c>
      <c r="F67" s="2" t="inlineStr">
        <is>
          <t>단일판매공급계약체결</t>
        </is>
      </c>
      <c r="G67" s="4" t="inlineStr">
        <is>
          <t>단일판매ㆍ공급계약체결</t>
        </is>
      </c>
      <c r="H67" s="9" t="inlineStr">
        <is>
          <t>메모리 컨트롤러 IC공급</t>
        </is>
      </c>
      <c r="I67" s="2" t="inlineStr">
        <is>
          <t>2018-11-15</t>
        </is>
      </c>
      <c r="J67" s="2" t="inlineStr">
        <is>
          <t>2019-03-14</t>
        </is>
      </c>
      <c r="K67" s="6" t="n">
        <v>3414072760</v>
      </c>
      <c r="L67" s="2" t="inlineStr">
        <is>
          <t>-</t>
        </is>
      </c>
      <c r="M67" s="11" t="n">
        <v>10.6</v>
      </c>
      <c r="N67" s="9" t="inlineStr">
        <is>
          <t>에스케이하이닉스 주식회사</t>
        </is>
      </c>
      <c r="O67" s="9" t="inlineStr">
        <is>
          <t>국내</t>
        </is>
      </c>
      <c r="P67" s="2" t="inlineStr">
        <is>
          <t>20181115900265</t>
        </is>
      </c>
    </row>
    <row r="68" ht="36" customHeight="1">
      <c r="A68" s="2" t="inlineStr">
        <is>
          <t>2018-11-14</t>
        </is>
      </c>
      <c r="B68" s="3">
        <f>HYPERLINK("https://dart.fss.or.kr/dsaf001/main.do?rcpNo=20181114900666", "공시열람")</f>
        <v/>
      </c>
      <c r="C68" s="4" t="inlineStr">
        <is>
          <t>에이디테크놀로지</t>
        </is>
      </c>
      <c r="D68" s="2" t="inlineStr">
        <is>
          <t>코스닥</t>
        </is>
      </c>
      <c r="E68" s="2" t="inlineStr">
        <is>
          <t>200710</t>
        </is>
      </c>
      <c r="F68" s="2" t="inlineStr">
        <is>
          <t>단일판매공급계약체결</t>
        </is>
      </c>
      <c r="G68" s="4" t="inlineStr">
        <is>
          <t>단일판매ㆍ공급계약체결</t>
        </is>
      </c>
      <c r="H68" s="9" t="inlineStr">
        <is>
          <t>메모리 컨트롤러 IC공급</t>
        </is>
      </c>
      <c r="I68" s="2" t="inlineStr">
        <is>
          <t>2018-11-14</t>
        </is>
      </c>
      <c r="J68" s="2" t="inlineStr">
        <is>
          <t>2019-03-13</t>
        </is>
      </c>
      <c r="K68" s="6" t="n">
        <v>10451801672</v>
      </c>
      <c r="L68" s="2" t="inlineStr">
        <is>
          <t>-</t>
        </is>
      </c>
      <c r="M68" s="11" t="n">
        <v>32.4</v>
      </c>
      <c r="N68" s="9" t="inlineStr">
        <is>
          <t>에스케이하이닉스 주식회사</t>
        </is>
      </c>
      <c r="O68" s="9" t="inlineStr">
        <is>
          <t>국내</t>
        </is>
      </c>
      <c r="P68" s="2" t="inlineStr">
        <is>
          <t>20181114900666</t>
        </is>
      </c>
    </row>
    <row r="69" ht="36" customHeight="1">
      <c r="A69" s="2" t="inlineStr">
        <is>
          <t>2018-10-30</t>
        </is>
      </c>
      <c r="B69" s="3">
        <f>HYPERLINK("https://dart.fss.or.kr/dsaf001/main.do?rcpNo=20181030900161", "공시열람")</f>
        <v/>
      </c>
      <c r="C69" s="4" t="inlineStr">
        <is>
          <t>에이디테크놀로지</t>
        </is>
      </c>
      <c r="D69" s="2" t="inlineStr">
        <is>
          <t>코스닥</t>
        </is>
      </c>
      <c r="E69" s="2" t="inlineStr">
        <is>
          <t>200710</t>
        </is>
      </c>
      <c r="F69" s="2" t="inlineStr">
        <is>
          <t>단일판매공급계약체결</t>
        </is>
      </c>
      <c r="G69" s="4" t="inlineStr">
        <is>
          <t>[기재정정]단일판매ㆍ공급계약체결</t>
        </is>
      </c>
      <c r="H69" s="9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6" t="inlineStr"/>
      <c r="L69" s="2" t="inlineStr">
        <is>
          <t>-</t>
        </is>
      </c>
      <c r="M69" s="4" t="inlineStr"/>
      <c r="N69" s="9" t="inlineStr">
        <is>
          <t>-</t>
        </is>
      </c>
      <c r="O69" s="9" t="inlineStr">
        <is>
          <t>-</t>
        </is>
      </c>
      <c r="P69" s="2" t="inlineStr">
        <is>
          <t>20181030900161</t>
        </is>
      </c>
    </row>
    <row r="70" ht="36" customHeight="1">
      <c r="A70" s="2" t="inlineStr">
        <is>
          <t>2018-10-30</t>
        </is>
      </c>
      <c r="B70" s="3">
        <f>HYPERLINK("https://dart.fss.or.kr/dsaf001/main.do?rcpNo=20181030900747", "공시열람")</f>
        <v/>
      </c>
      <c r="C70" s="4" t="inlineStr">
        <is>
          <t>에이디테크놀로지</t>
        </is>
      </c>
      <c r="D70" s="2" t="inlineStr">
        <is>
          <t>코스닥</t>
        </is>
      </c>
      <c r="E70" s="2" t="inlineStr">
        <is>
          <t>200710</t>
        </is>
      </c>
      <c r="F70" s="2" t="inlineStr">
        <is>
          <t>단일판매공급계약체결</t>
        </is>
      </c>
      <c r="G70" s="4" t="inlineStr">
        <is>
          <t>[기재정정]단일판매ㆍ공급계약체결</t>
        </is>
      </c>
      <c r="H70" s="9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6" t="inlineStr"/>
      <c r="L70" s="2" t="inlineStr">
        <is>
          <t>-</t>
        </is>
      </c>
      <c r="M70" s="4" t="inlineStr"/>
      <c r="N70" s="9" t="inlineStr">
        <is>
          <t>-</t>
        </is>
      </c>
      <c r="O70" s="9" t="inlineStr">
        <is>
          <t>-</t>
        </is>
      </c>
      <c r="P70" s="2" t="inlineStr">
        <is>
          <t>20181030900747</t>
        </is>
      </c>
    </row>
    <row r="71" ht="36" customHeight="1">
      <c r="A71" s="2" t="inlineStr">
        <is>
          <t>2018-10-12</t>
        </is>
      </c>
      <c r="B71" s="3">
        <f>HYPERLINK("https://dart.fss.or.kr/dsaf001/main.do?rcpNo=20181012900452", "공시열람")</f>
        <v/>
      </c>
      <c r="C71" s="4" t="inlineStr">
        <is>
          <t>에이디테크놀로지</t>
        </is>
      </c>
      <c r="D71" s="2" t="inlineStr">
        <is>
          <t>코스닥</t>
        </is>
      </c>
      <c r="E71" s="2" t="inlineStr">
        <is>
          <t>200710</t>
        </is>
      </c>
      <c r="F71" s="2" t="inlineStr">
        <is>
          <t>단일판매공급계약체결</t>
        </is>
      </c>
      <c r="G71" s="4" t="inlineStr">
        <is>
          <t>[기재정정]단일판매ㆍ공급계약체결</t>
        </is>
      </c>
      <c r="H71" s="9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6" t="inlineStr"/>
      <c r="L71" s="2" t="inlineStr">
        <is>
          <t>-</t>
        </is>
      </c>
      <c r="M71" s="4" t="inlineStr"/>
      <c r="N71" s="9" t="inlineStr">
        <is>
          <t>-</t>
        </is>
      </c>
      <c r="O71" s="9" t="inlineStr">
        <is>
          <t>-</t>
        </is>
      </c>
      <c r="P71" s="2" t="inlineStr">
        <is>
          <t>20181012900452</t>
        </is>
      </c>
    </row>
    <row r="72" ht="36" customHeight="1">
      <c r="A72" s="2" t="inlineStr">
        <is>
          <t>2018-10-12</t>
        </is>
      </c>
      <c r="B72" s="3">
        <f>HYPERLINK("https://dart.fss.or.kr/dsaf001/main.do?rcpNo=20181012900457", "공시열람")</f>
        <v/>
      </c>
      <c r="C72" s="4" t="inlineStr">
        <is>
          <t>에이디테크놀로지</t>
        </is>
      </c>
      <c r="D72" s="2" t="inlineStr">
        <is>
          <t>코스닥</t>
        </is>
      </c>
      <c r="E72" s="2" t="inlineStr">
        <is>
          <t>200710</t>
        </is>
      </c>
      <c r="F72" s="2" t="inlineStr">
        <is>
          <t>단일판매공급계약체결</t>
        </is>
      </c>
      <c r="G72" s="4" t="inlineStr">
        <is>
          <t>[기재정정]단일판매ㆍ공급계약체결</t>
        </is>
      </c>
      <c r="H72" s="9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6" t="inlineStr"/>
      <c r="L72" s="2" t="inlineStr">
        <is>
          <t>-</t>
        </is>
      </c>
      <c r="M72" s="4" t="inlineStr"/>
      <c r="N72" s="9" t="inlineStr">
        <is>
          <t>-</t>
        </is>
      </c>
      <c r="O72" s="9" t="inlineStr">
        <is>
          <t>-</t>
        </is>
      </c>
      <c r="P72" s="2" t="inlineStr">
        <is>
          <t>20181012900457</t>
        </is>
      </c>
    </row>
    <row r="73" ht="36" customHeight="1">
      <c r="A73" s="2" t="inlineStr">
        <is>
          <t>2018-10-12</t>
        </is>
      </c>
      <c r="B73" s="3">
        <f>HYPERLINK("https://dart.fss.or.kr/dsaf001/main.do?rcpNo=20181012900459", "공시열람")</f>
        <v/>
      </c>
      <c r="C73" s="4" t="inlineStr">
        <is>
          <t>에이디테크놀로지</t>
        </is>
      </c>
      <c r="D73" s="2" t="inlineStr">
        <is>
          <t>코스닥</t>
        </is>
      </c>
      <c r="E73" s="2" t="inlineStr">
        <is>
          <t>200710</t>
        </is>
      </c>
      <c r="F73" s="2" t="inlineStr">
        <is>
          <t>단일판매공급계약체결</t>
        </is>
      </c>
      <c r="G73" s="4" t="inlineStr">
        <is>
          <t>[기재정정]단일판매ㆍ공급계약체결</t>
        </is>
      </c>
      <c r="H73" s="9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6" t="inlineStr"/>
      <c r="L73" s="2" t="inlineStr">
        <is>
          <t>-</t>
        </is>
      </c>
      <c r="M73" s="4" t="inlineStr"/>
      <c r="N73" s="9" t="inlineStr">
        <is>
          <t>-</t>
        </is>
      </c>
      <c r="O73" s="9" t="inlineStr">
        <is>
          <t>-</t>
        </is>
      </c>
      <c r="P73" s="2" t="inlineStr">
        <is>
          <t>20181012900459</t>
        </is>
      </c>
    </row>
    <row r="74" ht="36" customHeight="1">
      <c r="A74" s="2" t="inlineStr">
        <is>
          <t>2018-10-10</t>
        </is>
      </c>
      <c r="B74" s="3">
        <f>HYPERLINK("https://dart.fss.or.kr/dsaf001/main.do?rcpNo=20181010900534", "공시열람")</f>
        <v/>
      </c>
      <c r="C74" s="4" t="inlineStr">
        <is>
          <t>에이디테크놀로지</t>
        </is>
      </c>
      <c r="D74" s="2" t="inlineStr">
        <is>
          <t>코스닥</t>
        </is>
      </c>
      <c r="E74" s="2" t="inlineStr">
        <is>
          <t>200710</t>
        </is>
      </c>
      <c r="F74" s="2" t="inlineStr">
        <is>
          <t>단일판매공급계약체결</t>
        </is>
      </c>
      <c r="G74" s="4" t="inlineStr">
        <is>
          <t>단일판매ㆍ공급계약체결</t>
        </is>
      </c>
      <c r="H74" s="9" t="inlineStr">
        <is>
          <t>메모리 컨트롤러 IC공급</t>
        </is>
      </c>
      <c r="I74" s="2" t="inlineStr">
        <is>
          <t>2018-10-08</t>
        </is>
      </c>
      <c r="J74" s="2" t="inlineStr">
        <is>
          <t>2019-02-05</t>
        </is>
      </c>
      <c r="K74" s="6" t="n">
        <v>10154754512</v>
      </c>
      <c r="L74" s="2" t="inlineStr">
        <is>
          <t>-</t>
        </is>
      </c>
      <c r="M74" s="11" t="n">
        <v>31.5</v>
      </c>
      <c r="N74" s="9" t="inlineStr">
        <is>
          <t>에스케이하이닉스 주식회사</t>
        </is>
      </c>
      <c r="O74" s="9" t="inlineStr">
        <is>
          <t>국내</t>
        </is>
      </c>
      <c r="P74" s="2" t="inlineStr">
        <is>
          <t>20181010900534</t>
        </is>
      </c>
    </row>
    <row r="75" ht="36" customHeight="1">
      <c r="A75" s="2" t="inlineStr">
        <is>
          <t>2018-09-27</t>
        </is>
      </c>
      <c r="B75" s="3">
        <f>HYPERLINK("https://dart.fss.or.kr/dsaf001/main.do?rcpNo=20180927900293", "공시열람")</f>
        <v/>
      </c>
      <c r="C75" s="4" t="inlineStr">
        <is>
          <t>에이디테크놀로지</t>
        </is>
      </c>
      <c r="D75" s="2" t="inlineStr">
        <is>
          <t>코스닥</t>
        </is>
      </c>
      <c r="E75" s="2" t="inlineStr">
        <is>
          <t>200710</t>
        </is>
      </c>
      <c r="F75" s="2" t="inlineStr">
        <is>
          <t>단일판매공급계약체결</t>
        </is>
      </c>
      <c r="G75" s="4" t="inlineStr">
        <is>
          <t>[기재정정]단일판매ㆍ공급계약체결</t>
        </is>
      </c>
      <c r="H75" s="9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6" t="inlineStr"/>
      <c r="L75" s="2" t="inlineStr">
        <is>
          <t>-</t>
        </is>
      </c>
      <c r="M75" s="4" t="inlineStr"/>
      <c r="N75" s="9" t="inlineStr">
        <is>
          <t>-</t>
        </is>
      </c>
      <c r="O75" s="9" t="inlineStr">
        <is>
          <t>-</t>
        </is>
      </c>
      <c r="P75" s="2" t="inlineStr">
        <is>
          <t>20180927900293</t>
        </is>
      </c>
    </row>
    <row r="76" ht="36" customHeight="1">
      <c r="A76" s="2" t="inlineStr">
        <is>
          <t>2018-09-03</t>
        </is>
      </c>
      <c r="B76" s="3">
        <f>HYPERLINK("https://dart.fss.or.kr/dsaf001/main.do?rcpNo=20180903900527", "공시열람")</f>
        <v/>
      </c>
      <c r="C76" s="4" t="inlineStr">
        <is>
          <t>에이디테크놀로지</t>
        </is>
      </c>
      <c r="D76" s="2" t="inlineStr">
        <is>
          <t>코스닥</t>
        </is>
      </c>
      <c r="E76" s="2" t="inlineStr">
        <is>
          <t>200710</t>
        </is>
      </c>
      <c r="F76" s="2" t="inlineStr">
        <is>
          <t>단일판매공급계약체결</t>
        </is>
      </c>
      <c r="G76" s="4" t="inlineStr">
        <is>
          <t>[기재정정]단일판매ㆍ공급계약체결</t>
        </is>
      </c>
      <c r="H76" s="9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6" t="inlineStr"/>
      <c r="L76" s="2" t="inlineStr">
        <is>
          <t>-</t>
        </is>
      </c>
      <c r="M76" s="4" t="inlineStr"/>
      <c r="N76" s="9" t="inlineStr">
        <is>
          <t>-</t>
        </is>
      </c>
      <c r="O76" s="9" t="inlineStr">
        <is>
          <t>-</t>
        </is>
      </c>
      <c r="P76" s="2" t="inlineStr">
        <is>
          <t>20180903900527</t>
        </is>
      </c>
    </row>
    <row r="77" ht="36" customHeight="1">
      <c r="A77" s="2" t="inlineStr">
        <is>
          <t>2018-08-31</t>
        </is>
      </c>
      <c r="B77" s="3">
        <f>HYPERLINK("https://dart.fss.or.kr/dsaf001/main.do?rcpNo=20180831900170", "공시열람")</f>
        <v/>
      </c>
      <c r="C77" s="4" t="inlineStr">
        <is>
          <t>에이디테크놀로지</t>
        </is>
      </c>
      <c r="D77" s="2" t="inlineStr">
        <is>
          <t>코스닥</t>
        </is>
      </c>
      <c r="E77" s="2" t="inlineStr">
        <is>
          <t>200710</t>
        </is>
      </c>
      <c r="F77" s="2" t="inlineStr">
        <is>
          <t>단일판매공급계약체결</t>
        </is>
      </c>
      <c r="G77" s="4" t="inlineStr">
        <is>
          <t>단일판매ㆍ공급계약체결</t>
        </is>
      </c>
      <c r="H77" s="9" t="inlineStr">
        <is>
          <t>메모리 컨트롤러 IC공급</t>
        </is>
      </c>
      <c r="I77" s="2" t="inlineStr">
        <is>
          <t>2018-08-30</t>
        </is>
      </c>
      <c r="J77" s="2" t="inlineStr">
        <is>
          <t>2018-12-27</t>
        </is>
      </c>
      <c r="K77" s="6" t="n">
        <v>5959578240</v>
      </c>
      <c r="L77" s="2" t="inlineStr">
        <is>
          <t>-</t>
        </is>
      </c>
      <c r="M77" s="11" t="n">
        <v>18.5</v>
      </c>
      <c r="N77" s="9" t="inlineStr">
        <is>
          <t>에스케이하이닉스 주식회사</t>
        </is>
      </c>
      <c r="O77" s="9" t="inlineStr">
        <is>
          <t>국내</t>
        </is>
      </c>
      <c r="P77" s="2" t="inlineStr">
        <is>
          <t>20180831900170</t>
        </is>
      </c>
    </row>
    <row r="78" ht="36" customHeight="1">
      <c r="A78" s="2" t="inlineStr">
        <is>
          <t>2018-07-31</t>
        </is>
      </c>
      <c r="B78" s="3">
        <f>HYPERLINK("https://dart.fss.or.kr/dsaf001/main.do?rcpNo=20180731900325", "공시열람")</f>
        <v/>
      </c>
      <c r="C78" s="4" t="inlineStr">
        <is>
          <t>에이디테크놀로지</t>
        </is>
      </c>
      <c r="D78" s="2" t="inlineStr">
        <is>
          <t>코스닥</t>
        </is>
      </c>
      <c r="E78" s="2" t="inlineStr">
        <is>
          <t>200710</t>
        </is>
      </c>
      <c r="F78" s="2" t="inlineStr">
        <is>
          <t>단일판매공급계약체결</t>
        </is>
      </c>
      <c r="G78" s="4" t="inlineStr">
        <is>
          <t>[기재정정]단일판매ㆍ공급계약체결</t>
        </is>
      </c>
      <c r="H78" s="9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6" t="inlineStr"/>
      <c r="L78" s="2" t="inlineStr">
        <is>
          <t>-</t>
        </is>
      </c>
      <c r="M78" s="4" t="inlineStr"/>
      <c r="N78" s="9" t="inlineStr">
        <is>
          <t>-</t>
        </is>
      </c>
      <c r="O78" s="9" t="inlineStr">
        <is>
          <t>-</t>
        </is>
      </c>
      <c r="P78" s="2" t="inlineStr">
        <is>
          <t>20180731900325</t>
        </is>
      </c>
    </row>
    <row r="79" ht="36" customHeight="1">
      <c r="A79" s="2" t="inlineStr">
        <is>
          <t>2018-07-19</t>
        </is>
      </c>
      <c r="B79" s="3">
        <f>HYPERLINK("https://dart.fss.or.kr/dsaf001/main.do?rcpNo=20180719900272", "공시열람")</f>
        <v/>
      </c>
      <c r="C79" s="4" t="inlineStr">
        <is>
          <t>에이디테크놀로지</t>
        </is>
      </c>
      <c r="D79" s="2" t="inlineStr">
        <is>
          <t>코스닥</t>
        </is>
      </c>
      <c r="E79" s="2" t="inlineStr">
        <is>
          <t>200710</t>
        </is>
      </c>
      <c r="F79" s="2" t="inlineStr">
        <is>
          <t>기타</t>
        </is>
      </c>
      <c r="G79" s="4" t="inlineStr">
        <is>
          <t>기타경영사항(특허권취득)(자율공시)</t>
        </is>
      </c>
      <c r="H79" s="9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6" t="inlineStr"/>
      <c r="L79" s="2" t="inlineStr">
        <is>
          <t>-</t>
        </is>
      </c>
      <c r="M79" s="4" t="inlineStr"/>
      <c r="N79" s="9" t="inlineStr">
        <is>
          <t>-</t>
        </is>
      </c>
      <c r="O79" s="9" t="inlineStr">
        <is>
          <t>-</t>
        </is>
      </c>
      <c r="P79" s="2" t="inlineStr">
        <is>
          <t>20180719900272</t>
        </is>
      </c>
    </row>
    <row r="80" ht="36" customHeight="1">
      <c r="A80" s="2" t="inlineStr">
        <is>
          <t>2018-06-28</t>
        </is>
      </c>
      <c r="B80" s="3">
        <f>HYPERLINK("https://dart.fss.or.kr/dsaf001/main.do?rcpNo=20180628900746", "공시열람")</f>
        <v/>
      </c>
      <c r="C80" s="4" t="inlineStr">
        <is>
          <t>에이디테크놀로지</t>
        </is>
      </c>
      <c r="D80" s="2" t="inlineStr">
        <is>
          <t>코스닥</t>
        </is>
      </c>
      <c r="E80" s="2" t="inlineStr">
        <is>
          <t>200710</t>
        </is>
      </c>
      <c r="F80" s="2" t="inlineStr">
        <is>
          <t>단일판매공급계약체결</t>
        </is>
      </c>
      <c r="G80" s="4" t="inlineStr">
        <is>
          <t>[기재정정]단일판매ㆍ공급계약체결</t>
        </is>
      </c>
      <c r="H80" s="9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6" t="inlineStr"/>
      <c r="L80" s="2" t="inlineStr">
        <is>
          <t>-</t>
        </is>
      </c>
      <c r="M80" s="4" t="inlineStr"/>
      <c r="N80" s="9" t="inlineStr">
        <is>
          <t>-</t>
        </is>
      </c>
      <c r="O80" s="9" t="inlineStr">
        <is>
          <t>-</t>
        </is>
      </c>
      <c r="P80" s="2" t="inlineStr">
        <is>
          <t>20180628900746</t>
        </is>
      </c>
    </row>
    <row r="81" ht="36" customHeight="1">
      <c r="A81" s="2" t="inlineStr">
        <is>
          <t>2018-06-21</t>
        </is>
      </c>
      <c r="B81" s="3">
        <f>HYPERLINK("https://dart.fss.or.kr/dsaf001/main.do?rcpNo=20180621900368", "공시열람")</f>
        <v/>
      </c>
      <c r="C81" s="4" t="inlineStr">
        <is>
          <t>에이디테크놀로지</t>
        </is>
      </c>
      <c r="D81" s="2" t="inlineStr">
        <is>
          <t>코스닥</t>
        </is>
      </c>
      <c r="E81" s="2" t="inlineStr">
        <is>
          <t>200710</t>
        </is>
      </c>
      <c r="F81" s="2" t="inlineStr">
        <is>
          <t>단일판매공급계약체결</t>
        </is>
      </c>
      <c r="G81" s="4" t="inlineStr">
        <is>
          <t>[기재정정]단일판매ㆍ공급계약체결</t>
        </is>
      </c>
      <c r="H81" s="9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6" t="inlineStr"/>
      <c r="L81" s="2" t="inlineStr">
        <is>
          <t>-</t>
        </is>
      </c>
      <c r="M81" s="4" t="inlineStr"/>
      <c r="N81" s="9" t="inlineStr">
        <is>
          <t>-</t>
        </is>
      </c>
      <c r="O81" s="9" t="inlineStr">
        <is>
          <t>-</t>
        </is>
      </c>
      <c r="P81" s="2" t="inlineStr">
        <is>
          <t>20180621900368</t>
        </is>
      </c>
    </row>
    <row r="82" ht="36" customHeight="1">
      <c r="A82" s="2" t="inlineStr">
        <is>
          <t>2018-06-21</t>
        </is>
      </c>
      <c r="B82" s="3">
        <f>HYPERLINK("https://dart.fss.or.kr/dsaf001/main.do?rcpNo=20180621900365", "공시열람")</f>
        <v/>
      </c>
      <c r="C82" s="4" t="inlineStr">
        <is>
          <t>에이디테크놀로지</t>
        </is>
      </c>
      <c r="D82" s="2" t="inlineStr">
        <is>
          <t>코스닥</t>
        </is>
      </c>
      <c r="E82" s="2" t="inlineStr">
        <is>
          <t>200710</t>
        </is>
      </c>
      <c r="F82" s="2" t="inlineStr">
        <is>
          <t>단일판매공급계약체결</t>
        </is>
      </c>
      <c r="G82" s="4" t="inlineStr">
        <is>
          <t>[기재정정]단일판매ㆍ공급계약체결</t>
        </is>
      </c>
      <c r="H82" s="9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6" t="inlineStr"/>
      <c r="L82" s="2" t="inlineStr">
        <is>
          <t>-</t>
        </is>
      </c>
      <c r="M82" s="4" t="inlineStr"/>
      <c r="N82" s="9" t="inlineStr">
        <is>
          <t>-</t>
        </is>
      </c>
      <c r="O82" s="9" t="inlineStr">
        <is>
          <t>-</t>
        </is>
      </c>
      <c r="P82" s="2" t="inlineStr">
        <is>
          <t>20180621900365</t>
        </is>
      </c>
    </row>
    <row r="83" ht="36" customHeight="1">
      <c r="A83" s="2" t="inlineStr">
        <is>
          <t>2018-06-14</t>
        </is>
      </c>
      <c r="B83" s="3">
        <f>HYPERLINK("https://dart.fss.or.kr/dsaf001/main.do?rcpNo=20180614900062", "공시열람")</f>
        <v/>
      </c>
      <c r="C83" s="4" t="inlineStr">
        <is>
          <t>에이디테크놀로지</t>
        </is>
      </c>
      <c r="D83" s="2" t="inlineStr">
        <is>
          <t>코스닥</t>
        </is>
      </c>
      <c r="E83" s="2" t="inlineStr">
        <is>
          <t>200710</t>
        </is>
      </c>
      <c r="F83" s="2" t="inlineStr">
        <is>
          <t>단일판매공급계약체결</t>
        </is>
      </c>
      <c r="G83" s="4" t="inlineStr">
        <is>
          <t>단일판매ㆍ공급계약체결</t>
        </is>
      </c>
      <c r="H83" s="9" t="inlineStr">
        <is>
          <t>메모리 컨트롤러 IC 공급</t>
        </is>
      </c>
      <c r="I83" s="2" t="inlineStr">
        <is>
          <t>2018-06-12</t>
        </is>
      </c>
      <c r="J83" s="2" t="inlineStr">
        <is>
          <t>2018-10-09</t>
        </is>
      </c>
      <c r="K83" s="6" t="n">
        <v>5403719890</v>
      </c>
      <c r="L83" s="2" t="inlineStr">
        <is>
          <t>-</t>
        </is>
      </c>
      <c r="M83" s="11" t="n">
        <v>16.7</v>
      </c>
      <c r="N83" s="9" t="inlineStr">
        <is>
          <t>에스케이하이닉스 주식회사</t>
        </is>
      </c>
      <c r="O83" s="9" t="inlineStr">
        <is>
          <t>국내</t>
        </is>
      </c>
      <c r="P83" s="2" t="inlineStr">
        <is>
          <t>20180614900062</t>
        </is>
      </c>
    </row>
    <row r="84" ht="36" customHeight="1">
      <c r="A84" s="2" t="inlineStr">
        <is>
          <t>2018-05-28</t>
        </is>
      </c>
      <c r="B84" s="3">
        <f>HYPERLINK("https://dart.fss.or.kr/dsaf001/main.do?rcpNo=20180528900401", "공시열람")</f>
        <v/>
      </c>
      <c r="C84" s="4" t="inlineStr">
        <is>
          <t>에이디테크놀로지</t>
        </is>
      </c>
      <c r="D84" s="2" t="inlineStr">
        <is>
          <t>코스닥</t>
        </is>
      </c>
      <c r="E84" s="2" t="inlineStr">
        <is>
          <t>200710</t>
        </is>
      </c>
      <c r="F84" s="2" t="inlineStr">
        <is>
          <t>단일판매공급계약체결</t>
        </is>
      </c>
      <c r="G84" s="4" t="inlineStr">
        <is>
          <t>[기재정정]단일판매ㆍ공급계약체결</t>
        </is>
      </c>
      <c r="H84" s="9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6" t="inlineStr"/>
      <c r="L84" s="2" t="inlineStr">
        <is>
          <t>-</t>
        </is>
      </c>
      <c r="M84" s="4" t="inlineStr"/>
      <c r="N84" s="9" t="inlineStr">
        <is>
          <t>-</t>
        </is>
      </c>
      <c r="O84" s="9" t="inlineStr">
        <is>
          <t>-</t>
        </is>
      </c>
      <c r="P84" s="2" t="inlineStr">
        <is>
          <t>20180528900401</t>
        </is>
      </c>
    </row>
    <row r="85" ht="36" customHeight="1">
      <c r="A85" s="2" t="inlineStr">
        <is>
          <t>2018-04-30</t>
        </is>
      </c>
      <c r="B85" s="3">
        <f>HYPERLINK("https://dart.fss.or.kr/dsaf001/main.do?rcpNo=20180430900690", "공시열람")</f>
        <v/>
      </c>
      <c r="C85" s="4" t="inlineStr">
        <is>
          <t>에이디테크놀로지</t>
        </is>
      </c>
      <c r="D85" s="2" t="inlineStr">
        <is>
          <t>코스닥</t>
        </is>
      </c>
      <c r="E85" s="2" t="inlineStr">
        <is>
          <t>200710</t>
        </is>
      </c>
      <c r="F85" s="2" t="inlineStr">
        <is>
          <t>단일판매공급계약체결</t>
        </is>
      </c>
      <c r="G85" s="4" t="inlineStr">
        <is>
          <t>[기재정정]단일판매ㆍ공급계약체결</t>
        </is>
      </c>
      <c r="H85" s="9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6" t="inlineStr"/>
      <c r="L85" s="2" t="inlineStr">
        <is>
          <t>-</t>
        </is>
      </c>
      <c r="M85" s="4" t="inlineStr"/>
      <c r="N85" s="9" t="inlineStr">
        <is>
          <t>-</t>
        </is>
      </c>
      <c r="O85" s="9" t="inlineStr">
        <is>
          <t>-</t>
        </is>
      </c>
      <c r="P85" s="2" t="inlineStr">
        <is>
          <t>20180430900690</t>
        </is>
      </c>
    </row>
    <row r="86" ht="36" customHeight="1">
      <c r="A86" s="2" t="inlineStr">
        <is>
          <t>2018-04-25</t>
        </is>
      </c>
      <c r="B86" s="3">
        <f>HYPERLINK("https://dart.fss.or.kr/dsaf001/main.do?rcpNo=20180425900603", "공시열람")</f>
        <v/>
      </c>
      <c r="C86" s="4" t="inlineStr">
        <is>
          <t>에이디테크놀로지</t>
        </is>
      </c>
      <c r="D86" s="2" t="inlineStr">
        <is>
          <t>코스닥</t>
        </is>
      </c>
      <c r="E86" s="2" t="inlineStr">
        <is>
          <t>200710</t>
        </is>
      </c>
      <c r="F86" s="2" t="inlineStr">
        <is>
          <t>단일판매공급계약체결</t>
        </is>
      </c>
      <c r="G86" s="4" t="inlineStr">
        <is>
          <t>[기재정정]단일판매ㆍ공급계약체결</t>
        </is>
      </c>
      <c r="H86" s="9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6" t="inlineStr"/>
      <c r="L86" s="2" t="inlineStr">
        <is>
          <t>-</t>
        </is>
      </c>
      <c r="M86" s="4" t="inlineStr"/>
      <c r="N86" s="9" t="inlineStr">
        <is>
          <t>-</t>
        </is>
      </c>
      <c r="O86" s="9" t="inlineStr">
        <is>
          <t>-</t>
        </is>
      </c>
      <c r="P86" s="2" t="inlineStr">
        <is>
          <t>20180425900603</t>
        </is>
      </c>
    </row>
    <row r="87" ht="36" customHeight="1">
      <c r="A87" s="2" t="inlineStr">
        <is>
          <t>2018-04-25</t>
        </is>
      </c>
      <c r="B87" s="3">
        <f>HYPERLINK("https://dart.fss.or.kr/dsaf001/main.do?rcpNo=20180425900606", "공시열람")</f>
        <v/>
      </c>
      <c r="C87" s="4" t="inlineStr">
        <is>
          <t>에이디테크놀로지</t>
        </is>
      </c>
      <c r="D87" s="2" t="inlineStr">
        <is>
          <t>코스닥</t>
        </is>
      </c>
      <c r="E87" s="2" t="inlineStr">
        <is>
          <t>200710</t>
        </is>
      </c>
      <c r="F87" s="2" t="inlineStr">
        <is>
          <t>단일판매공급계약체결</t>
        </is>
      </c>
      <c r="G87" s="4" t="inlineStr">
        <is>
          <t>[기재정정]단일판매ㆍ공급계약체결</t>
        </is>
      </c>
      <c r="H87" s="9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6" t="inlineStr"/>
      <c r="L87" s="2" t="inlineStr">
        <is>
          <t>-</t>
        </is>
      </c>
      <c r="M87" s="4" t="inlineStr"/>
      <c r="N87" s="9" t="inlineStr">
        <is>
          <t>-</t>
        </is>
      </c>
      <c r="O87" s="9" t="inlineStr">
        <is>
          <t>-</t>
        </is>
      </c>
      <c r="P87" s="2" t="inlineStr">
        <is>
          <t>20180425900606</t>
        </is>
      </c>
    </row>
    <row r="88" ht="36" customHeight="1">
      <c r="A88" s="2" t="inlineStr">
        <is>
          <t>2018-04-13</t>
        </is>
      </c>
      <c r="B88" s="3">
        <f>HYPERLINK("https://dart.fss.or.kr/dsaf001/main.do?rcpNo=20180413900073", "공시열람")</f>
        <v/>
      </c>
      <c r="C88" s="4" t="inlineStr">
        <is>
          <t>에이디테크놀로지</t>
        </is>
      </c>
      <c r="D88" s="2" t="inlineStr">
        <is>
          <t>코스닥</t>
        </is>
      </c>
      <c r="E88" s="2" t="inlineStr">
        <is>
          <t>200710</t>
        </is>
      </c>
      <c r="F88" s="2" t="inlineStr">
        <is>
          <t>단일판매공급계약체결</t>
        </is>
      </c>
      <c r="G88" s="4" t="inlineStr">
        <is>
          <t>단일판매ㆍ공급계약체결</t>
        </is>
      </c>
      <c r="H88" s="9" t="inlineStr">
        <is>
          <t>메모리 컨트롤러 IC 공급</t>
        </is>
      </c>
      <c r="I88" s="2" t="inlineStr">
        <is>
          <t>2018-04-12</t>
        </is>
      </c>
      <c r="J88" s="2" t="inlineStr">
        <is>
          <t>2018-06-26</t>
        </is>
      </c>
      <c r="K88" s="6" t="n">
        <v>6290597624</v>
      </c>
      <c r="L88" s="2" t="inlineStr">
        <is>
          <t>-</t>
        </is>
      </c>
      <c r="M88" s="11" t="n">
        <v>19.5</v>
      </c>
      <c r="N88" s="9" t="inlineStr">
        <is>
          <t>에스케이하이닉스 주식회사</t>
        </is>
      </c>
      <c r="O88" s="9" t="inlineStr">
        <is>
          <t>국내</t>
        </is>
      </c>
      <c r="P88" s="2" t="inlineStr">
        <is>
          <t>20180413900073</t>
        </is>
      </c>
    </row>
    <row r="89" ht="36" customHeight="1">
      <c r="A89" s="2" t="inlineStr">
        <is>
          <t>2018-04-05</t>
        </is>
      </c>
      <c r="B89" s="3">
        <f>HYPERLINK("https://dart.fss.or.kr/dsaf001/main.do?rcpNo=20180405900412", "공시열람")</f>
        <v/>
      </c>
      <c r="C89" s="4" t="inlineStr">
        <is>
          <t>에이디테크놀로지</t>
        </is>
      </c>
      <c r="D89" s="2" t="inlineStr">
        <is>
          <t>코스닥</t>
        </is>
      </c>
      <c r="E89" s="2" t="inlineStr">
        <is>
          <t>200710</t>
        </is>
      </c>
      <c r="F89" s="2" t="inlineStr">
        <is>
          <t>단일판매공급계약체결</t>
        </is>
      </c>
      <c r="G89" s="4" t="inlineStr">
        <is>
          <t>[기재정정]단일판매ㆍ공급계약체결</t>
        </is>
      </c>
      <c r="H89" s="9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6" t="inlineStr"/>
      <c r="L89" s="2" t="inlineStr">
        <is>
          <t>-</t>
        </is>
      </c>
      <c r="M89" s="4" t="inlineStr"/>
      <c r="N89" s="9" t="inlineStr">
        <is>
          <t>-</t>
        </is>
      </c>
      <c r="O89" s="9" t="inlineStr">
        <is>
          <t>-</t>
        </is>
      </c>
      <c r="P89" s="2" t="inlineStr">
        <is>
          <t>20180405900412</t>
        </is>
      </c>
    </row>
    <row r="90" ht="36" customHeight="1">
      <c r="A90" s="2" t="inlineStr">
        <is>
          <t>2018-04-05</t>
        </is>
      </c>
      <c r="B90" s="3">
        <f>HYPERLINK("https://dart.fss.or.kr/dsaf001/main.do?rcpNo=20180405900713", "공시열람")</f>
        <v/>
      </c>
      <c r="C90" s="4" t="inlineStr">
        <is>
          <t>에이디테크놀로지</t>
        </is>
      </c>
      <c r="D90" s="2" t="inlineStr">
        <is>
          <t>코스닥</t>
        </is>
      </c>
      <c r="E90" s="2" t="inlineStr">
        <is>
          <t>200710</t>
        </is>
      </c>
      <c r="F90" s="2" t="inlineStr">
        <is>
          <t>단일판매공급계약체결</t>
        </is>
      </c>
      <c r="G90" s="4" t="inlineStr">
        <is>
          <t>[기재정정]단일판매ㆍ공급계약체결</t>
        </is>
      </c>
      <c r="H90" s="9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6" t="inlineStr"/>
      <c r="L90" s="2" t="inlineStr">
        <is>
          <t>-</t>
        </is>
      </c>
      <c r="M90" s="4" t="inlineStr"/>
      <c r="N90" s="9" t="inlineStr">
        <is>
          <t>-</t>
        </is>
      </c>
      <c r="O90" s="9" t="inlineStr">
        <is>
          <t>-</t>
        </is>
      </c>
      <c r="P90" s="2" t="inlineStr">
        <is>
          <t>20180405900713</t>
        </is>
      </c>
    </row>
    <row r="91" ht="36" customHeight="1">
      <c r="A91" s="2" t="inlineStr">
        <is>
          <t>2018-03-16</t>
        </is>
      </c>
      <c r="B91" s="3">
        <f>HYPERLINK("https://dart.fss.or.kr/dsaf001/main.do?rcpNo=20180316900107", "공시열람")</f>
        <v/>
      </c>
      <c r="C91" s="4" t="inlineStr">
        <is>
          <t>에이디테크놀로지</t>
        </is>
      </c>
      <c r="D91" s="2" t="inlineStr">
        <is>
          <t>코스닥</t>
        </is>
      </c>
      <c r="E91" s="2" t="inlineStr">
        <is>
          <t>200710</t>
        </is>
      </c>
      <c r="F91" s="2" t="inlineStr">
        <is>
          <t>단일판매공급계약체결</t>
        </is>
      </c>
      <c r="G91" s="4" t="inlineStr">
        <is>
          <t>단일판매ㆍ공급계약체결</t>
        </is>
      </c>
      <c r="H91" s="9" t="inlineStr">
        <is>
          <t>메모리 컨트롤러 IC 공급</t>
        </is>
      </c>
      <c r="I91" s="2" t="inlineStr">
        <is>
          <t>2018-03-16</t>
        </is>
      </c>
      <c r="J91" s="2" t="inlineStr">
        <is>
          <t>2018-08-03</t>
        </is>
      </c>
      <c r="K91" s="6" t="n">
        <v>4691886076</v>
      </c>
      <c r="L91" s="2" t="inlineStr">
        <is>
          <t>-</t>
        </is>
      </c>
      <c r="M91" s="11" t="n">
        <v>20.6</v>
      </c>
      <c r="N91" s="9" t="inlineStr">
        <is>
          <t>에스케이하이닉스 주식회사</t>
        </is>
      </c>
      <c r="O91" s="9" t="inlineStr">
        <is>
          <t>국내</t>
        </is>
      </c>
      <c r="P91" s="2" t="inlineStr">
        <is>
          <t>20180316900107</t>
        </is>
      </c>
    </row>
    <row r="92" ht="36" customHeight="1">
      <c r="A92" s="2" t="inlineStr">
        <is>
          <t>2018-02-13</t>
        </is>
      </c>
      <c r="B92" s="3">
        <f>HYPERLINK("https://dart.fss.or.kr/dsaf001/main.do?rcpNo=20180213900742", "공시열람")</f>
        <v/>
      </c>
      <c r="C92" s="4" t="inlineStr">
        <is>
          <t>에이디테크놀로지</t>
        </is>
      </c>
      <c r="D92" s="2" t="inlineStr">
        <is>
          <t>코스닥</t>
        </is>
      </c>
      <c r="E92" s="2" t="inlineStr">
        <is>
          <t>200710</t>
        </is>
      </c>
      <c r="F92" s="2" t="inlineStr">
        <is>
          <t>단일판매공급계약체결</t>
        </is>
      </c>
      <c r="G92" s="4" t="inlineStr">
        <is>
          <t>[기재정정]단일판매ㆍ공급계약체결</t>
        </is>
      </c>
      <c r="H92" s="9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6" t="inlineStr"/>
      <c r="L92" s="2" t="inlineStr">
        <is>
          <t>-</t>
        </is>
      </c>
      <c r="M92" s="4" t="inlineStr"/>
      <c r="N92" s="9" t="inlineStr">
        <is>
          <t>-</t>
        </is>
      </c>
      <c r="O92" s="9" t="inlineStr">
        <is>
          <t>-</t>
        </is>
      </c>
      <c r="P92" s="2" t="inlineStr">
        <is>
          <t>20180213900742</t>
        </is>
      </c>
    </row>
    <row r="93" ht="36" customHeight="1">
      <c r="A93" s="2" t="inlineStr">
        <is>
          <t>2018-02-13</t>
        </is>
      </c>
      <c r="B93" s="3">
        <f>HYPERLINK("https://dart.fss.or.kr/dsaf001/main.do?rcpNo=20180213900104", "공시열람")</f>
        <v/>
      </c>
      <c r="C93" s="4" t="inlineStr">
        <is>
          <t>에이디테크놀로지</t>
        </is>
      </c>
      <c r="D93" s="2" t="inlineStr">
        <is>
          <t>코스닥</t>
        </is>
      </c>
      <c r="E93" s="2" t="inlineStr">
        <is>
          <t>200710</t>
        </is>
      </c>
      <c r="F93" s="2" t="inlineStr">
        <is>
          <t>단일판매공급계약체결</t>
        </is>
      </c>
      <c r="G93" s="4" t="inlineStr">
        <is>
          <t>단일판매ㆍ공급계약체결</t>
        </is>
      </c>
      <c r="H93" s="9" t="inlineStr">
        <is>
          <t>메모리 컨트롤러 IC 공급</t>
        </is>
      </c>
      <c r="I93" s="2" t="inlineStr">
        <is>
          <t>2018-02-12</t>
        </is>
      </c>
      <c r="J93" s="2" t="inlineStr">
        <is>
          <t>2018-06-01</t>
        </is>
      </c>
      <c r="K93" s="6" t="n">
        <v>8246825440</v>
      </c>
      <c r="L93" s="2" t="inlineStr">
        <is>
          <t>-</t>
        </is>
      </c>
      <c r="M93" s="11" t="n">
        <v>36.3</v>
      </c>
      <c r="N93" s="9" t="inlineStr">
        <is>
          <t>에스케이하이닉스 주식회사</t>
        </is>
      </c>
      <c r="O93" s="9" t="inlineStr">
        <is>
          <t>국내</t>
        </is>
      </c>
      <c r="P93" s="2" t="inlineStr">
        <is>
          <t>20180213900104</t>
        </is>
      </c>
    </row>
    <row r="94" ht="36" customHeight="1">
      <c r="A94" s="2" t="inlineStr">
        <is>
          <t>2018-01-15</t>
        </is>
      </c>
      <c r="B94" s="3">
        <f>HYPERLINK("https://dart.fss.or.kr/dsaf001/main.do?rcpNo=20180115900092", "공시열람")</f>
        <v/>
      </c>
      <c r="C94" s="4" t="inlineStr">
        <is>
          <t>에이디테크놀로지</t>
        </is>
      </c>
      <c r="D94" s="2" t="inlineStr">
        <is>
          <t>코스닥</t>
        </is>
      </c>
      <c r="E94" s="2" t="inlineStr">
        <is>
          <t>200710</t>
        </is>
      </c>
      <c r="F94" s="2" t="inlineStr">
        <is>
          <t>단일판매공급계약체결</t>
        </is>
      </c>
      <c r="G94" s="4" t="inlineStr">
        <is>
          <t>단일판매ㆍ공급계약체결</t>
        </is>
      </c>
      <c r="H94" s="9" t="inlineStr">
        <is>
          <t>메모리 컨트롤러 IC 공급</t>
        </is>
      </c>
      <c r="I94" s="2" t="inlineStr">
        <is>
          <t>2018-01-12</t>
        </is>
      </c>
      <c r="J94" s="2" t="inlineStr">
        <is>
          <t>2018-05-04</t>
        </is>
      </c>
      <c r="K94" s="6" t="n">
        <v>11923363842</v>
      </c>
      <c r="L94" s="2" t="inlineStr">
        <is>
          <t>-</t>
        </is>
      </c>
      <c r="M94" s="11" t="n">
        <v>52.6</v>
      </c>
      <c r="N94" s="9" t="inlineStr">
        <is>
          <t>에스케이하이닉스 주식회사</t>
        </is>
      </c>
      <c r="O94" s="9" t="inlineStr">
        <is>
          <t>국내</t>
        </is>
      </c>
      <c r="P94" s="2" t="inlineStr">
        <is>
          <t>20180115900092</t>
        </is>
      </c>
    </row>
    <row r="95" ht="36" customHeight="1">
      <c r="A95" s="2" t="inlineStr">
        <is>
          <t>2017-12-28</t>
        </is>
      </c>
      <c r="B95" s="3">
        <f>HYPERLINK("https://dart.fss.or.kr/dsaf001/main.do?rcpNo=20171228900047", "공시열람")</f>
        <v/>
      </c>
      <c r="C95" s="4" t="inlineStr">
        <is>
          <t>에이디테크놀로지</t>
        </is>
      </c>
      <c r="D95" s="2" t="inlineStr">
        <is>
          <t>코스닥</t>
        </is>
      </c>
      <c r="E95" s="2" t="inlineStr">
        <is>
          <t>200710</t>
        </is>
      </c>
      <c r="F95" s="2" t="inlineStr">
        <is>
          <t>단일판매공급계약체결</t>
        </is>
      </c>
      <c r="G95" s="4" t="inlineStr">
        <is>
          <t>단일판매ㆍ공급계약체결</t>
        </is>
      </c>
      <c r="H95" s="9" t="inlineStr">
        <is>
          <t>메모리 컨트롤러 IC 공급</t>
        </is>
      </c>
      <c r="I95" s="2" t="inlineStr">
        <is>
          <t>2017-12-27</t>
        </is>
      </c>
      <c r="J95" s="2" t="inlineStr">
        <is>
          <t>2018-05-31</t>
        </is>
      </c>
      <c r="K95" s="6" t="n">
        <v>8013139305</v>
      </c>
      <c r="L95" s="2" t="inlineStr">
        <is>
          <t>-</t>
        </is>
      </c>
      <c r="M95" s="11" t="n">
        <v>35.3</v>
      </c>
      <c r="N95" s="9" t="inlineStr">
        <is>
          <t>에스케이하이닉스 주식회사</t>
        </is>
      </c>
      <c r="O95" s="9" t="inlineStr">
        <is>
          <t>국내</t>
        </is>
      </c>
      <c r="P95" s="2" t="inlineStr">
        <is>
          <t>20171228900047</t>
        </is>
      </c>
    </row>
    <row r="96" ht="36" customHeight="1">
      <c r="A96" s="2" t="inlineStr">
        <is>
          <t>2017-12-13</t>
        </is>
      </c>
      <c r="B96" s="3">
        <f>HYPERLINK("https://dart.fss.or.kr/dsaf001/main.do?rcpNo=20171213900351", "공시열람")</f>
        <v/>
      </c>
      <c r="C96" s="4" t="inlineStr">
        <is>
          <t>에이디테크놀로지</t>
        </is>
      </c>
      <c r="D96" s="2" t="inlineStr">
        <is>
          <t>코스닥</t>
        </is>
      </c>
      <c r="E96" s="2" t="inlineStr">
        <is>
          <t>200710</t>
        </is>
      </c>
      <c r="F96" s="2" t="inlineStr">
        <is>
          <t>단일판매공급계약체결</t>
        </is>
      </c>
      <c r="G96" s="4" t="inlineStr">
        <is>
          <t>단일판매ㆍ공급계약체결</t>
        </is>
      </c>
      <c r="H96" s="9" t="inlineStr">
        <is>
          <t>메모리 컨트롤러 IC 공급</t>
        </is>
      </c>
      <c r="I96" s="2" t="inlineStr">
        <is>
          <t>2017-12-13</t>
        </is>
      </c>
      <c r="J96" s="2" t="inlineStr">
        <is>
          <t>2018-04-05</t>
        </is>
      </c>
      <c r="K96" s="6" t="n">
        <v>6617125020</v>
      </c>
      <c r="L96" s="2" t="inlineStr">
        <is>
          <t>-</t>
        </is>
      </c>
      <c r="M96" s="11" t="n">
        <v>29.1</v>
      </c>
      <c r="N96" s="9" t="inlineStr">
        <is>
          <t>에스케이하이닉스 주식회사</t>
        </is>
      </c>
      <c r="O96" s="9" t="inlineStr">
        <is>
          <t>국내</t>
        </is>
      </c>
      <c r="P96" s="2" t="inlineStr">
        <is>
          <t>20171213900351</t>
        </is>
      </c>
    </row>
    <row r="97" ht="36" customHeight="1">
      <c r="A97" s="2" t="inlineStr">
        <is>
          <t>2017-11-29</t>
        </is>
      </c>
      <c r="B97" s="3">
        <f>HYPERLINK("https://dart.fss.or.kr/dsaf001/main.do?rcpNo=20171129900112", "공시열람")</f>
        <v/>
      </c>
      <c r="C97" s="4" t="inlineStr">
        <is>
          <t>에이디테크놀로지</t>
        </is>
      </c>
      <c r="D97" s="2" t="inlineStr">
        <is>
          <t>코스닥</t>
        </is>
      </c>
      <c r="E97" s="2" t="inlineStr">
        <is>
          <t>200710</t>
        </is>
      </c>
      <c r="F97" s="2" t="inlineStr">
        <is>
          <t>단일판매공급계약체결</t>
        </is>
      </c>
      <c r="G97" s="4" t="inlineStr">
        <is>
          <t>단일판매ㆍ공급계약체결</t>
        </is>
      </c>
      <c r="H97" s="9" t="inlineStr">
        <is>
          <t>양산 공급</t>
        </is>
      </c>
      <c r="I97" s="2" t="inlineStr">
        <is>
          <t>2017-11-28</t>
        </is>
      </c>
      <c r="J97" s="2" t="inlineStr">
        <is>
          <t>2018-02-15</t>
        </is>
      </c>
      <c r="K97" s="6" t="n">
        <v>3598759640</v>
      </c>
      <c r="L97" s="2" t="inlineStr">
        <is>
          <t>-</t>
        </is>
      </c>
      <c r="M97" s="11" t="n">
        <v>15.8</v>
      </c>
      <c r="N97" s="9" t="inlineStr">
        <is>
          <t>에스케이하이닉스 주식회사</t>
        </is>
      </c>
      <c r="O97" s="9" t="inlineStr">
        <is>
          <t>국내</t>
        </is>
      </c>
      <c r="P97" s="2" t="inlineStr">
        <is>
          <t>20171129900112</t>
        </is>
      </c>
    </row>
    <row r="98" ht="36" customHeight="1">
      <c r="A98" s="2" t="inlineStr">
        <is>
          <t>2017-09-20</t>
        </is>
      </c>
      <c r="B98" s="3">
        <f>HYPERLINK("https://dart.fss.or.kr/dsaf001/main.do?rcpNo=20170920900127", "공시열람")</f>
        <v/>
      </c>
      <c r="C98" s="4" t="inlineStr">
        <is>
          <t>에이디테크놀로지</t>
        </is>
      </c>
      <c r="D98" s="2" t="inlineStr">
        <is>
          <t>코스닥</t>
        </is>
      </c>
      <c r="E98" s="2" t="inlineStr">
        <is>
          <t>200710</t>
        </is>
      </c>
      <c r="F98" s="2" t="inlineStr">
        <is>
          <t>단일판매공급계약체결</t>
        </is>
      </c>
      <c r="G98" s="4" t="inlineStr">
        <is>
          <t>단일판매ㆍ공급계약체결</t>
        </is>
      </c>
      <c r="H98" s="9" t="inlineStr">
        <is>
          <t>개발 위탁 계약</t>
        </is>
      </c>
      <c r="I98" s="2" t="inlineStr">
        <is>
          <t>2017-08-16</t>
        </is>
      </c>
      <c r="J98" s="2" t="inlineStr">
        <is>
          <t>2019-05-31</t>
        </is>
      </c>
      <c r="K98" s="6" t="n">
        <v>3051000000</v>
      </c>
      <c r="L98" s="2" t="inlineStr">
        <is>
          <t>-</t>
        </is>
      </c>
      <c r="M98" s="11" t="n">
        <v>13.46</v>
      </c>
      <c r="N98" s="9" t="inlineStr">
        <is>
          <t>에스케이하이닉스 주식회사</t>
        </is>
      </c>
      <c r="O98" s="9" t="inlineStr">
        <is>
          <t>국내</t>
        </is>
      </c>
      <c r="P98" s="2" t="inlineStr">
        <is>
          <t>20170920900127</t>
        </is>
      </c>
    </row>
    <row r="99" ht="36" customHeight="1">
      <c r="A99" s="2" t="inlineStr">
        <is>
          <t>2017-06-13</t>
        </is>
      </c>
      <c r="B99" s="3">
        <f>HYPERLINK("https://dart.fss.or.kr/dsaf001/main.do?rcpNo=20170613900071", "공시열람")</f>
        <v/>
      </c>
      <c r="C99" s="4" t="inlineStr">
        <is>
          <t>에이디테크놀로지</t>
        </is>
      </c>
      <c r="D99" s="2" t="inlineStr">
        <is>
          <t>코스닥</t>
        </is>
      </c>
      <c r="E99" s="2" t="inlineStr">
        <is>
          <t>200710</t>
        </is>
      </c>
      <c r="F99" s="2" t="inlineStr">
        <is>
          <t>단일판매공급계약체결</t>
        </is>
      </c>
      <c r="G99" s="4" t="inlineStr">
        <is>
          <t>단일판매ㆍ공급계약체결</t>
        </is>
      </c>
      <c r="H99" s="9" t="inlineStr">
        <is>
          <t>개발 위탁 계약</t>
        </is>
      </c>
      <c r="I99" s="2" t="inlineStr">
        <is>
          <t>2017-04-28</t>
        </is>
      </c>
      <c r="J99" s="2" t="inlineStr">
        <is>
          <t>2018-05-31</t>
        </is>
      </c>
      <c r="K99" s="6" t="n">
        <v>3918480000</v>
      </c>
      <c r="L99" s="2" t="inlineStr">
        <is>
          <t>-</t>
        </is>
      </c>
      <c r="M99" s="11" t="n">
        <v>17.28</v>
      </c>
      <c r="N99" s="9" t="inlineStr">
        <is>
          <t>에스케이하이닉스 주식회사</t>
        </is>
      </c>
      <c r="O99" s="9" t="inlineStr">
        <is>
          <t>국내</t>
        </is>
      </c>
      <c r="P99" s="2" t="inlineStr">
        <is>
          <t>20170613900071</t>
        </is>
      </c>
    </row>
    <row r="100" ht="36" customHeight="1">
      <c r="A100" s="2" t="inlineStr">
        <is>
          <t>2017-04-14</t>
        </is>
      </c>
      <c r="B100" s="3">
        <f>HYPERLINK("https://dart.fss.or.kr/dsaf001/main.do?rcpNo=20170414900711", "공시열람")</f>
        <v/>
      </c>
      <c r="C100" s="4" t="inlineStr">
        <is>
          <t>에이디테크놀로지</t>
        </is>
      </c>
      <c r="D100" s="2" t="inlineStr">
        <is>
          <t>코스닥</t>
        </is>
      </c>
      <c r="E100" s="2" t="inlineStr">
        <is>
          <t>200710</t>
        </is>
      </c>
      <c r="F100" s="2" t="inlineStr">
        <is>
          <t>단일판매공급계약체결</t>
        </is>
      </c>
      <c r="G100" s="4" t="inlineStr">
        <is>
          <t>[기재정정]단일판매ㆍ공급계약체결</t>
        </is>
      </c>
      <c r="H100" s="9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6" t="inlineStr"/>
      <c r="L100" s="2" t="inlineStr">
        <is>
          <t>-</t>
        </is>
      </c>
      <c r="M100" s="4" t="inlineStr"/>
      <c r="N100" s="9" t="inlineStr">
        <is>
          <t>-</t>
        </is>
      </c>
      <c r="O100" s="9" t="inlineStr">
        <is>
          <t>-</t>
        </is>
      </c>
      <c r="P100" s="2" t="inlineStr">
        <is>
          <t>20170414900711</t>
        </is>
      </c>
    </row>
    <row r="101" ht="36" customHeight="1">
      <c r="A101" s="2" t="inlineStr">
        <is>
          <t>2017-02-16</t>
        </is>
      </c>
      <c r="B101" s="3">
        <f>HYPERLINK("https://dart.fss.or.kr/dsaf001/main.do?rcpNo=20170216900255", "공시열람")</f>
        <v/>
      </c>
      <c r="C101" s="4" t="inlineStr">
        <is>
          <t>에이디테크놀로지</t>
        </is>
      </c>
      <c r="D101" s="2" t="inlineStr">
        <is>
          <t>코스닥</t>
        </is>
      </c>
      <c r="E101" s="2" t="inlineStr">
        <is>
          <t>200710</t>
        </is>
      </c>
      <c r="F101" s="2" t="inlineStr">
        <is>
          <t>단일판매공급계약체결</t>
        </is>
      </c>
      <c r="G101" s="4" t="inlineStr">
        <is>
          <t>단일판매ㆍ공급계약체결</t>
        </is>
      </c>
      <c r="H101" s="9" t="inlineStr">
        <is>
          <t>개발 위탁 계약</t>
        </is>
      </c>
      <c r="I101" s="2" t="inlineStr">
        <is>
          <t>2017-02-16</t>
        </is>
      </c>
      <c r="J101" s="2" t="inlineStr">
        <is>
          <t>2018-06-28</t>
        </is>
      </c>
      <c r="K101" s="6" t="n">
        <v>5582424000</v>
      </c>
      <c r="L101" s="2" t="inlineStr">
        <is>
          <t>-</t>
        </is>
      </c>
      <c r="M101" s="11" t="n">
        <v>15.6</v>
      </c>
      <c r="N101" s="9" t="inlineStr">
        <is>
          <t>-</t>
        </is>
      </c>
      <c r="O101" s="9" t="inlineStr">
        <is>
          <t>국내</t>
        </is>
      </c>
      <c r="P101" s="2" t="inlineStr">
        <is>
          <t>20170216900255</t>
        </is>
      </c>
    </row>
    <row r="102" ht="36" customHeight="1">
      <c r="A102" s="2" t="inlineStr">
        <is>
          <t>2017-01-18</t>
        </is>
      </c>
      <c r="B102" s="3">
        <f>HYPERLINK("https://dart.fss.or.kr/dsaf001/main.do?rcpNo=20170118900080", "공시열람")</f>
        <v/>
      </c>
      <c r="C102" s="4" t="inlineStr">
        <is>
          <t>에이디테크놀로지</t>
        </is>
      </c>
      <c r="D102" s="2" t="inlineStr">
        <is>
          <t>코스닥</t>
        </is>
      </c>
      <c r="E102" s="2" t="inlineStr">
        <is>
          <t>200710</t>
        </is>
      </c>
      <c r="F102" s="2" t="inlineStr">
        <is>
          <t>기타</t>
        </is>
      </c>
      <c r="G102" s="4" t="inlineStr">
        <is>
          <t>기타경영사항(특허권취득)(자율공시)</t>
        </is>
      </c>
      <c r="H102" s="9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6" t="inlineStr"/>
      <c r="L102" s="2" t="inlineStr">
        <is>
          <t>-</t>
        </is>
      </c>
      <c r="M102" s="4" t="inlineStr"/>
      <c r="N102" s="9" t="inlineStr">
        <is>
          <t>-</t>
        </is>
      </c>
      <c r="O102" s="9" t="inlineStr">
        <is>
          <t>-</t>
        </is>
      </c>
      <c r="P102" s="2" t="inlineStr">
        <is>
          <t>20170118900080</t>
        </is>
      </c>
    </row>
    <row r="103" ht="36" customHeight="1">
      <c r="A103" s="2" t="inlineStr">
        <is>
          <t>2017-01-18</t>
        </is>
      </c>
      <c r="B103" s="3">
        <f>HYPERLINK("https://dart.fss.or.kr/dsaf001/main.do?rcpNo=20170118900082", "공시열람")</f>
        <v/>
      </c>
      <c r="C103" s="4" t="inlineStr">
        <is>
          <t>에이디테크놀로지</t>
        </is>
      </c>
      <c r="D103" s="2" t="inlineStr">
        <is>
          <t>코스닥</t>
        </is>
      </c>
      <c r="E103" s="2" t="inlineStr">
        <is>
          <t>200710</t>
        </is>
      </c>
      <c r="F103" s="2" t="inlineStr">
        <is>
          <t>기타</t>
        </is>
      </c>
      <c r="G103" s="4" t="inlineStr">
        <is>
          <t>기타경영사항(특허권취득)(자율공시)</t>
        </is>
      </c>
      <c r="H103" s="9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6" t="inlineStr"/>
      <c r="L103" s="2" t="inlineStr">
        <is>
          <t>-</t>
        </is>
      </c>
      <c r="M103" s="4" t="inlineStr"/>
      <c r="N103" s="9" t="inlineStr">
        <is>
          <t>-</t>
        </is>
      </c>
      <c r="O103" s="9" t="inlineStr">
        <is>
          <t>-</t>
        </is>
      </c>
      <c r="P103" s="2" t="inlineStr">
        <is>
          <t>20170118900082</t>
        </is>
      </c>
    </row>
    <row r="104" ht="36" customHeight="1">
      <c r="A104" s="2" t="inlineStr">
        <is>
          <t>2016-11-28</t>
        </is>
      </c>
      <c r="B104" s="3">
        <f>HYPERLINK("https://dart.fss.or.kr/dsaf001/main.do?rcpNo=20161128900039", "공시열람")</f>
        <v/>
      </c>
      <c r="C104" s="4" t="inlineStr">
        <is>
          <t>에이디테크놀로지</t>
        </is>
      </c>
      <c r="D104" s="2" t="inlineStr">
        <is>
          <t>코스닥</t>
        </is>
      </c>
      <c r="E104" s="2" t="inlineStr">
        <is>
          <t>200710</t>
        </is>
      </c>
      <c r="F104" s="2" t="inlineStr">
        <is>
          <t>단일판매공급계약체결</t>
        </is>
      </c>
      <c r="G104" s="4" t="inlineStr">
        <is>
          <t>단일판매ㆍ공급계약체결</t>
        </is>
      </c>
      <c r="H104" s="9" t="inlineStr">
        <is>
          <t>개발 위탁 계약</t>
        </is>
      </c>
      <c r="I104" s="2" t="inlineStr">
        <is>
          <t>2016-09-01</t>
        </is>
      </c>
      <c r="J104" s="2" t="inlineStr">
        <is>
          <t>2018-06-30</t>
        </is>
      </c>
      <c r="K104" s="6" t="n">
        <v>7408540032</v>
      </c>
      <c r="L104" s="2" t="inlineStr">
        <is>
          <t>-</t>
        </is>
      </c>
      <c r="M104" s="11" t="n">
        <v>20.69</v>
      </c>
      <c r="N104" s="9" t="inlineStr">
        <is>
          <t>에스케이하이닉스 주식회사</t>
        </is>
      </c>
      <c r="O104" s="9" t="inlineStr">
        <is>
          <t>국내</t>
        </is>
      </c>
      <c r="P104" s="2" t="inlineStr">
        <is>
          <t>20161128900039</t>
        </is>
      </c>
    </row>
    <row r="105" ht="36" customHeight="1">
      <c r="A105" s="2" t="inlineStr">
        <is>
          <t>2016-11-15</t>
        </is>
      </c>
      <c r="B105" s="3">
        <f>HYPERLINK("https://dart.fss.or.kr/dsaf001/main.do?rcpNo=20161115900058", "공시열람")</f>
        <v/>
      </c>
      <c r="C105" s="4" t="inlineStr">
        <is>
          <t>에이디테크놀로지</t>
        </is>
      </c>
      <c r="D105" s="2" t="inlineStr">
        <is>
          <t>코스닥</t>
        </is>
      </c>
      <c r="E105" s="2" t="inlineStr">
        <is>
          <t>200710</t>
        </is>
      </c>
      <c r="F105" s="2" t="inlineStr">
        <is>
          <t>기타</t>
        </is>
      </c>
      <c r="G105" s="4" t="inlineStr">
        <is>
          <t>기타경영사항(특허권취득)(자율공시)</t>
        </is>
      </c>
      <c r="H105" s="9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6" t="inlineStr"/>
      <c r="L105" s="2" t="inlineStr">
        <is>
          <t>-</t>
        </is>
      </c>
      <c r="M105" s="4" t="inlineStr"/>
      <c r="N105" s="9" t="inlineStr">
        <is>
          <t>-</t>
        </is>
      </c>
      <c r="O105" s="9" t="inlineStr">
        <is>
          <t>-</t>
        </is>
      </c>
      <c r="P105" s="2" t="inlineStr">
        <is>
          <t>20161115900058</t>
        </is>
      </c>
    </row>
    <row r="106" ht="36" customHeight="1">
      <c r="A106" s="2" t="inlineStr">
        <is>
          <t>2016-08-17</t>
        </is>
      </c>
      <c r="B106" s="3">
        <f>HYPERLINK("https://dart.fss.or.kr/dsaf001/main.do?rcpNo=20160817900057", "공시열람")</f>
        <v/>
      </c>
      <c r="C106" s="4" t="inlineStr">
        <is>
          <t>에이디테크놀로지</t>
        </is>
      </c>
      <c r="D106" s="2" t="inlineStr">
        <is>
          <t>코스닥</t>
        </is>
      </c>
      <c r="E106" s="2" t="inlineStr">
        <is>
          <t>200710</t>
        </is>
      </c>
      <c r="F106" s="2" t="inlineStr">
        <is>
          <t>기타</t>
        </is>
      </c>
      <c r="G106" s="4" t="inlineStr">
        <is>
          <t>기타경영사항(특허권취득)(자율공시)</t>
        </is>
      </c>
      <c r="H106" s="9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6" t="inlineStr"/>
      <c r="L106" s="2" t="inlineStr">
        <is>
          <t>-</t>
        </is>
      </c>
      <c r="M106" s="4" t="inlineStr"/>
      <c r="N106" s="9" t="inlineStr">
        <is>
          <t>-</t>
        </is>
      </c>
      <c r="O106" s="9" t="inlineStr">
        <is>
          <t>-</t>
        </is>
      </c>
      <c r="P106" s="2" t="inlineStr">
        <is>
          <t>20160817900057</t>
        </is>
      </c>
    </row>
    <row r="107" ht="36" customHeight="1">
      <c r="A107" s="2" t="inlineStr">
        <is>
          <t>2016-05-19</t>
        </is>
      </c>
      <c r="B107" s="3">
        <f>HYPERLINK("https://dart.fss.or.kr/dsaf001/main.do?rcpNo=20160519900055", "공시열람")</f>
        <v/>
      </c>
      <c r="C107" s="4" t="inlineStr">
        <is>
          <t>에이디테크놀로지</t>
        </is>
      </c>
      <c r="D107" s="2" t="inlineStr">
        <is>
          <t>코스닥</t>
        </is>
      </c>
      <c r="E107" s="2" t="inlineStr">
        <is>
          <t>200710</t>
        </is>
      </c>
      <c r="F107" s="2" t="inlineStr">
        <is>
          <t>기타</t>
        </is>
      </c>
      <c r="G107" s="4" t="inlineStr">
        <is>
          <t>기타경영사항(특허권취득)(자율공시)</t>
        </is>
      </c>
      <c r="H107" s="9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6" t="inlineStr"/>
      <c r="L107" s="2" t="inlineStr">
        <is>
          <t>-</t>
        </is>
      </c>
      <c r="M107" s="4" t="inlineStr"/>
      <c r="N107" s="9" t="inlineStr">
        <is>
          <t>-</t>
        </is>
      </c>
      <c r="O107" s="9" t="inlineStr">
        <is>
          <t>-</t>
        </is>
      </c>
      <c r="P107" s="2" t="inlineStr">
        <is>
          <t>20160519900055</t>
        </is>
      </c>
    </row>
    <row r="108" ht="36" customHeight="1">
      <c r="A108" s="2" t="inlineStr">
        <is>
          <t>2016-04-25</t>
        </is>
      </c>
      <c r="B108" s="3">
        <f>HYPERLINK("https://dart.fss.or.kr/dsaf001/main.do?rcpNo=20160425900126", "공시열람")</f>
        <v/>
      </c>
      <c r="C108" s="4" t="inlineStr">
        <is>
          <t>에이디테크놀로지</t>
        </is>
      </c>
      <c r="D108" s="2" t="inlineStr">
        <is>
          <t>코스닥</t>
        </is>
      </c>
      <c r="E108" s="2" t="inlineStr">
        <is>
          <t>200710</t>
        </is>
      </c>
      <c r="F108" s="2" t="inlineStr">
        <is>
          <t>기타</t>
        </is>
      </c>
      <c r="G108" s="4" t="inlineStr">
        <is>
          <t>기타경영사항(특허권취득)(자율공시)</t>
        </is>
      </c>
      <c r="H108" s="9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6" t="inlineStr"/>
      <c r="L108" s="2" t="inlineStr">
        <is>
          <t>-</t>
        </is>
      </c>
      <c r="M108" s="4" t="inlineStr"/>
      <c r="N108" s="9" t="inlineStr">
        <is>
          <t>-</t>
        </is>
      </c>
      <c r="O108" s="9" t="inlineStr">
        <is>
          <t>-</t>
        </is>
      </c>
      <c r="P108" s="2" t="inlineStr">
        <is>
          <t>20160425900126</t>
        </is>
      </c>
    </row>
    <row r="109" ht="36" customHeight="1">
      <c r="A109" s="2" t="inlineStr">
        <is>
          <t>2016-04-25</t>
        </is>
      </c>
      <c r="B109" s="3">
        <f>HYPERLINK("https://dart.fss.or.kr/dsaf001/main.do?rcpNo=20160425900127", "공시열람")</f>
        <v/>
      </c>
      <c r="C109" s="4" t="inlineStr">
        <is>
          <t>에이디테크놀로지</t>
        </is>
      </c>
      <c r="D109" s="2" t="inlineStr">
        <is>
          <t>코스닥</t>
        </is>
      </c>
      <c r="E109" s="2" t="inlineStr">
        <is>
          <t>200710</t>
        </is>
      </c>
      <c r="F109" s="2" t="inlineStr">
        <is>
          <t>기타</t>
        </is>
      </c>
      <c r="G109" s="4" t="inlineStr">
        <is>
          <t>기타경영사항(특허권취득)(자율공시)</t>
        </is>
      </c>
      <c r="H109" s="9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6" t="inlineStr"/>
      <c r="L109" s="2" t="inlineStr">
        <is>
          <t>-</t>
        </is>
      </c>
      <c r="M109" s="4" t="inlineStr"/>
      <c r="N109" s="9" t="inlineStr">
        <is>
          <t>-</t>
        </is>
      </c>
      <c r="O109" s="9" t="inlineStr">
        <is>
          <t>-</t>
        </is>
      </c>
      <c r="P109" s="2" t="inlineStr">
        <is>
          <t>20160425900127</t>
        </is>
      </c>
    </row>
  </sheetData>
  <autoFilter ref="A1:P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6" customWidth="1" min="2" max="2"/>
    <col hidden="1" width="10" customWidth="1" min="3" max="3"/>
    <col hidden="1" width="10" customWidth="1" min="4" max="4"/>
    <col width="25" customWidth="1" min="5" max="5"/>
    <col width="10" customWidth="1" min="6" max="6"/>
    <col width="10" customWidth="1" min="7" max="7"/>
    <col width="32" customWidth="1" min="8" max="8"/>
    <col width="25" customWidth="1" min="9" max="9"/>
    <col width="14" customWidth="1" min="10" max="10"/>
    <col width="10" customWidth="1" min="11" max="11"/>
    <col width="15.2" customWidth="1" min="12" max="12"/>
    <col width="10" customWidth="1" min="13" max="13"/>
    <col width="10" customWidth="1" min="14" max="14"/>
    <col width="10" customWidth="1" min="15" max="15"/>
    <col width="32" customWidth="1" min="16" max="16"/>
    <col width="14" customWidth="1" min="17" max="17"/>
    <col width="14" customWidth="1" min="18" max="18"/>
    <col width="18.8" customWidth="1" min="19" max="19"/>
    <col width="10" customWidth="1" min="20" max="20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시장구분</t>
        </is>
      </c>
      <c r="D1" s="1" t="inlineStr">
        <is>
          <t>종목코드</t>
        </is>
      </c>
      <c r="E1" s="1" t="inlineStr">
        <is>
          <t>공시명</t>
        </is>
      </c>
      <c r="F1" s="1" t="inlineStr">
        <is>
          <t>구분</t>
        </is>
      </c>
      <c r="G1" s="1" t="inlineStr">
        <is>
          <t>대상</t>
        </is>
      </c>
      <c r="H1" s="1" t="inlineStr">
        <is>
          <t>자산명/발행회사</t>
        </is>
      </c>
      <c r="I1" s="1" t="inlineStr">
        <is>
          <t>자산구분</t>
        </is>
      </c>
      <c r="J1" s="1" t="inlineStr">
        <is>
          <t>거래상대방</t>
        </is>
      </c>
      <c r="K1" s="1" t="inlineStr">
        <is>
          <t>관계</t>
        </is>
      </c>
      <c r="L1" s="1" t="inlineStr">
        <is>
          <t>금액</t>
        </is>
      </c>
      <c r="M1" s="1" t="inlineStr">
        <is>
          <t>자산총액대비</t>
        </is>
      </c>
      <c r="N1" s="1" t="inlineStr">
        <is>
          <t>자기자본대비</t>
        </is>
      </c>
      <c r="O1" s="1" t="inlineStr">
        <is>
          <t>거래후지분율</t>
        </is>
      </c>
      <c r="P1" s="1" t="inlineStr">
        <is>
          <t>목적</t>
        </is>
      </c>
      <c r="Q1" s="1" t="inlineStr">
        <is>
          <t>예정일자</t>
        </is>
      </c>
      <c r="R1" s="1" t="inlineStr">
        <is>
          <t>이사회결의일</t>
        </is>
      </c>
      <c r="S1" s="1" t="inlineStr">
        <is>
          <t>접수번호</t>
        </is>
      </c>
      <c r="T1" s="1" t="inlineStr">
        <is>
          <t>DART링크</t>
        </is>
      </c>
    </row>
    <row r="2" ht="36" customHeight="1">
      <c r="A2" s="2" t="inlineStr">
        <is>
          <t>2023-03-17</t>
        </is>
      </c>
      <c r="B2" s="4" t="inlineStr">
        <is>
          <t>에이디테크놀로지</t>
        </is>
      </c>
      <c r="C2" s="2" t="inlineStr">
        <is>
          <t>코스닥</t>
        </is>
      </c>
      <c r="D2" s="2" t="inlineStr">
        <is>
          <t>200710</t>
        </is>
      </c>
      <c r="E2" s="4" t="inlineStr">
        <is>
          <t>[기재정정]유형자산취득결정(자율공시)</t>
        </is>
      </c>
      <c r="F2" s="2" t="inlineStr">
        <is>
          <t>취득ㆍ양수</t>
        </is>
      </c>
      <c r="G2" s="2" t="inlineStr">
        <is>
          <t>유형자산</t>
        </is>
      </c>
      <c r="H2" s="9" t="inlineStr">
        <is>
          <t>-</t>
        </is>
      </c>
      <c r="I2" s="4" t="inlineStr">
        <is>
          <t>- 판교제2테크노밸리 글로벌비즈센터(G5블록A-501~513, D-501~508)</t>
        </is>
      </c>
      <c r="J2" s="4" t="inlineStr">
        <is>
          <t>경기주택도시공사</t>
        </is>
      </c>
      <c r="K2" s="4" t="inlineStr">
        <is>
          <t>-</t>
        </is>
      </c>
      <c r="L2" s="6" t="n">
        <v>18213700000</v>
      </c>
      <c r="M2" s="13" t="n">
        <v>7.78</v>
      </c>
      <c r="N2" s="2" t="inlineStr"/>
      <c r="O2" s="2" t="inlineStr"/>
      <c r="P2" s="9" t="inlineStr">
        <is>
          <t>연구 및 업무시설 확충을 통한 지속적인 성장기반 구축(사업 확장 및 우수인력 고용 확대 등)</t>
        </is>
      </c>
      <c r="Q2" s="2" t="inlineStr">
        <is>
          <t>2023-05-12</t>
        </is>
      </c>
      <c r="R2" s="2" t="inlineStr">
        <is>
          <t>2023-01-25</t>
        </is>
      </c>
      <c r="S2" s="2" t="inlineStr">
        <is>
          <t>20230317901300</t>
        </is>
      </c>
      <c r="T2" s="3">
        <f>HYPERLINK("https://dart.fss.or.kr/dsaf001/main.do?rcpNo=20230317901300", "공시열람")</f>
        <v/>
      </c>
    </row>
    <row r="3" ht="36" customHeight="1">
      <c r="A3" s="2" t="inlineStr">
        <is>
          <t>2023-01-25</t>
        </is>
      </c>
      <c r="B3" s="4" t="inlineStr">
        <is>
          <t>에이디테크놀로지</t>
        </is>
      </c>
      <c r="C3" s="2" t="inlineStr">
        <is>
          <t>코스닥</t>
        </is>
      </c>
      <c r="D3" s="2" t="inlineStr">
        <is>
          <t>200710</t>
        </is>
      </c>
      <c r="E3" s="4" t="inlineStr">
        <is>
          <t>유형자산취득결정(자율공시)</t>
        </is>
      </c>
      <c r="F3" s="2" t="inlineStr">
        <is>
          <t>취득ㆍ양수</t>
        </is>
      </c>
      <c r="G3" s="2" t="inlineStr">
        <is>
          <t>유형자산</t>
        </is>
      </c>
      <c r="H3" s="9" t="inlineStr">
        <is>
          <t>-</t>
        </is>
      </c>
      <c r="I3" s="4" t="inlineStr">
        <is>
          <t>- 판교제2테크노밸리 글로벌비즈센터(G5블록A-501~513, D-501~508)</t>
        </is>
      </c>
      <c r="J3" s="4" t="inlineStr">
        <is>
          <t>경기주택도시공사</t>
        </is>
      </c>
      <c r="K3" s="4" t="inlineStr">
        <is>
          <t>-</t>
        </is>
      </c>
      <c r="L3" s="6" t="n">
        <v>18213700000</v>
      </c>
      <c r="M3" s="13" t="n">
        <v>7.78</v>
      </c>
      <c r="N3" s="2" t="inlineStr"/>
      <c r="O3" s="2" t="inlineStr"/>
      <c r="P3" s="9" t="inlineStr">
        <is>
          <t>연구 및 업무시설 확충을 통한 지속적인 성장기반 구축(사업 확장 및 우수인력 고용 확대 등)</t>
        </is>
      </c>
      <c r="Q3" s="2" t="inlineStr">
        <is>
          <t>2023-03-17</t>
        </is>
      </c>
      <c r="R3" s="2" t="inlineStr">
        <is>
          <t>2023-01-25</t>
        </is>
      </c>
      <c r="S3" s="2" t="inlineStr">
        <is>
          <t>20230125900634</t>
        </is>
      </c>
      <c r="T3" s="3">
        <f>HYPERLINK("https://dart.fss.or.kr/dsaf001/main.do?rcpNo=20230125900634", "공시열람")</f>
        <v/>
      </c>
    </row>
    <row r="4" ht="36" customHeight="1">
      <c r="A4" s="2" t="inlineStr">
        <is>
          <t>2020-07-02</t>
        </is>
      </c>
      <c r="B4" s="4" t="inlineStr">
        <is>
          <t>에이디테크놀로지</t>
        </is>
      </c>
      <c r="C4" s="2" t="inlineStr">
        <is>
          <t>코스닥</t>
        </is>
      </c>
      <c r="D4" s="2" t="inlineStr">
        <is>
          <t>200710</t>
        </is>
      </c>
      <c r="E4" s="4" t="inlineStr">
        <is>
          <t>주요사항보고서(유형자산양수결정)</t>
        </is>
      </c>
      <c r="F4" s="2" t="inlineStr">
        <is>
          <t>취득ㆍ양수</t>
        </is>
      </c>
      <c r="G4" s="2" t="inlineStr">
        <is>
          <t>유형자산</t>
        </is>
      </c>
      <c r="H4" s="9" t="inlineStr">
        <is>
          <t>경기도 수원시 영통구 광교중앙로248번길 7-8 (하동 989-3번지)</t>
        </is>
      </c>
      <c r="I4" s="4" t="inlineStr">
        <is>
          <t>토지 및 건물</t>
        </is>
      </c>
      <c r="J4" s="4" t="inlineStr">
        <is>
          <t>원일건설산업주식회사</t>
        </is>
      </c>
      <c r="K4" s="4" t="inlineStr">
        <is>
          <t>-</t>
        </is>
      </c>
      <c r="L4" s="6" t="n">
        <v>38000000000</v>
      </c>
      <c r="M4" s="13" t="n">
        <v>34.49</v>
      </c>
      <c r="N4" s="2" t="inlineStr"/>
      <c r="O4" s="2" t="inlineStr"/>
      <c r="P4" s="9" t="inlineStr">
        <is>
          <t>사업 확장을 위한 업무시설 확충 및 경영효율화 증대</t>
        </is>
      </c>
      <c r="Q4" s="2" t="inlineStr">
        <is>
          <t>2020-07-27</t>
        </is>
      </c>
      <c r="R4" s="2" t="inlineStr">
        <is>
          <t>2020-07-02</t>
        </is>
      </c>
      <c r="S4" s="2" t="inlineStr">
        <is>
          <t>20200702000253</t>
        </is>
      </c>
      <c r="T4" s="3">
        <f>HYPERLINK("https://dart.fss.or.kr/dsaf001/main.do?rcpNo=20200702000253", "공시열람")</f>
        <v/>
      </c>
    </row>
  </sheetData>
  <autoFilter ref="A1:T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6" customWidth="1" min="2" max="2"/>
    <col hidden="1" width="10" customWidth="1" min="3" max="3"/>
    <col hidden="1" width="10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0" customWidth="1" min="14" max="14"/>
    <col width="16" customWidth="1" min="15" max="15"/>
    <col width="10" customWidth="1" min="16" max="16"/>
    <col width="18" customWidth="1" min="17" max="17"/>
    <col width="10" customWidth="1" min="18" max="18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보고구분</t>
        </is>
      </c>
      <c r="E1" s="1" t="inlineStr">
        <is>
          <t>거래 시작일</t>
        </is>
      </c>
      <c r="F1" s="1" t="inlineStr">
        <is>
          <t>거래 종료일</t>
        </is>
      </c>
      <c r="G1" s="1" t="inlineStr">
        <is>
          <t>보고자(주체)</t>
        </is>
      </c>
      <c r="H1" s="1" t="inlineStr">
        <is>
          <t>관계</t>
        </is>
      </c>
      <c r="I1" s="1" t="inlineStr">
        <is>
          <t>변동사유</t>
        </is>
      </c>
      <c r="J1" s="1" t="inlineStr">
        <is>
          <t>증감(주)</t>
        </is>
      </c>
      <c r="K1" s="1" t="inlineStr">
        <is>
          <t>단가(원)</t>
        </is>
      </c>
      <c r="L1" s="1" t="inlineStr">
        <is>
          <t>거래액(원)</t>
        </is>
      </c>
      <c r="M1" s="1" t="inlineStr">
        <is>
          <t>변동전 보유(주)</t>
        </is>
      </c>
      <c r="N1" s="1" t="inlineStr">
        <is>
          <t>변동전 비율(%)</t>
        </is>
      </c>
      <c r="O1" s="1" t="inlineStr">
        <is>
          <t>변동후 보유(주)</t>
        </is>
      </c>
      <c r="P1" s="1" t="inlineStr">
        <is>
          <t>보유비율(%)</t>
        </is>
      </c>
      <c r="Q1" s="1" t="inlineStr">
        <is>
          <t>접수번호</t>
        </is>
      </c>
      <c r="R1" s="1" t="inlineStr">
        <is>
          <t>DART링크</t>
        </is>
      </c>
    </row>
    <row r="2">
      <c r="A2" s="2" t="inlineStr">
        <is>
          <t>2026-04-23</t>
        </is>
      </c>
      <c r="B2" s="4" t="inlineStr">
        <is>
          <t>에이디테크놀로지</t>
        </is>
      </c>
      <c r="C2" s="2" t="inlineStr">
        <is>
          <t>200710</t>
        </is>
      </c>
      <c r="D2" s="2" t="inlineStr">
        <is>
          <t>임원보고</t>
        </is>
      </c>
      <c r="E2" s="2" t="inlineStr">
        <is>
          <t>2026-04-17</t>
        </is>
      </c>
      <c r="F2" s="2" t="inlineStr">
        <is>
          <t>2026-04-17</t>
        </is>
      </c>
      <c r="G2" s="4" t="inlineStr">
        <is>
          <t>이은주</t>
        </is>
      </c>
      <c r="H2" s="4" t="inlineStr">
        <is>
          <t>비등기임원 SVP</t>
        </is>
      </c>
      <c r="I2" s="4" t="inlineStr">
        <is>
          <t>주식매수청구권 행사(+)</t>
        </is>
      </c>
      <c r="J2" s="14" t="n">
        <v>1609</v>
      </c>
      <c r="K2" s="7" t="n">
        <v>27389</v>
      </c>
      <c r="L2" s="14" t="n">
        <v>44068901</v>
      </c>
      <c r="M2" s="7" t="inlineStr"/>
      <c r="N2" s="15" t="inlineStr"/>
      <c r="O2" s="7" t="n">
        <v>27568</v>
      </c>
      <c r="P2" s="16" t="n">
        <v>0.2</v>
      </c>
      <c r="Q2" s="2" t="inlineStr">
        <is>
          <t>20260423000343</t>
        </is>
      </c>
      <c r="R2" s="3">
        <f>HYPERLINK("https://dart.fss.or.kr/dsaf001/main.do?rcpNo=20260423000343", "공시열람")</f>
        <v/>
      </c>
    </row>
    <row r="3">
      <c r="A3" s="2" t="inlineStr">
        <is>
          <t>2026-04-23</t>
        </is>
      </c>
      <c r="B3" s="4" t="inlineStr">
        <is>
          <t>에이디테크놀로지</t>
        </is>
      </c>
      <c r="C3" s="2" t="inlineStr">
        <is>
          <t>200710</t>
        </is>
      </c>
      <c r="D3" s="2" t="inlineStr">
        <is>
          <t>임원보고</t>
        </is>
      </c>
      <c r="E3" s="2" t="inlineStr">
        <is>
          <t>2026-04-17</t>
        </is>
      </c>
      <c r="F3" s="2" t="inlineStr">
        <is>
          <t>2026-04-17</t>
        </is>
      </c>
      <c r="G3" s="4" t="inlineStr">
        <is>
          <t>김선민</t>
        </is>
      </c>
      <c r="H3" s="4" t="inlineStr">
        <is>
          <t>비등기임원 SVP</t>
        </is>
      </c>
      <c r="I3" s="4" t="inlineStr">
        <is>
          <t>주식매수선택권(+)</t>
        </is>
      </c>
      <c r="J3" s="14" t="n">
        <v>1345</v>
      </c>
      <c r="K3" s="7" t="n">
        <v>27389</v>
      </c>
      <c r="L3" s="14" t="n">
        <v>36838205</v>
      </c>
      <c r="M3" s="7" t="inlineStr"/>
      <c r="N3" s="15" t="inlineStr"/>
      <c r="O3" s="7" t="n">
        <v>1345</v>
      </c>
      <c r="P3" s="16" t="n">
        <v>0.01</v>
      </c>
      <c r="Q3" s="2" t="inlineStr">
        <is>
          <t>20260423000577</t>
        </is>
      </c>
      <c r="R3" s="3">
        <f>HYPERLINK("https://dart.fss.or.kr/dsaf001/main.do?rcpNo=20260423000577", "공시열람")</f>
        <v/>
      </c>
    </row>
    <row r="4">
      <c r="A4" s="2" t="inlineStr">
        <is>
          <t>2026-04-23</t>
        </is>
      </c>
      <c r="B4" s="4" t="inlineStr">
        <is>
          <t>에이디테크놀로지</t>
        </is>
      </c>
      <c r="C4" s="2" t="inlineStr">
        <is>
          <t>200710</t>
        </is>
      </c>
      <c r="D4" s="2" t="inlineStr">
        <is>
          <t>임원보고</t>
        </is>
      </c>
      <c r="E4" s="2" t="inlineStr">
        <is>
          <t>2025-11-04</t>
        </is>
      </c>
      <c r="F4" s="2" t="inlineStr">
        <is>
          <t>2025-11-04</t>
        </is>
      </c>
      <c r="G4" s="4" t="inlineStr">
        <is>
          <t>김선민</t>
        </is>
      </c>
      <c r="H4" s="4" t="inlineStr">
        <is>
          <t>비등기임원 SVP</t>
        </is>
      </c>
      <c r="I4" s="4" t="inlineStr">
        <is>
          <t>기타(+)</t>
        </is>
      </c>
      <c r="J4" s="14" t="n">
        <v>1</v>
      </c>
      <c r="K4" s="7" t="n">
        <v>27389</v>
      </c>
      <c r="L4" s="14" t="n">
        <v>27389</v>
      </c>
      <c r="M4" s="7" t="inlineStr"/>
      <c r="N4" s="15" t="inlineStr"/>
      <c r="O4" s="7" t="n">
        <v>1</v>
      </c>
      <c r="P4" s="16" t="n">
        <v>0.01</v>
      </c>
      <c r="Q4" s="2" t="inlineStr">
        <is>
          <t>20260423000577</t>
        </is>
      </c>
      <c r="R4" s="3">
        <f>HYPERLINK("https://dart.fss.or.kr/dsaf001/main.do?rcpNo=20260423000577", "공시열람")</f>
        <v/>
      </c>
    </row>
    <row r="5">
      <c r="A5" s="2" t="inlineStr">
        <is>
          <t>2026-04-23</t>
        </is>
      </c>
      <c r="B5" s="4" t="inlineStr">
        <is>
          <t>에이디테크놀로지</t>
        </is>
      </c>
      <c r="C5" s="2" t="inlineStr">
        <is>
          <t>200710</t>
        </is>
      </c>
      <c r="D5" s="2" t="inlineStr">
        <is>
          <t>임원보고</t>
        </is>
      </c>
      <c r="E5" s="2" t="inlineStr">
        <is>
          <t>2026-04-17</t>
        </is>
      </c>
      <c r="F5" s="2" t="inlineStr">
        <is>
          <t>2026-04-17</t>
        </is>
      </c>
      <c r="G5" s="4" t="inlineStr">
        <is>
          <t>김귀우</t>
        </is>
      </c>
      <c r="H5" s="4" t="inlineStr">
        <is>
          <t>비등기임원 VP</t>
        </is>
      </c>
      <c r="I5" s="4" t="inlineStr">
        <is>
          <t>주식매수청구권 행사(+)</t>
        </is>
      </c>
      <c r="J5" s="14" t="n">
        <v>1354</v>
      </c>
      <c r="K5" s="7" t="n">
        <v>27389</v>
      </c>
      <c r="L5" s="14" t="n">
        <v>37084706</v>
      </c>
      <c r="M5" s="7" t="inlineStr"/>
      <c r="N5" s="15" t="inlineStr"/>
      <c r="O5" s="7" t="n">
        <v>2699</v>
      </c>
      <c r="P5" s="16" t="n">
        <v>0.02</v>
      </c>
      <c r="Q5" s="2" t="inlineStr">
        <is>
          <t>20260423000646</t>
        </is>
      </c>
      <c r="R5" s="3">
        <f>HYPERLINK("https://dart.fss.or.kr/dsaf001/main.do?rcpNo=20260423000646", "공시열람")</f>
        <v/>
      </c>
    </row>
    <row r="6">
      <c r="A6" s="2" t="inlineStr">
        <is>
          <t>2026-04-23</t>
        </is>
      </c>
      <c r="B6" s="4" t="inlineStr">
        <is>
          <t>에이디테크놀로지</t>
        </is>
      </c>
      <c r="C6" s="2" t="inlineStr">
        <is>
          <t>200710</t>
        </is>
      </c>
      <c r="D6" s="2" t="inlineStr">
        <is>
          <t>임원보고</t>
        </is>
      </c>
      <c r="E6" s="2" t="inlineStr">
        <is>
          <t>2026-04-17</t>
        </is>
      </c>
      <c r="F6" s="2" t="inlineStr">
        <is>
          <t>2026-04-17</t>
        </is>
      </c>
      <c r="G6" s="4" t="inlineStr">
        <is>
          <t>김종민</t>
        </is>
      </c>
      <c r="H6" s="4" t="inlineStr">
        <is>
          <t>비등기임원 VP</t>
        </is>
      </c>
      <c r="I6" s="4" t="inlineStr">
        <is>
          <t>주식매수선택권(+)</t>
        </is>
      </c>
      <c r="J6" s="14" t="n">
        <v>447</v>
      </c>
      <c r="K6" s="7" t="n">
        <v>27389</v>
      </c>
      <c r="L6" s="14" t="n">
        <v>12242883</v>
      </c>
      <c r="M6" s="7" t="inlineStr"/>
      <c r="N6" s="15" t="inlineStr"/>
      <c r="O6" s="7" t="n">
        <v>447</v>
      </c>
      <c r="P6" s="15" t="inlineStr"/>
      <c r="Q6" s="2" t="inlineStr">
        <is>
          <t>20260423000703</t>
        </is>
      </c>
      <c r="R6" s="3">
        <f>HYPERLINK("https://dart.fss.or.kr/dsaf001/main.do?rcpNo=20260423000703", "공시열람")</f>
        <v/>
      </c>
    </row>
    <row r="7">
      <c r="A7" s="2" t="inlineStr">
        <is>
          <t>2026-04-02</t>
        </is>
      </c>
      <c r="B7" s="4" t="inlineStr">
        <is>
          <t>에이디테크놀로지</t>
        </is>
      </c>
      <c r="C7" s="2" t="inlineStr">
        <is>
          <t>200710</t>
        </is>
      </c>
      <c r="D7" s="2" t="inlineStr">
        <is>
          <t>대량보유</t>
        </is>
      </c>
      <c r="E7" s="2" t="inlineStr">
        <is>
          <t>2023-02-16</t>
        </is>
      </c>
      <c r="F7" s="2" t="inlineStr">
        <is>
          <t>2023-02-16</t>
        </is>
      </c>
      <c r="G7" s="4" t="inlineStr">
        <is>
          <t>박준규</t>
        </is>
      </c>
      <c r="H7" s="4" t="inlineStr">
        <is>
          <t>특별관계자</t>
        </is>
      </c>
      <c r="I7" s="4" t="inlineStr">
        <is>
          <t>주식매수선택권부여(+)</t>
        </is>
      </c>
      <c r="J7" s="14" t="n">
        <v>263</v>
      </c>
      <c r="K7" s="7" t="n">
        <v>17530</v>
      </c>
      <c r="L7" s="14" t="n">
        <v>4610390</v>
      </c>
      <c r="M7" s="7" t="n">
        <v>2466303</v>
      </c>
      <c r="N7" s="16" t="n">
        <v>18.35</v>
      </c>
      <c r="O7" s="7" t="n">
        <v>78591</v>
      </c>
      <c r="P7" s="16" t="n">
        <v>18.35</v>
      </c>
      <c r="Q7" s="2" t="inlineStr">
        <is>
          <t>20260402003788</t>
        </is>
      </c>
      <c r="R7" s="3">
        <f>HYPERLINK("https://dart.fss.or.kr/dsaf001/main.do?rcpNo=20260402003788", "공시열람")</f>
        <v/>
      </c>
    </row>
    <row r="8">
      <c r="A8" s="2" t="inlineStr">
        <is>
          <t>2025-12-04</t>
        </is>
      </c>
      <c r="B8" s="4" t="inlineStr">
        <is>
          <t>에이디테크놀로지</t>
        </is>
      </c>
      <c r="C8" s="2" t="inlineStr">
        <is>
          <t>200710</t>
        </is>
      </c>
      <c r="D8" s="2" t="inlineStr">
        <is>
          <t>임원보고</t>
        </is>
      </c>
      <c r="E8" s="2" t="inlineStr">
        <is>
          <t>2025-11-04</t>
        </is>
      </c>
      <c r="F8" s="2" t="inlineStr">
        <is>
          <t>2025-11-04</t>
        </is>
      </c>
      <c r="G8" s="4" t="inlineStr">
        <is>
          <t>김선민</t>
        </is>
      </c>
      <c r="H8" s="4" t="inlineStr">
        <is>
          <t>비등기임원 전무</t>
        </is>
      </c>
      <c r="I8" s="4" t="inlineStr">
        <is>
          <t>장내매도(-)</t>
        </is>
      </c>
      <c r="J8" s="17" t="n">
        <v>-1345</v>
      </c>
      <c r="K8" s="7" t="n">
        <v>25050</v>
      </c>
      <c r="L8" s="17" t="n">
        <v>-33692250</v>
      </c>
      <c r="M8" s="7" t="inlineStr"/>
      <c r="N8" s="15" t="inlineStr"/>
      <c r="O8" s="7" t="inlineStr"/>
      <c r="P8" s="15" t="inlineStr"/>
      <c r="Q8" s="2" t="inlineStr">
        <is>
          <t>20251204000457</t>
        </is>
      </c>
      <c r="R8" s="3">
        <f>HYPERLINK("https://dart.fss.or.kr/dsaf001/main.do?rcpNo=20251204000457", "공시열람")</f>
        <v/>
      </c>
    </row>
    <row r="9">
      <c r="A9" s="2" t="inlineStr">
        <is>
          <t>2025-10-01</t>
        </is>
      </c>
      <c r="B9" s="4" t="inlineStr">
        <is>
          <t>에이디테크놀로지</t>
        </is>
      </c>
      <c r="C9" s="2" t="inlineStr">
        <is>
          <t>200710</t>
        </is>
      </c>
      <c r="D9" s="2" t="inlineStr">
        <is>
          <t>대량보유</t>
        </is>
      </c>
      <c r="E9" s="2" t="inlineStr"/>
      <c r="F9" s="2" t="inlineStr"/>
      <c r="G9" s="4" t="inlineStr">
        <is>
          <t>김준석</t>
        </is>
      </c>
      <c r="H9" s="4" t="inlineStr">
        <is>
          <t>최대주주</t>
        </is>
      </c>
      <c r="I9" s="4" t="inlineStr">
        <is>
          <t>최대주주 주식담보 기간 연장 및 담보 주식수 변경</t>
        </is>
      </c>
      <c r="J9" s="7" t="inlineStr"/>
      <c r="K9" s="7" t="inlineStr"/>
      <c r="L9" s="7" t="inlineStr"/>
      <c r="M9" s="7" t="n">
        <v>2466303</v>
      </c>
      <c r="N9" s="16" t="n">
        <v>18.35</v>
      </c>
      <c r="O9" s="7" t="n">
        <v>2466303</v>
      </c>
      <c r="P9" s="16" t="n">
        <v>18.35</v>
      </c>
      <c r="Q9" s="2" t="inlineStr">
        <is>
          <t>20251001000194</t>
        </is>
      </c>
      <c r="R9" s="3">
        <f>HYPERLINK("https://dart.fss.or.kr/dsaf001/main.do?rcpNo=20251001000194", "공시열람")</f>
        <v/>
      </c>
    </row>
    <row r="10">
      <c r="A10" s="2" t="inlineStr">
        <is>
          <t>2025-04-02</t>
        </is>
      </c>
      <c r="B10" s="4" t="inlineStr">
        <is>
          <t>에이디테크놀로지</t>
        </is>
      </c>
      <c r="C10" s="2" t="inlineStr">
        <is>
          <t>200710</t>
        </is>
      </c>
      <c r="D10" s="2" t="inlineStr">
        <is>
          <t>대량보유</t>
        </is>
      </c>
      <c r="E10" s="2" t="inlineStr"/>
      <c r="F10" s="2" t="inlineStr"/>
      <c r="G10" s="4" t="inlineStr">
        <is>
          <t>김준석</t>
        </is>
      </c>
      <c r="H10" s="4" t="inlineStr">
        <is>
          <t>최대주주</t>
        </is>
      </c>
      <c r="I10" s="4" t="inlineStr">
        <is>
          <t>최대주주 주식담보 기간 연장 및 담보 주식수 변경</t>
        </is>
      </c>
      <c r="J10" s="7" t="inlineStr"/>
      <c r="K10" s="7" t="inlineStr"/>
      <c r="L10" s="7" t="inlineStr"/>
      <c r="M10" s="7" t="n">
        <v>2466303</v>
      </c>
      <c r="N10" s="16" t="n">
        <v>18.35</v>
      </c>
      <c r="O10" s="7" t="n">
        <v>2466303</v>
      </c>
      <c r="P10" s="16" t="n">
        <v>18.35</v>
      </c>
      <c r="Q10" s="2" t="inlineStr">
        <is>
          <t>20250402003357</t>
        </is>
      </c>
      <c r="R10" s="3">
        <f>HYPERLINK("https://dart.fss.or.kr/dsaf001/main.do?rcpNo=20250402003357", "공시열람")</f>
        <v/>
      </c>
    </row>
    <row r="11">
      <c r="A11" s="2" t="inlineStr">
        <is>
          <t>2025-01-07</t>
        </is>
      </c>
      <c r="B11" s="4" t="inlineStr">
        <is>
          <t>에이디테크놀로지</t>
        </is>
      </c>
      <c r="C11" s="2" t="inlineStr">
        <is>
          <t>200710</t>
        </is>
      </c>
      <c r="D11" s="2" t="inlineStr">
        <is>
          <t>대량보유</t>
        </is>
      </c>
      <c r="E11" s="2" t="inlineStr"/>
      <c r="F11" s="2" t="inlineStr"/>
      <c r="G11" s="4" t="inlineStr">
        <is>
          <t>김준석</t>
        </is>
      </c>
      <c r="H11" s="4" t="inlineStr">
        <is>
          <t>최대주주</t>
        </is>
      </c>
      <c r="I11" s="4" t="inlineStr">
        <is>
          <t>최대주주 주식담보 기간 연장 및 일부상환에 따른 담보 주식수 변경</t>
        </is>
      </c>
      <c r="J11" s="7" t="inlineStr"/>
      <c r="K11" s="7" t="inlineStr"/>
      <c r="L11" s="7" t="inlineStr"/>
      <c r="M11" s="7" t="n">
        <v>2466303</v>
      </c>
      <c r="N11" s="16" t="n">
        <v>18.35</v>
      </c>
      <c r="O11" s="7" t="n">
        <v>2466303</v>
      </c>
      <c r="P11" s="16" t="n">
        <v>18.35</v>
      </c>
      <c r="Q11" s="2" t="inlineStr">
        <is>
          <t>20250107000318</t>
        </is>
      </c>
      <c r="R11" s="3">
        <f>HYPERLINK("https://dart.fss.or.kr/dsaf001/main.do?rcpNo=20250107000318", "공시열람")</f>
        <v/>
      </c>
    </row>
    <row r="12">
      <c r="A12" s="2" t="inlineStr">
        <is>
          <t>2024-10-10</t>
        </is>
      </c>
      <c r="B12" s="4" t="inlineStr">
        <is>
          <t>에이디테크놀로지</t>
        </is>
      </c>
      <c r="C12" s="2" t="inlineStr">
        <is>
          <t>200710</t>
        </is>
      </c>
      <c r="D12" s="2" t="inlineStr">
        <is>
          <t>대량보유</t>
        </is>
      </c>
      <c r="E12" s="2" t="inlineStr"/>
      <c r="F12" s="2" t="inlineStr"/>
      <c r="G12" s="4" t="inlineStr">
        <is>
          <t>김준석</t>
        </is>
      </c>
      <c r="H12" s="4" t="inlineStr">
        <is>
          <t>최대주주</t>
        </is>
      </c>
      <c r="I12" s="4" t="inlineStr">
        <is>
          <t>최대주주 주식담보 기간 연장 및 일부상환에 따른 담보 주식수 변경</t>
        </is>
      </c>
      <c r="J12" s="7" t="inlineStr"/>
      <c r="K12" s="7" t="inlineStr"/>
      <c r="L12" s="7" t="inlineStr"/>
      <c r="M12" s="7" t="n">
        <v>2466303</v>
      </c>
      <c r="N12" s="16" t="n">
        <v>18.35</v>
      </c>
      <c r="O12" s="7" t="n">
        <v>2466303</v>
      </c>
      <c r="P12" s="16" t="n">
        <v>18.35</v>
      </c>
      <c r="Q12" s="2" t="inlineStr">
        <is>
          <t>20241010000035</t>
        </is>
      </c>
      <c r="R12" s="3">
        <f>HYPERLINK("https://dart.fss.or.kr/dsaf001/main.do?rcpNo=20241010000035", "공시열람")</f>
        <v/>
      </c>
    </row>
    <row r="13">
      <c r="A13" s="2" t="inlineStr">
        <is>
          <t>2024-07-15</t>
        </is>
      </c>
      <c r="B13" s="4" t="inlineStr">
        <is>
          <t>에이디테크놀로지</t>
        </is>
      </c>
      <c r="C13" s="2" t="inlineStr">
        <is>
          <t>200710</t>
        </is>
      </c>
      <c r="D13" s="2" t="inlineStr">
        <is>
          <t>대량보유</t>
        </is>
      </c>
      <c r="E13" s="2" t="inlineStr"/>
      <c r="F13" s="2" t="inlineStr"/>
      <c r="G13" s="4" t="inlineStr">
        <is>
          <t>김준석</t>
        </is>
      </c>
      <c r="H13" s="4" t="inlineStr">
        <is>
          <t>최대주주</t>
        </is>
      </c>
      <c r="I13" s="4" t="inlineStr">
        <is>
          <t>최대주주 주식담보 기간 연장 및 담보주식수 변경</t>
        </is>
      </c>
      <c r="J13" s="7" t="inlineStr"/>
      <c r="K13" s="7" t="inlineStr"/>
      <c r="L13" s="7" t="inlineStr"/>
      <c r="M13" s="7" t="n">
        <v>2466303</v>
      </c>
      <c r="N13" s="16" t="n">
        <v>18.37</v>
      </c>
      <c r="O13" s="7" t="n">
        <v>2466303</v>
      </c>
      <c r="P13" s="16" t="n">
        <v>18.35</v>
      </c>
      <c r="Q13" s="2" t="inlineStr">
        <is>
          <t>20240712000538</t>
        </is>
      </c>
      <c r="R13" s="3">
        <f>HYPERLINK("https://dart.fss.or.kr/dsaf001/main.do?rcpNo=20240712000538", "공시열람")</f>
        <v/>
      </c>
    </row>
    <row r="14">
      <c r="A14" s="2" t="inlineStr">
        <is>
          <t>2024-07-10</t>
        </is>
      </c>
      <c r="B14" s="4" t="inlineStr">
        <is>
          <t>에이디테크놀로지</t>
        </is>
      </c>
      <c r="C14" s="2" t="inlineStr">
        <is>
          <t>200710</t>
        </is>
      </c>
      <c r="D14" s="2" t="inlineStr">
        <is>
          <t>대량보유</t>
        </is>
      </c>
      <c r="E14" s="2" t="inlineStr">
        <is>
          <t>2024-04-05</t>
        </is>
      </c>
      <c r="F14" s="2" t="inlineStr">
        <is>
          <t>2024-04-05</t>
        </is>
      </c>
      <c r="G14" s="4" t="inlineStr">
        <is>
          <t>한국증권금융(주)</t>
        </is>
      </c>
      <c r="H14" s="4" t="inlineStr">
        <is>
          <t>주주</t>
        </is>
      </c>
      <c r="I14" s="4" t="inlineStr">
        <is>
          <t>신용공여에 따른 담보권 변동</t>
        </is>
      </c>
      <c r="J14" s="17" t="n">
        <v>-144119</v>
      </c>
      <c r="K14" s="7" t="n">
        <v>40000</v>
      </c>
      <c r="L14" s="17" t="n">
        <v>-5764760000</v>
      </c>
      <c r="M14" s="7" t="n">
        <v>673578</v>
      </c>
      <c r="N14" s="16" t="n">
        <v>5.02</v>
      </c>
      <c r="O14" s="7" t="n">
        <v>529459</v>
      </c>
      <c r="P14" s="16" t="n">
        <v>3.94</v>
      </c>
      <c r="Q14" s="2" t="inlineStr">
        <is>
          <t>20240710000340</t>
        </is>
      </c>
      <c r="R14" s="3">
        <f>HYPERLINK("https://dart.fss.or.kr/dsaf001/main.do?rcpNo=20240710000340", "공시열람")</f>
        <v/>
      </c>
    </row>
    <row r="15">
      <c r="A15" s="2" t="inlineStr">
        <is>
          <t>2024-04-17</t>
        </is>
      </c>
      <c r="B15" s="4" t="inlineStr">
        <is>
          <t>에이디테크놀로지</t>
        </is>
      </c>
      <c r="C15" s="2" t="inlineStr">
        <is>
          <t>200710</t>
        </is>
      </c>
      <c r="D15" s="2" t="inlineStr">
        <is>
          <t>임원보고</t>
        </is>
      </c>
      <c r="E15" s="2" t="inlineStr">
        <is>
          <t>2024-04-16</t>
        </is>
      </c>
      <c r="F15" s="2" t="inlineStr">
        <is>
          <t>2024-04-16</t>
        </is>
      </c>
      <c r="G15" s="4" t="inlineStr">
        <is>
          <t>김선민</t>
        </is>
      </c>
      <c r="H15" s="4" t="inlineStr">
        <is>
          <t>비등기임원 전무</t>
        </is>
      </c>
      <c r="I15" s="4" t="inlineStr">
        <is>
          <t>주식매수청구권 행사(+)</t>
        </is>
      </c>
      <c r="J15" s="14" t="n">
        <v>1345</v>
      </c>
      <c r="K15" s="7" t="n">
        <v>27389</v>
      </c>
      <c r="L15" s="14" t="n">
        <v>36838205</v>
      </c>
      <c r="M15" s="7" t="inlineStr"/>
      <c r="N15" s="15" t="inlineStr"/>
      <c r="O15" s="7" t="n">
        <v>1345</v>
      </c>
      <c r="P15" s="16" t="n">
        <v>0.01</v>
      </c>
      <c r="Q15" s="2" t="inlineStr">
        <is>
          <t>20240417000462</t>
        </is>
      </c>
      <c r="R15" s="3">
        <f>HYPERLINK("https://dart.fss.or.kr/dsaf001/main.do?rcpNo=20240417000462", "공시열람")</f>
        <v/>
      </c>
    </row>
    <row r="16">
      <c r="A16" s="2" t="inlineStr">
        <is>
          <t>2024-04-17</t>
        </is>
      </c>
      <c r="B16" s="4" t="inlineStr">
        <is>
          <t>에이디테크놀로지</t>
        </is>
      </c>
      <c r="C16" s="2" t="inlineStr">
        <is>
          <t>200710</t>
        </is>
      </c>
      <c r="D16" s="2" t="inlineStr">
        <is>
          <t>임원보고</t>
        </is>
      </c>
      <c r="E16" s="2" t="inlineStr">
        <is>
          <t>2024-04-16</t>
        </is>
      </c>
      <c r="F16" s="2" t="inlineStr">
        <is>
          <t>2024-04-16</t>
        </is>
      </c>
      <c r="G16" s="4" t="inlineStr">
        <is>
          <t>권두올</t>
        </is>
      </c>
      <c r="H16" s="4" t="inlineStr">
        <is>
          <t>비등기임원 전무</t>
        </is>
      </c>
      <c r="I16" s="4" t="inlineStr">
        <is>
          <t>주식매수청구권 행사(+)</t>
        </is>
      </c>
      <c r="J16" s="14" t="n">
        <v>88</v>
      </c>
      <c r="K16" s="7" t="n">
        <v>27389</v>
      </c>
      <c r="L16" s="14" t="n">
        <v>2410232</v>
      </c>
      <c r="M16" s="7" t="inlineStr"/>
      <c r="N16" s="15" t="inlineStr"/>
      <c r="O16" s="7" t="n">
        <v>88</v>
      </c>
      <c r="P16" s="16" t="n">
        <v>0.001</v>
      </c>
      <c r="Q16" s="2" t="inlineStr">
        <is>
          <t>20240417000466</t>
        </is>
      </c>
      <c r="R16" s="3">
        <f>HYPERLINK("https://dart.fss.or.kr/dsaf001/main.do?rcpNo=20240417000466", "공시열람")</f>
        <v/>
      </c>
    </row>
    <row r="17">
      <c r="A17" s="2" t="inlineStr">
        <is>
          <t>2024-04-17</t>
        </is>
      </c>
      <c r="B17" s="4" t="inlineStr">
        <is>
          <t>에이디테크놀로지</t>
        </is>
      </c>
      <c r="C17" s="2" t="inlineStr">
        <is>
          <t>200710</t>
        </is>
      </c>
      <c r="D17" s="2" t="inlineStr">
        <is>
          <t>임원보고</t>
        </is>
      </c>
      <c r="E17" s="2" t="inlineStr">
        <is>
          <t>2024-04-16</t>
        </is>
      </c>
      <c r="F17" s="2" t="inlineStr">
        <is>
          <t>2024-04-16</t>
        </is>
      </c>
      <c r="G17" s="4" t="inlineStr">
        <is>
          <t>이지숙</t>
        </is>
      </c>
      <c r="H17" s="4" t="inlineStr">
        <is>
          <t>비등기임원 이사</t>
        </is>
      </c>
      <c r="I17" s="4" t="inlineStr">
        <is>
          <t>주식매수청구권 행사(+)</t>
        </is>
      </c>
      <c r="J17" s="14" t="n">
        <v>447</v>
      </c>
      <c r="K17" s="7" t="n">
        <v>27389</v>
      </c>
      <c r="L17" s="14" t="n">
        <v>12242883</v>
      </c>
      <c r="M17" s="7" t="inlineStr"/>
      <c r="N17" s="15" t="inlineStr"/>
      <c r="O17" s="7" t="n">
        <v>447</v>
      </c>
      <c r="P17" s="16" t="n">
        <v>0.003</v>
      </c>
      <c r="Q17" s="2" t="inlineStr">
        <is>
          <t>20240417000442</t>
        </is>
      </c>
      <c r="R17" s="3">
        <f>HYPERLINK("https://dart.fss.or.kr/dsaf001/main.do?rcpNo=20240417000442", "공시열람")</f>
        <v/>
      </c>
    </row>
    <row r="18">
      <c r="A18" s="2" t="inlineStr">
        <is>
          <t>2024-04-17</t>
        </is>
      </c>
      <c r="B18" s="4" t="inlineStr">
        <is>
          <t>에이디테크놀로지</t>
        </is>
      </c>
      <c r="C18" s="2" t="inlineStr">
        <is>
          <t>200710</t>
        </is>
      </c>
      <c r="D18" s="2" t="inlineStr">
        <is>
          <t>임원보고</t>
        </is>
      </c>
      <c r="E18" s="2" t="inlineStr">
        <is>
          <t>2024-04-16</t>
        </is>
      </c>
      <c r="F18" s="2" t="inlineStr">
        <is>
          <t>2024-04-16</t>
        </is>
      </c>
      <c r="G18" s="4" t="inlineStr">
        <is>
          <t>김귀우</t>
        </is>
      </c>
      <c r="H18" s="4" t="inlineStr">
        <is>
          <t>비등기임원 전무</t>
        </is>
      </c>
      <c r="I18" s="4" t="inlineStr">
        <is>
          <t>주식매수청구권 행사(+)</t>
        </is>
      </c>
      <c r="J18" s="14" t="n">
        <v>1345</v>
      </c>
      <c r="K18" s="7" t="n">
        <v>27389</v>
      </c>
      <c r="L18" s="14" t="n">
        <v>36838205</v>
      </c>
      <c r="M18" s="7" t="inlineStr"/>
      <c r="N18" s="15" t="inlineStr"/>
      <c r="O18" s="7" t="n">
        <v>1345</v>
      </c>
      <c r="P18" s="16" t="n">
        <v>0.01</v>
      </c>
      <c r="Q18" s="2" t="inlineStr">
        <is>
          <t>20240417000454</t>
        </is>
      </c>
      <c r="R18" s="3">
        <f>HYPERLINK("https://dart.fss.or.kr/dsaf001/main.do?rcpNo=20240417000454", "공시열람")</f>
        <v/>
      </c>
    </row>
    <row r="19">
      <c r="A19" s="2" t="inlineStr">
        <is>
          <t>2024-04-09</t>
        </is>
      </c>
      <c r="B19" s="4" t="inlineStr">
        <is>
          <t>에이디테크놀로지</t>
        </is>
      </c>
      <c r="C19" s="2" t="inlineStr">
        <is>
          <t>200710</t>
        </is>
      </c>
      <c r="D19" s="2" t="inlineStr">
        <is>
          <t>대량보유</t>
        </is>
      </c>
      <c r="E19" s="2" t="inlineStr">
        <is>
          <t>2024-01-08</t>
        </is>
      </c>
      <c r="F19" s="2" t="inlineStr">
        <is>
          <t>2024-03-14</t>
        </is>
      </c>
      <c r="G19" s="4" t="inlineStr">
        <is>
          <t>한국증권금융(주)</t>
        </is>
      </c>
      <c r="H19" s="4" t="inlineStr">
        <is>
          <t>주주</t>
        </is>
      </c>
      <c r="I19" s="4" t="inlineStr">
        <is>
          <t>신용공여에 따른 담보권 신규취득 및 변동</t>
        </is>
      </c>
      <c r="J19" s="17" t="n">
        <v>-85908</v>
      </c>
      <c r="K19" s="7" t="n">
        <v>33758</v>
      </c>
      <c r="L19" s="17" t="n">
        <v>-2900082264</v>
      </c>
      <c r="M19" s="7" t="n">
        <v>759486</v>
      </c>
      <c r="N19" s="16" t="n">
        <v>5.66</v>
      </c>
      <c r="O19" s="7" t="n">
        <v>673578</v>
      </c>
      <c r="P19" s="16" t="n">
        <v>5.02</v>
      </c>
      <c r="Q19" s="2" t="inlineStr">
        <is>
          <t>20240409002076</t>
        </is>
      </c>
      <c r="R19" s="3">
        <f>HYPERLINK("https://dart.fss.or.kr/dsaf001/main.do?rcpNo=20240409002076", "공시열람")</f>
        <v/>
      </c>
    </row>
    <row r="20">
      <c r="A20" s="2" t="inlineStr">
        <is>
          <t>2024-04-04</t>
        </is>
      </c>
      <c r="B20" s="4" t="inlineStr">
        <is>
          <t>에이디테크놀로지</t>
        </is>
      </c>
      <c r="C20" s="2" t="inlineStr">
        <is>
          <t>200710</t>
        </is>
      </c>
      <c r="D20" s="2" t="inlineStr">
        <is>
          <t>대량보유</t>
        </is>
      </c>
      <c r="E20" s="2" t="inlineStr"/>
      <c r="F20" s="2" t="inlineStr"/>
      <c r="G20" s="4" t="inlineStr">
        <is>
          <t>김준석</t>
        </is>
      </c>
      <c r="H20" s="4" t="inlineStr">
        <is>
          <t>최대주주</t>
        </is>
      </c>
      <c r="I20" s="4" t="inlineStr">
        <is>
          <t>최대주주 주식담보 기간 연장 및 담보주식수 변경</t>
        </is>
      </c>
      <c r="J20" s="7" t="inlineStr"/>
      <c r="K20" s="7" t="inlineStr"/>
      <c r="L20" s="7" t="inlineStr"/>
      <c r="M20" s="7" t="n">
        <v>2466303</v>
      </c>
      <c r="N20" s="16" t="n">
        <v>18.37</v>
      </c>
      <c r="O20" s="7" t="n">
        <v>2466303</v>
      </c>
      <c r="P20" s="16" t="n">
        <v>18.37</v>
      </c>
      <c r="Q20" s="2" t="inlineStr">
        <is>
          <t>20240404003222</t>
        </is>
      </c>
      <c r="R20" s="3">
        <f>HYPERLINK("https://dart.fss.or.kr/dsaf001/main.do?rcpNo=20240404003222", "공시열람")</f>
        <v/>
      </c>
    </row>
    <row r="21">
      <c r="A21" s="2" t="inlineStr">
        <is>
          <t>2024-01-10</t>
        </is>
      </c>
      <c r="B21" s="4" t="inlineStr">
        <is>
          <t>에이디테크놀로지</t>
        </is>
      </c>
      <c r="C21" s="2" t="inlineStr">
        <is>
          <t>200710</t>
        </is>
      </c>
      <c r="D21" s="2" t="inlineStr">
        <is>
          <t>대량보유</t>
        </is>
      </c>
      <c r="E21" s="2" t="inlineStr">
        <is>
          <t>2023-12-28</t>
        </is>
      </c>
      <c r="F21" s="2" t="inlineStr">
        <is>
          <t>2023-12-28</t>
        </is>
      </c>
      <c r="G21" s="4" t="inlineStr">
        <is>
          <t>한국증권금융(주)</t>
        </is>
      </c>
      <c r="H21" s="4" t="inlineStr">
        <is>
          <t>주주</t>
        </is>
      </c>
      <c r="I21" s="4" t="inlineStr">
        <is>
          <t>신용공여에 따른 담보권 신규취득</t>
        </is>
      </c>
      <c r="J21" s="14" t="n">
        <v>264018</v>
      </c>
      <c r="K21" s="7" t="n">
        <v>32300</v>
      </c>
      <c r="L21" s="14" t="n">
        <v>8527781400</v>
      </c>
      <c r="M21" s="7" t="n">
        <v>495468</v>
      </c>
      <c r="N21" s="16" t="n">
        <v>3.69</v>
      </c>
      <c r="O21" s="7" t="n">
        <v>759486</v>
      </c>
      <c r="P21" s="16" t="n">
        <v>5.66</v>
      </c>
      <c r="Q21" s="2" t="inlineStr">
        <is>
          <t>20240110000262</t>
        </is>
      </c>
      <c r="R21" s="3">
        <f>HYPERLINK("https://dart.fss.or.kr/dsaf001/main.do?rcpNo=20240110000262", "공시열람")</f>
        <v/>
      </c>
    </row>
    <row r="22">
      <c r="A22" s="2" t="inlineStr">
        <is>
          <t>2024-01-05</t>
        </is>
      </c>
      <c r="B22" s="4" t="inlineStr">
        <is>
          <t>에이디테크놀로지</t>
        </is>
      </c>
      <c r="C22" s="2" t="inlineStr">
        <is>
          <t>200710</t>
        </is>
      </c>
      <c r="D22" s="2" t="inlineStr">
        <is>
          <t>대량보유</t>
        </is>
      </c>
      <c r="E22" s="2" t="inlineStr"/>
      <c r="F22" s="2" t="inlineStr"/>
      <c r="G22" s="4" t="inlineStr">
        <is>
          <t>김준석</t>
        </is>
      </c>
      <c r="H22" s="4" t="inlineStr">
        <is>
          <t>최대주주</t>
        </is>
      </c>
      <c r="I22" s="4" t="inlineStr">
        <is>
          <t>최대주주 주식담보 기간 연장 및 담보유지비율 변경</t>
        </is>
      </c>
      <c r="J22" s="7" t="inlineStr"/>
      <c r="K22" s="7" t="inlineStr"/>
      <c r="L22" s="7" t="inlineStr"/>
      <c r="M22" s="7" t="n">
        <v>2466303</v>
      </c>
      <c r="N22" s="16" t="n">
        <v>18.37</v>
      </c>
      <c r="O22" s="7" t="n">
        <v>2466303</v>
      </c>
      <c r="P22" s="16" t="n">
        <v>18.37</v>
      </c>
      <c r="Q22" s="2" t="inlineStr">
        <is>
          <t>20240105000098</t>
        </is>
      </c>
      <c r="R22" s="3">
        <f>HYPERLINK("https://dart.fss.or.kr/dsaf001/main.do?rcpNo=20240105000098", "공시열람")</f>
        <v/>
      </c>
    </row>
    <row r="23">
      <c r="A23" s="2" t="inlineStr">
        <is>
          <t>2023-10-10</t>
        </is>
      </c>
      <c r="B23" s="4" t="inlineStr">
        <is>
          <t>에이디테크놀로지</t>
        </is>
      </c>
      <c r="C23" s="2" t="inlineStr">
        <is>
          <t>200710</t>
        </is>
      </c>
      <c r="D23" s="2" t="inlineStr">
        <is>
          <t>대량보유</t>
        </is>
      </c>
      <c r="E23" s="2" t="inlineStr"/>
      <c r="F23" s="2" t="inlineStr"/>
      <c r="G23" s="4" t="inlineStr">
        <is>
          <t>김준석</t>
        </is>
      </c>
      <c r="H23" s="4" t="inlineStr">
        <is>
          <t>최대주주</t>
        </is>
      </c>
      <c r="I23" s="4" t="inlineStr">
        <is>
          <t>최대주주 주식담보 기간 연장 및 이율변경</t>
        </is>
      </c>
      <c r="J23" s="7" t="inlineStr"/>
      <c r="K23" s="7" t="inlineStr"/>
      <c r="L23" s="7" t="inlineStr"/>
      <c r="M23" s="7" t="n">
        <v>2466303</v>
      </c>
      <c r="N23" s="16" t="n">
        <v>18.37</v>
      </c>
      <c r="O23" s="7" t="n">
        <v>2466303</v>
      </c>
      <c r="P23" s="16" t="n">
        <v>18.37</v>
      </c>
      <c r="Q23" s="2" t="inlineStr">
        <is>
          <t>20231010000179</t>
        </is>
      </c>
      <c r="R23" s="3">
        <f>HYPERLINK("https://dart.fss.or.kr/dsaf001/main.do?rcpNo=20231010000179", "공시열람")</f>
        <v/>
      </c>
    </row>
    <row r="24">
      <c r="A24" s="2" t="inlineStr">
        <is>
          <t>2023-07-06</t>
        </is>
      </c>
      <c r="B24" s="4" t="inlineStr">
        <is>
          <t>에이디테크놀로지</t>
        </is>
      </c>
      <c r="C24" s="2" t="inlineStr">
        <is>
          <t>200710</t>
        </is>
      </c>
      <c r="D24" s="2" t="inlineStr">
        <is>
          <t>대량보유</t>
        </is>
      </c>
      <c r="E24" s="2" t="inlineStr"/>
      <c r="F24" s="2" t="inlineStr"/>
      <c r="G24" s="4" t="inlineStr">
        <is>
          <t>김준석</t>
        </is>
      </c>
      <c r="H24" s="4" t="inlineStr">
        <is>
          <t>최대주주</t>
        </is>
      </c>
      <c r="I24" s="4" t="inlineStr">
        <is>
          <t>최대주주 주식담보 기간 연장 및 이율변경</t>
        </is>
      </c>
      <c r="J24" s="7" t="inlineStr"/>
      <c r="K24" s="7" t="inlineStr"/>
      <c r="L24" s="7" t="inlineStr"/>
      <c r="M24" s="7" t="n">
        <v>2466303</v>
      </c>
      <c r="N24" s="16" t="n">
        <v>18.37</v>
      </c>
      <c r="O24" s="7" t="n">
        <v>2466303</v>
      </c>
      <c r="P24" s="16" t="n">
        <v>18.37</v>
      </c>
      <c r="Q24" s="2" t="inlineStr">
        <is>
          <t>20230706000229</t>
        </is>
      </c>
      <c r="R24" s="3">
        <f>HYPERLINK("https://dart.fss.or.kr/dsaf001/main.do?rcpNo=20230706000229", "공시열람")</f>
        <v/>
      </c>
    </row>
    <row r="25">
      <c r="A25" s="2" t="inlineStr">
        <is>
          <t>2023-04-05</t>
        </is>
      </c>
      <c r="B25" s="4" t="inlineStr">
        <is>
          <t>에이디테크놀로지</t>
        </is>
      </c>
      <c r="C25" s="2" t="inlineStr">
        <is>
          <t>200710</t>
        </is>
      </c>
      <c r="D25" s="2" t="inlineStr">
        <is>
          <t>대량보유</t>
        </is>
      </c>
      <c r="E25" s="2" t="inlineStr"/>
      <c r="F25" s="2" t="inlineStr"/>
      <c r="G25" s="4" t="inlineStr">
        <is>
          <t>김준석</t>
        </is>
      </c>
      <c r="H25" s="4" t="inlineStr">
        <is>
          <t>최대주주</t>
        </is>
      </c>
      <c r="I25" s="4" t="inlineStr">
        <is>
          <t>최대주주 주식담보 기간 연장 및 이율변경</t>
        </is>
      </c>
      <c r="J25" s="7" t="inlineStr"/>
      <c r="K25" s="7" t="inlineStr"/>
      <c r="L25" s="7" t="inlineStr"/>
      <c r="M25" s="7" t="n">
        <v>2466303</v>
      </c>
      <c r="N25" s="16" t="n">
        <v>18.5</v>
      </c>
      <c r="O25" s="7" t="n">
        <v>2466303</v>
      </c>
      <c r="P25" s="16" t="n">
        <v>18.37</v>
      </c>
      <c r="Q25" s="2" t="inlineStr">
        <is>
          <t>20230405003213</t>
        </is>
      </c>
      <c r="R25" s="3">
        <f>HYPERLINK("https://dart.fss.or.kr/dsaf001/main.do?rcpNo=20230405003213", "공시열람")</f>
        <v/>
      </c>
    </row>
    <row r="26">
      <c r="A26" s="2" t="inlineStr">
        <is>
          <t>2023-01-12</t>
        </is>
      </c>
      <c r="B26" s="4" t="inlineStr">
        <is>
          <t>에이디테크놀로지</t>
        </is>
      </c>
      <c r="C26" s="2" t="inlineStr">
        <is>
          <t>200710</t>
        </is>
      </c>
      <c r="D26" s="2" t="inlineStr">
        <is>
          <t>대량보유</t>
        </is>
      </c>
      <c r="E26" s="2" t="inlineStr"/>
      <c r="F26" s="2" t="inlineStr"/>
      <c r="G26" s="4" t="inlineStr">
        <is>
          <t>김준석</t>
        </is>
      </c>
      <c r="H26" s="4" t="inlineStr">
        <is>
          <t>최대주주</t>
        </is>
      </c>
      <c r="I26" s="4" t="inlineStr">
        <is>
          <t>최대주주 주식담보대출금액 및 담보주식수 변경</t>
        </is>
      </c>
      <c r="J26" s="7" t="inlineStr"/>
      <c r="K26" s="7" t="inlineStr"/>
      <c r="L26" s="7" t="inlineStr"/>
      <c r="M26" s="7" t="n">
        <v>2466303</v>
      </c>
      <c r="N26" s="16" t="n">
        <v>18.5</v>
      </c>
      <c r="O26" s="7" t="n">
        <v>2466303</v>
      </c>
      <c r="P26" s="16" t="n">
        <v>18.5</v>
      </c>
      <c r="Q26" s="2" t="inlineStr">
        <is>
          <t>20230112000231</t>
        </is>
      </c>
      <c r="R26" s="3">
        <f>HYPERLINK("https://dart.fss.or.kr/dsaf001/main.do?rcpNo=20230112000231", "공시열람")</f>
        <v/>
      </c>
    </row>
    <row r="27">
      <c r="A27" s="2" t="inlineStr">
        <is>
          <t>2023-01-06</t>
        </is>
      </c>
      <c r="B27" s="4" t="inlineStr">
        <is>
          <t>에이디테크놀로지</t>
        </is>
      </c>
      <c r="C27" s="2" t="inlineStr">
        <is>
          <t>200710</t>
        </is>
      </c>
      <c r="D27" s="2" t="inlineStr">
        <is>
          <t>대량보유</t>
        </is>
      </c>
      <c r="E27" s="2" t="inlineStr"/>
      <c r="F27" s="2" t="inlineStr"/>
      <c r="G27" s="4" t="inlineStr">
        <is>
          <t>김준석</t>
        </is>
      </c>
      <c r="H27" s="4" t="inlineStr">
        <is>
          <t>최대주주</t>
        </is>
      </c>
      <c r="I27" s="4" t="inlineStr">
        <is>
          <t>최대주주 주식담보대출 기간 연장 등</t>
        </is>
      </c>
      <c r="J27" s="7" t="inlineStr"/>
      <c r="K27" s="7" t="inlineStr"/>
      <c r="L27" s="7" t="inlineStr"/>
      <c r="M27" s="7" t="n">
        <v>2466303</v>
      </c>
      <c r="N27" s="16" t="n">
        <v>18.5</v>
      </c>
      <c r="O27" s="7" t="n">
        <v>2466303</v>
      </c>
      <c r="P27" s="16" t="n">
        <v>18.5</v>
      </c>
      <c r="Q27" s="2" t="inlineStr">
        <is>
          <t>20230106000616</t>
        </is>
      </c>
      <c r="R27" s="3">
        <f>HYPERLINK("https://dart.fss.or.kr/dsaf001/main.do?rcpNo=20230106000616", "공시열람")</f>
        <v/>
      </c>
    </row>
    <row r="28">
      <c r="A28" s="2" t="inlineStr">
        <is>
          <t>2022-10-05</t>
        </is>
      </c>
      <c r="B28" s="4" t="inlineStr">
        <is>
          <t>에이디테크놀로지</t>
        </is>
      </c>
      <c r="C28" s="2" t="inlineStr">
        <is>
          <t>200710</t>
        </is>
      </c>
      <c r="D28" s="2" t="inlineStr">
        <is>
          <t>대량보유</t>
        </is>
      </c>
      <c r="E28" s="2" t="inlineStr">
        <is>
          <t>2021-04-05</t>
        </is>
      </c>
      <c r="F28" s="2" t="inlineStr">
        <is>
          <t>2021-04-05</t>
        </is>
      </c>
      <c r="G28" s="4" t="inlineStr">
        <is>
          <t>박준규</t>
        </is>
      </c>
      <c r="H28" s="4" t="inlineStr">
        <is>
          <t>특별관계자</t>
        </is>
      </c>
      <c r="I28" s="4" t="inlineStr">
        <is>
          <t>주식매수선택권부여(+)</t>
        </is>
      </c>
      <c r="J28" s="14" t="n">
        <v>76</v>
      </c>
      <c r="K28" s="7" t="n">
        <v>26700</v>
      </c>
      <c r="L28" s="14" t="n">
        <v>2029200</v>
      </c>
      <c r="M28" s="7" t="n">
        <v>2466227</v>
      </c>
      <c r="N28" s="16" t="n">
        <v>18.5</v>
      </c>
      <c r="O28" s="7" t="n">
        <v>78328</v>
      </c>
      <c r="P28" s="16" t="n">
        <v>18.5</v>
      </c>
      <c r="Q28" s="2" t="inlineStr">
        <is>
          <t>20221005000066</t>
        </is>
      </c>
      <c r="R28" s="3">
        <f>HYPERLINK("https://dart.fss.or.kr/dsaf001/main.do?rcpNo=20221005000066", "공시열람")</f>
        <v/>
      </c>
    </row>
    <row r="29">
      <c r="A29" s="2" t="inlineStr">
        <is>
          <t>2022-07-07</t>
        </is>
      </c>
      <c r="B29" s="4" t="inlineStr">
        <is>
          <t>에이디테크놀로지</t>
        </is>
      </c>
      <c r="C29" s="2" t="inlineStr">
        <is>
          <t>200710</t>
        </is>
      </c>
      <c r="D29" s="2" t="inlineStr">
        <is>
          <t>대량보유</t>
        </is>
      </c>
      <c r="E29" s="2" t="inlineStr"/>
      <c r="F29" s="2" t="inlineStr"/>
      <c r="G29" s="4" t="inlineStr">
        <is>
          <t>김준석</t>
        </is>
      </c>
      <c r="H29" s="4" t="inlineStr">
        <is>
          <t>최대주주</t>
        </is>
      </c>
      <c r="I29" s="4" t="inlineStr">
        <is>
          <t>최대주주 주식담보대출 기간 연장</t>
        </is>
      </c>
      <c r="J29" s="7" t="inlineStr"/>
      <c r="K29" s="7" t="inlineStr"/>
      <c r="L29" s="7" t="inlineStr"/>
      <c r="M29" s="7" t="n">
        <v>2466227</v>
      </c>
      <c r="N29" s="16" t="n">
        <v>18.39</v>
      </c>
      <c r="O29" s="7" t="n">
        <v>2466227</v>
      </c>
      <c r="P29" s="16" t="n">
        <v>18.39</v>
      </c>
      <c r="Q29" s="2" t="inlineStr">
        <is>
          <t>20220707000547</t>
        </is>
      </c>
      <c r="R29" s="3">
        <f>HYPERLINK("https://dart.fss.or.kr/dsaf001/main.do?rcpNo=20220707000547", "공시열람")</f>
        <v/>
      </c>
    </row>
    <row r="30">
      <c r="A30" s="2" t="inlineStr">
        <is>
          <t>2022-04-04</t>
        </is>
      </c>
      <c r="B30" s="4" t="inlineStr">
        <is>
          <t>에이디테크놀로지</t>
        </is>
      </c>
      <c r="C30" s="2" t="inlineStr">
        <is>
          <t>200710</t>
        </is>
      </c>
      <c r="D30" s="2" t="inlineStr">
        <is>
          <t>대량보유</t>
        </is>
      </c>
      <c r="E30" s="2" t="inlineStr"/>
      <c r="F30" s="2" t="inlineStr"/>
      <c r="G30" s="4" t="inlineStr">
        <is>
          <t>김준석</t>
        </is>
      </c>
      <c r="H30" s="4" t="inlineStr">
        <is>
          <t>최대주주</t>
        </is>
      </c>
      <c r="I30" s="4" t="inlineStr">
        <is>
          <t>최대주주 주식담보대출 기간 연장</t>
        </is>
      </c>
      <c r="J30" s="7" t="inlineStr"/>
      <c r="K30" s="7" t="inlineStr"/>
      <c r="L30" s="7" t="inlineStr"/>
      <c r="M30" s="7" t="n">
        <v>2466227</v>
      </c>
      <c r="N30" s="16" t="n">
        <v>18.39</v>
      </c>
      <c r="O30" s="7" t="n">
        <v>2466227</v>
      </c>
      <c r="P30" s="16" t="n">
        <v>18.39</v>
      </c>
      <c r="Q30" s="2" t="inlineStr">
        <is>
          <t>20220404002572</t>
        </is>
      </c>
      <c r="R30" s="3">
        <f>HYPERLINK("https://dart.fss.or.kr/dsaf001/main.do?rcpNo=20220404002572", "공시열람")</f>
        <v/>
      </c>
    </row>
    <row r="31">
      <c r="A31" s="2" t="inlineStr">
        <is>
          <t>2021-10-05</t>
        </is>
      </c>
      <c r="B31" s="4" t="inlineStr">
        <is>
          <t>에이디테크놀로지</t>
        </is>
      </c>
      <c r="C31" s="2" t="inlineStr">
        <is>
          <t>200710</t>
        </is>
      </c>
      <c r="D31" s="2" t="inlineStr">
        <is>
          <t>대량보유</t>
        </is>
      </c>
      <c r="E31" s="2" t="inlineStr"/>
      <c r="F31" s="2" t="inlineStr"/>
      <c r="G31" s="4" t="inlineStr">
        <is>
          <t>김준석</t>
        </is>
      </c>
      <c r="H31" s="4" t="inlineStr">
        <is>
          <t>최대주주</t>
        </is>
      </c>
      <c r="I31" s="4" t="inlineStr">
        <is>
          <t>최대주주 주식담보대출 상환 및 신규</t>
        </is>
      </c>
      <c r="J31" s="7" t="inlineStr"/>
      <c r="K31" s="7" t="inlineStr"/>
      <c r="L31" s="7" t="inlineStr"/>
      <c r="M31" s="7" t="n">
        <v>2466227</v>
      </c>
      <c r="N31" s="16" t="n">
        <v>18.39</v>
      </c>
      <c r="O31" s="7" t="n">
        <v>2466227</v>
      </c>
      <c r="P31" s="16" t="n">
        <v>18.39</v>
      </c>
      <c r="Q31" s="2" t="inlineStr">
        <is>
          <t>20211005000071</t>
        </is>
      </c>
      <c r="R31" s="3">
        <f>HYPERLINK("https://dart.fss.or.kr/dsaf001/main.do?rcpNo=20211005000071", "공시열람")</f>
        <v/>
      </c>
    </row>
    <row r="32">
      <c r="A32" s="2" t="inlineStr">
        <is>
          <t>2021-07-05</t>
        </is>
      </c>
      <c r="B32" s="4" t="inlineStr">
        <is>
          <t>에이디테크놀로지</t>
        </is>
      </c>
      <c r="C32" s="2" t="inlineStr">
        <is>
          <t>200710</t>
        </is>
      </c>
      <c r="D32" s="2" t="inlineStr">
        <is>
          <t>대량보유</t>
        </is>
      </c>
      <c r="E32" s="2" t="inlineStr"/>
      <c r="F32" s="2" t="inlineStr"/>
      <c r="G32" s="4" t="inlineStr">
        <is>
          <t>김준석</t>
        </is>
      </c>
      <c r="H32" s="4" t="inlineStr">
        <is>
          <t>최대주주</t>
        </is>
      </c>
      <c r="I32" s="4" t="inlineStr">
        <is>
          <t>최대주주 주식담보대출 기간 연장</t>
        </is>
      </c>
      <c r="J32" s="7" t="inlineStr"/>
      <c r="K32" s="7" t="inlineStr"/>
      <c r="L32" s="7" t="inlineStr"/>
      <c r="M32" s="7" t="n">
        <v>2466227</v>
      </c>
      <c r="N32" s="16" t="n">
        <v>18.55</v>
      </c>
      <c r="O32" s="7" t="n">
        <v>2466227</v>
      </c>
      <c r="P32" s="16" t="n">
        <v>18.39</v>
      </c>
      <c r="Q32" s="2" t="inlineStr">
        <is>
          <t>20210705000086</t>
        </is>
      </c>
      <c r="R32" s="3">
        <f>HYPERLINK("https://dart.fss.or.kr/dsaf001/main.do?rcpNo=20210705000086", "공시열람")</f>
        <v/>
      </c>
    </row>
    <row r="33">
      <c r="A33" s="2" t="inlineStr">
        <is>
          <t>2021-04-27</t>
        </is>
      </c>
      <c r="B33" s="4" t="inlineStr">
        <is>
          <t>에이디테크놀로지</t>
        </is>
      </c>
      <c r="C33" s="2" t="inlineStr">
        <is>
          <t>200710</t>
        </is>
      </c>
      <c r="D33" s="2" t="inlineStr">
        <is>
          <t>임원보고</t>
        </is>
      </c>
      <c r="E33" s="2" t="inlineStr">
        <is>
          <t>2021-04-05</t>
        </is>
      </c>
      <c r="F33" s="2" t="inlineStr">
        <is>
          <t>2021-04-07</t>
        </is>
      </c>
      <c r="G33" s="4" t="inlineStr">
        <is>
          <t>이은주</t>
        </is>
      </c>
      <c r="H33" s="4" t="inlineStr">
        <is>
          <t>비등기임원 상무</t>
        </is>
      </c>
      <c r="I33" s="4" t="inlineStr">
        <is>
          <t>장내매도(-)</t>
        </is>
      </c>
      <c r="J33" s="17" t="n">
        <v>-5025</v>
      </c>
      <c r="K33" s="7" t="n">
        <v>26685</v>
      </c>
      <c r="L33" s="17" t="n">
        <v>-134092125</v>
      </c>
      <c r="M33" s="7" t="inlineStr"/>
      <c r="N33" s="15" t="inlineStr"/>
      <c r="O33" s="7" t="n">
        <v>25959</v>
      </c>
      <c r="P33" s="16" t="n">
        <v>0.19</v>
      </c>
      <c r="Q33" s="2" t="inlineStr">
        <is>
          <t>20210427000095</t>
        </is>
      </c>
      <c r="R33" s="3">
        <f>HYPERLINK("https://dart.fss.or.kr/dsaf001/main.do?rcpNo=20210427000095", "공시열람")</f>
        <v/>
      </c>
    </row>
    <row r="34">
      <c r="A34" s="2" t="inlineStr">
        <is>
          <t>2021-04-05</t>
        </is>
      </c>
      <c r="B34" s="4" t="inlineStr">
        <is>
          <t>에이디테크놀로지</t>
        </is>
      </c>
      <c r="C34" s="2" t="inlineStr">
        <is>
          <t>200710</t>
        </is>
      </c>
      <c r="D34" s="2" t="inlineStr">
        <is>
          <t>임원보고</t>
        </is>
      </c>
      <c r="E34" s="2" t="inlineStr">
        <is>
          <t>2021-03-29</t>
        </is>
      </c>
      <c r="F34" s="2" t="inlineStr">
        <is>
          <t>2021-03-29</t>
        </is>
      </c>
      <c r="G34" s="4" t="inlineStr">
        <is>
          <t>문갑주</t>
        </is>
      </c>
      <c r="H34" s="4" t="inlineStr">
        <is>
          <t>등기임원 전무</t>
        </is>
      </c>
      <c r="I34" s="4" t="inlineStr">
        <is>
          <t>임원퇴임(-)</t>
        </is>
      </c>
      <c r="J34" s="17" t="n">
        <v>-20500</v>
      </c>
      <c r="K34" s="7" t="n">
        <v>25700</v>
      </c>
      <c r="L34" s="17" t="n">
        <v>-526850000</v>
      </c>
      <c r="M34" s="7" t="inlineStr"/>
      <c r="N34" s="15" t="inlineStr"/>
      <c r="O34" s="7" t="inlineStr"/>
      <c r="P34" s="15" t="inlineStr"/>
      <c r="Q34" s="2" t="inlineStr">
        <is>
          <t>20210405002319</t>
        </is>
      </c>
      <c r="R34" s="3">
        <f>HYPERLINK("https://dart.fss.or.kr/dsaf001/main.do?rcpNo=20210405002319", "공시열람")</f>
        <v/>
      </c>
    </row>
    <row r="35">
      <c r="A35" s="2" t="inlineStr">
        <is>
          <t>2021-04-05</t>
        </is>
      </c>
      <c r="B35" s="4" t="inlineStr">
        <is>
          <t>에이디테크놀로지</t>
        </is>
      </c>
      <c r="C35" s="2" t="inlineStr">
        <is>
          <t>200710</t>
        </is>
      </c>
      <c r="D35" s="2" t="inlineStr">
        <is>
          <t>대량보유</t>
        </is>
      </c>
      <c r="E35" s="2" t="inlineStr"/>
      <c r="F35" s="2" t="inlineStr"/>
      <c r="G35" s="4" t="inlineStr">
        <is>
          <t>김준석</t>
        </is>
      </c>
      <c r="H35" s="4" t="inlineStr">
        <is>
          <t>최대주주</t>
        </is>
      </c>
      <c r="I35" s="4" t="inlineStr">
        <is>
          <t>특별관계인 퇴직으로 인한 변동</t>
        </is>
      </c>
      <c r="J35" s="7" t="inlineStr"/>
      <c r="K35" s="7" t="inlineStr"/>
      <c r="L35" s="7" t="inlineStr"/>
      <c r="M35" s="7" t="n">
        <v>2508475</v>
      </c>
      <c r="N35" s="16" t="n">
        <v>18.9</v>
      </c>
      <c r="O35" s="7" t="n">
        <v>2466227</v>
      </c>
      <c r="P35" s="16" t="n">
        <v>18.55</v>
      </c>
      <c r="Q35" s="2" t="inlineStr">
        <is>
          <t>20210405002438</t>
        </is>
      </c>
      <c r="R35" s="3">
        <f>HYPERLINK("https://dart.fss.or.kr/dsaf001/main.do?rcpNo=20210405002438", "공시열람")</f>
        <v/>
      </c>
    </row>
    <row r="36">
      <c r="A36" s="2" t="inlineStr">
        <is>
          <t>2021-01-28</t>
        </is>
      </c>
      <c r="B36" s="4" t="inlineStr">
        <is>
          <t>에이디테크놀로지</t>
        </is>
      </c>
      <c r="C36" s="2" t="inlineStr">
        <is>
          <t>200710</t>
        </is>
      </c>
      <c r="D36" s="2" t="inlineStr">
        <is>
          <t>대량보유</t>
        </is>
      </c>
      <c r="E36" s="2" t="inlineStr"/>
      <c r="F36" s="2" t="inlineStr"/>
      <c r="G36" s="4" t="inlineStr">
        <is>
          <t>김준석</t>
        </is>
      </c>
      <c r="H36" s="4" t="inlineStr">
        <is>
          <t>최대주주</t>
        </is>
      </c>
      <c r="I36" s="4" t="inlineStr">
        <is>
          <t>특별관계인 퇴직으로 인한 변동</t>
        </is>
      </c>
      <c r="J36" s="7" t="inlineStr"/>
      <c r="K36" s="7" t="inlineStr"/>
      <c r="L36" s="7" t="inlineStr"/>
      <c r="M36" s="7" t="n">
        <v>2542975</v>
      </c>
      <c r="N36" s="16" t="n">
        <v>19.26</v>
      </c>
      <c r="O36" s="7" t="n">
        <v>2508475</v>
      </c>
      <c r="P36" s="16" t="n">
        <v>18.9</v>
      </c>
      <c r="Q36" s="2" t="inlineStr">
        <is>
          <t>20210128000465</t>
        </is>
      </c>
      <c r="R36" s="3">
        <f>HYPERLINK("https://dart.fss.or.kr/dsaf001/main.do?rcpNo=20210128000465", "공시열람")</f>
        <v/>
      </c>
    </row>
    <row r="37">
      <c r="A37" s="2" t="inlineStr">
        <is>
          <t>2021-01-08</t>
        </is>
      </c>
      <c r="B37" s="4" t="inlineStr">
        <is>
          <t>에이디테크놀로지</t>
        </is>
      </c>
      <c r="C37" s="2" t="inlineStr">
        <is>
          <t>200710</t>
        </is>
      </c>
      <c r="D37" s="2" t="inlineStr">
        <is>
          <t>임원보고</t>
        </is>
      </c>
      <c r="E37" s="2" t="inlineStr">
        <is>
          <t>2020-12-31</t>
        </is>
      </c>
      <c r="F37" s="2" t="inlineStr">
        <is>
          <t>2020-12-31</t>
        </is>
      </c>
      <c r="G37" s="4" t="inlineStr">
        <is>
          <t>강종민</t>
        </is>
      </c>
      <c r="H37" s="4" t="inlineStr">
        <is>
          <t>비등기임원 상무</t>
        </is>
      </c>
      <c r="I37" s="4" t="inlineStr">
        <is>
          <t>임원퇴임(-)</t>
        </is>
      </c>
      <c r="J37" s="17" t="n">
        <v>-41800</v>
      </c>
      <c r="K37" s="7" t="inlineStr"/>
      <c r="L37" s="7" t="inlineStr"/>
      <c r="M37" s="7" t="inlineStr"/>
      <c r="N37" s="15" t="inlineStr"/>
      <c r="O37" s="7" t="inlineStr"/>
      <c r="P37" s="15" t="inlineStr"/>
      <c r="Q37" s="2" t="inlineStr">
        <is>
          <t>20210108000811</t>
        </is>
      </c>
      <c r="R37" s="3">
        <f>HYPERLINK("https://dart.fss.or.kr/dsaf001/main.do?rcpNo=20210108000811", "공시열람")</f>
        <v/>
      </c>
    </row>
    <row r="38">
      <c r="A38" s="2" t="inlineStr">
        <is>
          <t>2021-01-08</t>
        </is>
      </c>
      <c r="B38" s="4" t="inlineStr">
        <is>
          <t>에이디테크놀로지</t>
        </is>
      </c>
      <c r="C38" s="2" t="inlineStr">
        <is>
          <t>200710</t>
        </is>
      </c>
      <c r="D38" s="2" t="inlineStr">
        <is>
          <t>임원보고</t>
        </is>
      </c>
      <c r="E38" s="2" t="inlineStr">
        <is>
          <t>2020-01-08</t>
        </is>
      </c>
      <c r="F38" s="2" t="inlineStr">
        <is>
          <t>2020-01-08</t>
        </is>
      </c>
      <c r="G38" s="4" t="inlineStr">
        <is>
          <t>이현석</t>
        </is>
      </c>
      <c r="H38" s="4" t="inlineStr">
        <is>
          <t>비등기임원 CTO</t>
        </is>
      </c>
      <c r="I38" s="4" t="inlineStr">
        <is>
          <t>임원퇴임(-)</t>
        </is>
      </c>
      <c r="J38" s="17" t="n">
        <v>-10600</v>
      </c>
      <c r="K38" s="7" t="n">
        <v>17884</v>
      </c>
      <c r="L38" s="17" t="n">
        <v>-189570400</v>
      </c>
      <c r="M38" s="7" t="inlineStr"/>
      <c r="N38" s="15" t="inlineStr"/>
      <c r="O38" s="7" t="inlineStr"/>
      <c r="P38" s="15" t="inlineStr"/>
      <c r="Q38" s="2" t="inlineStr">
        <is>
          <t>20210108000844</t>
        </is>
      </c>
      <c r="R38" s="3">
        <f>HYPERLINK("https://dart.fss.or.kr/dsaf001/main.do?rcpNo=20210108000844", "공시열람")</f>
        <v/>
      </c>
    </row>
    <row r="39">
      <c r="A39" s="2" t="inlineStr">
        <is>
          <t>2021-01-08</t>
        </is>
      </c>
      <c r="B39" s="4" t="inlineStr">
        <is>
          <t>에이디테크놀로지</t>
        </is>
      </c>
      <c r="C39" s="2" t="inlineStr">
        <is>
          <t>200710</t>
        </is>
      </c>
      <c r="D39" s="2" t="inlineStr">
        <is>
          <t>임원보고</t>
        </is>
      </c>
      <c r="E39" s="2" t="inlineStr">
        <is>
          <t>2021-01-08</t>
        </is>
      </c>
      <c r="F39" s="2" t="inlineStr">
        <is>
          <t>2021-01-08</t>
        </is>
      </c>
      <c r="G39" s="4" t="inlineStr">
        <is>
          <t>이강렬</t>
        </is>
      </c>
      <c r="H39" s="4" t="inlineStr">
        <is>
          <t>등기임원 상무</t>
        </is>
      </c>
      <c r="I39" s="4" t="inlineStr">
        <is>
          <t>임원퇴임(-)</t>
        </is>
      </c>
      <c r="J39" s="17" t="n">
        <v>-24500</v>
      </c>
      <c r="K39" s="7" t="n">
        <v>30050</v>
      </c>
      <c r="L39" s="17" t="n">
        <v>-736225000</v>
      </c>
      <c r="M39" s="7" t="inlineStr"/>
      <c r="N39" s="15" t="inlineStr"/>
      <c r="O39" s="7" t="inlineStr"/>
      <c r="P39" s="15" t="inlineStr"/>
      <c r="Q39" s="2" t="inlineStr">
        <is>
          <t>20210108000861</t>
        </is>
      </c>
      <c r="R39" s="3">
        <f>HYPERLINK("https://dart.fss.or.kr/dsaf001/main.do?rcpNo=20210108000861", "공시열람")</f>
        <v/>
      </c>
    </row>
    <row r="40">
      <c r="A40" s="2" t="inlineStr">
        <is>
          <t>2021-01-08</t>
        </is>
      </c>
      <c r="B40" s="4" t="inlineStr">
        <is>
          <t>에이디테크놀로지</t>
        </is>
      </c>
      <c r="C40" s="2" t="inlineStr">
        <is>
          <t>200710</t>
        </is>
      </c>
      <c r="D40" s="2" t="inlineStr">
        <is>
          <t>대량보유</t>
        </is>
      </c>
      <c r="E40" s="2" t="inlineStr"/>
      <c r="F40" s="2" t="inlineStr"/>
      <c r="G40" s="4" t="inlineStr">
        <is>
          <t>김준석</t>
        </is>
      </c>
      <c r="H40" s="4" t="inlineStr">
        <is>
          <t>최대주주</t>
        </is>
      </c>
      <c r="I40" s="4" t="inlineStr">
        <is>
          <t>특별관계인 퇴직으로 인한 변동</t>
        </is>
      </c>
      <c r="J40" s="7" t="inlineStr"/>
      <c r="K40" s="7" t="inlineStr"/>
      <c r="L40" s="7" t="inlineStr"/>
      <c r="M40" s="7" t="n">
        <v>2542975</v>
      </c>
      <c r="N40" s="16" t="n">
        <v>19.26</v>
      </c>
      <c r="O40" s="7" t="n">
        <v>2508475</v>
      </c>
      <c r="P40" s="16" t="n">
        <v>18.9</v>
      </c>
      <c r="Q40" s="2" t="inlineStr">
        <is>
          <t>20210108000870</t>
        </is>
      </c>
      <c r="R40" s="3">
        <f>HYPERLINK("https://dart.fss.or.kr/dsaf001/main.do?rcpNo=20210108000870", "공시열람")</f>
        <v/>
      </c>
    </row>
    <row r="41">
      <c r="A41" s="2" t="inlineStr">
        <is>
          <t>2020-10-07</t>
        </is>
      </c>
      <c r="B41" s="4" t="inlineStr">
        <is>
          <t>에이디테크놀로지</t>
        </is>
      </c>
      <c r="C41" s="2" t="inlineStr">
        <is>
          <t>200710</t>
        </is>
      </c>
      <c r="D41" s="2" t="inlineStr">
        <is>
          <t>임원보고</t>
        </is>
      </c>
      <c r="E41" s="2" t="inlineStr">
        <is>
          <t>2020-09-28</t>
        </is>
      </c>
      <c r="F41" s="2" t="inlineStr">
        <is>
          <t>2020-09-28</t>
        </is>
      </c>
      <c r="G41" s="4" t="inlineStr">
        <is>
          <t>김준석</t>
        </is>
      </c>
      <c r="H41" s="4" t="inlineStr">
        <is>
          <t>등기임원 대표이사, 10%이상주주</t>
        </is>
      </c>
      <c r="I41" s="4" t="inlineStr">
        <is>
          <t>CB인수(+)</t>
        </is>
      </c>
      <c r="J41" s="14" t="n">
        <v>185839</v>
      </c>
      <c r="K41" s="7" t="n">
        <v>16143</v>
      </c>
      <c r="L41" s="14" t="n">
        <v>2999998977</v>
      </c>
      <c r="M41" s="7" t="inlineStr"/>
      <c r="N41" s="15" t="inlineStr"/>
      <c r="O41" s="7" t="n">
        <v>2387975</v>
      </c>
      <c r="P41" s="16" t="n">
        <v>18.09</v>
      </c>
      <c r="Q41" s="2" t="inlineStr">
        <is>
          <t>20201007000109</t>
        </is>
      </c>
      <c r="R41" s="3">
        <f>HYPERLINK("https://dart.fss.or.kr/dsaf001/main.do?rcpNo=20201007000109", "공시열람")</f>
        <v/>
      </c>
    </row>
    <row r="42">
      <c r="A42" s="2" t="inlineStr">
        <is>
          <t>2020-10-07</t>
        </is>
      </c>
      <c r="B42" s="4" t="inlineStr">
        <is>
          <t>에이디테크놀로지</t>
        </is>
      </c>
      <c r="C42" s="2" t="inlineStr">
        <is>
          <t>200710</t>
        </is>
      </c>
      <c r="D42" s="2" t="inlineStr">
        <is>
          <t>대량보유</t>
        </is>
      </c>
      <c r="E42" s="2" t="inlineStr"/>
      <c r="F42" s="2" t="inlineStr"/>
      <c r="G42" s="4" t="inlineStr">
        <is>
          <t>김준석</t>
        </is>
      </c>
      <c r="H42" s="4" t="inlineStr">
        <is>
          <t>최대주주</t>
        </is>
      </c>
      <c r="I42" s="4" t="inlineStr">
        <is>
          <t>전환사채권 취득 및 전환청구권 행사</t>
        </is>
      </c>
      <c r="J42" s="7" t="inlineStr"/>
      <c r="K42" s="7" t="inlineStr"/>
      <c r="L42" s="7" t="inlineStr"/>
      <c r="M42" s="7" t="n">
        <v>2365136</v>
      </c>
      <c r="N42" s="16" t="n">
        <v>18.96</v>
      </c>
      <c r="O42" s="7" t="n">
        <v>2542975</v>
      </c>
      <c r="P42" s="16" t="n">
        <v>19.26</v>
      </c>
      <c r="Q42" s="2" t="inlineStr">
        <is>
          <t>20201007000104</t>
        </is>
      </c>
      <c r="R42" s="3">
        <f>HYPERLINK("https://dart.fss.or.kr/dsaf001/main.do?rcpNo=20201007000104", "공시열람")</f>
        <v/>
      </c>
    </row>
    <row r="43">
      <c r="A43" s="2" t="inlineStr">
        <is>
          <t>2020-10-07</t>
        </is>
      </c>
      <c r="B43" s="4" t="inlineStr">
        <is>
          <t>에이디테크놀로지</t>
        </is>
      </c>
      <c r="C43" s="2" t="inlineStr">
        <is>
          <t>200710</t>
        </is>
      </c>
      <c r="D43" s="2" t="inlineStr">
        <is>
          <t>임원보고</t>
        </is>
      </c>
      <c r="E43" s="2" t="inlineStr">
        <is>
          <t>2020-10-05</t>
        </is>
      </c>
      <c r="F43" s="2" t="inlineStr">
        <is>
          <t>2020-10-05</t>
        </is>
      </c>
      <c r="G43" s="4" t="inlineStr">
        <is>
          <t>김준석</t>
        </is>
      </c>
      <c r="H43" s="4" t="inlineStr">
        <is>
          <t>등기임원 대표이사, 10%이상주주</t>
        </is>
      </c>
      <c r="I43" s="4" t="inlineStr">
        <is>
          <t>전환사채의권리행사(+)</t>
        </is>
      </c>
      <c r="J43" s="14" t="n">
        <v>185839</v>
      </c>
      <c r="K43" s="7" t="n">
        <v>24900</v>
      </c>
      <c r="L43" s="14" t="n">
        <v>4627391100</v>
      </c>
      <c r="M43" s="7" t="inlineStr"/>
      <c r="N43" s="15" t="inlineStr"/>
      <c r="O43" s="7" t="n">
        <v>2387975</v>
      </c>
      <c r="P43" s="16" t="n">
        <v>18.09</v>
      </c>
      <c r="Q43" s="2" t="inlineStr">
        <is>
          <t>20201007000109</t>
        </is>
      </c>
      <c r="R43" s="3">
        <f>HYPERLINK("https://dart.fss.or.kr/dsaf001/main.do?rcpNo=20201007000109", "공시열람")</f>
        <v/>
      </c>
    </row>
    <row r="44">
      <c r="A44" s="2" t="inlineStr">
        <is>
          <t>2020-10-07</t>
        </is>
      </c>
      <c r="B44" s="4" t="inlineStr">
        <is>
          <t>에이디테크놀로지</t>
        </is>
      </c>
      <c r="C44" s="2" t="inlineStr">
        <is>
          <t>200710</t>
        </is>
      </c>
      <c r="D44" s="2" t="inlineStr">
        <is>
          <t>임원보고</t>
        </is>
      </c>
      <c r="E44" s="2" t="inlineStr">
        <is>
          <t>2020-09-29</t>
        </is>
      </c>
      <c r="F44" s="2" t="inlineStr">
        <is>
          <t>2020-09-29</t>
        </is>
      </c>
      <c r="G44" s="4" t="inlineStr">
        <is>
          <t>김준석</t>
        </is>
      </c>
      <c r="H44" s="4" t="inlineStr">
        <is>
          <t>등기임원 대표이사, 10%이상주주</t>
        </is>
      </c>
      <c r="I44" s="4" t="inlineStr">
        <is>
          <t>전환등(-)</t>
        </is>
      </c>
      <c r="J44" s="17" t="n">
        <v>-185839</v>
      </c>
      <c r="K44" s="7" t="n">
        <v>25000</v>
      </c>
      <c r="L44" s="17" t="n">
        <v>-4645975000</v>
      </c>
      <c r="M44" s="7" t="inlineStr"/>
      <c r="N44" s="15" t="inlineStr"/>
      <c r="O44" s="7" t="n">
        <v>2202136</v>
      </c>
      <c r="P44" s="16" t="n">
        <v>18.09</v>
      </c>
      <c r="Q44" s="2" t="inlineStr">
        <is>
          <t>20201007000109</t>
        </is>
      </c>
      <c r="R44" s="3">
        <f>HYPERLINK("https://dart.fss.or.kr/dsaf001/main.do?rcpNo=20201007000109", "공시열람")</f>
        <v/>
      </c>
    </row>
    <row r="45">
      <c r="A45" s="2" t="inlineStr">
        <is>
          <t>2020-07-28</t>
        </is>
      </c>
      <c r="B45" s="4" t="inlineStr">
        <is>
          <t>에이디테크놀로지</t>
        </is>
      </c>
      <c r="C45" s="2" t="inlineStr">
        <is>
          <t>200710</t>
        </is>
      </c>
      <c r="D45" s="2" t="inlineStr">
        <is>
          <t>임원보고</t>
        </is>
      </c>
      <c r="E45" s="2" t="inlineStr">
        <is>
          <t>2020-07-24</t>
        </is>
      </c>
      <c r="F45" s="2" t="inlineStr">
        <is>
          <t>2020-07-24</t>
        </is>
      </c>
      <c r="G45" s="4" t="inlineStr">
        <is>
          <t>문갑주</t>
        </is>
      </c>
      <c r="H45" s="4" t="inlineStr">
        <is>
          <t>등기임원 전무</t>
        </is>
      </c>
      <c r="I45" s="4" t="inlineStr">
        <is>
          <t>장내매도(-)</t>
        </is>
      </c>
      <c r="J45" s="17" t="n">
        <v>-8000</v>
      </c>
      <c r="K45" s="7" t="n">
        <v>28962</v>
      </c>
      <c r="L45" s="17" t="n">
        <v>-231696000</v>
      </c>
      <c r="M45" s="7" t="inlineStr"/>
      <c r="N45" s="15" t="inlineStr"/>
      <c r="O45" s="7" t="n">
        <v>20500</v>
      </c>
      <c r="P45" s="16" t="n">
        <v>0.16</v>
      </c>
      <c r="Q45" s="2" t="inlineStr">
        <is>
          <t>20200728000137</t>
        </is>
      </c>
      <c r="R45" s="3">
        <f>HYPERLINK("https://dart.fss.or.kr/dsaf001/main.do?rcpNo=20200728000137", "공시열람")</f>
        <v/>
      </c>
    </row>
    <row r="46">
      <c r="A46" s="2" t="inlineStr">
        <is>
          <t>2020-07-22</t>
        </is>
      </c>
      <c r="B46" s="4" t="inlineStr">
        <is>
          <t>에이디테크놀로지</t>
        </is>
      </c>
      <c r="C46" s="2" t="inlineStr">
        <is>
          <t>200710</t>
        </is>
      </c>
      <c r="D46" s="2" t="inlineStr">
        <is>
          <t>대량보유</t>
        </is>
      </c>
      <c r="E46" s="2" t="inlineStr"/>
      <c r="F46" s="2" t="inlineStr"/>
      <c r="G46" s="4" t="inlineStr">
        <is>
          <t>김준석</t>
        </is>
      </c>
      <c r="H46" s="4" t="inlineStr">
        <is>
          <t>최대주주</t>
        </is>
      </c>
      <c r="I46" s="4" t="inlineStr">
        <is>
          <t>지분변동</t>
        </is>
      </c>
      <c r="J46" s="7" t="inlineStr"/>
      <c r="K46" s="7" t="inlineStr"/>
      <c r="L46" s="7" t="inlineStr"/>
      <c r="M46" s="7" t="n">
        <v>2365136</v>
      </c>
      <c r="N46" s="16" t="n">
        <v>25.51</v>
      </c>
      <c r="O46" s="7" t="n">
        <v>2365136</v>
      </c>
      <c r="P46" s="16" t="n">
        <v>18.96</v>
      </c>
      <c r="Q46" s="2" t="inlineStr">
        <is>
          <t>20200722000230</t>
        </is>
      </c>
      <c r="R46" s="3">
        <f>HYPERLINK("https://dart.fss.or.kr/dsaf001/main.do?rcpNo=20200722000230", "공시열람")</f>
        <v/>
      </c>
    </row>
    <row r="47">
      <c r="A47" s="2" t="inlineStr">
        <is>
          <t>2020-07-22</t>
        </is>
      </c>
      <c r="B47" s="4" t="inlineStr">
        <is>
          <t>에이디테크놀로지</t>
        </is>
      </c>
      <c r="C47" s="2" t="inlineStr">
        <is>
          <t>200710</t>
        </is>
      </c>
      <c r="D47" s="2" t="inlineStr">
        <is>
          <t>임원보고</t>
        </is>
      </c>
      <c r="E47" s="2" t="inlineStr">
        <is>
          <t>2020-07-15</t>
        </is>
      </c>
      <c r="F47" s="2" t="inlineStr">
        <is>
          <t>2020-07-15</t>
        </is>
      </c>
      <c r="G47" s="4" t="inlineStr">
        <is>
          <t>김준석</t>
        </is>
      </c>
      <c r="H47" s="4" t="inlineStr">
        <is>
          <t>등기임원 대표이사, 10%이상주주</t>
        </is>
      </c>
      <c r="I47" s="4" t="inlineStr">
        <is>
          <t>유상신주취득(+)</t>
        </is>
      </c>
      <c r="J47" s="14" t="n">
        <v>328505</v>
      </c>
      <c r="K47" s="7" t="n">
        <v>21050</v>
      </c>
      <c r="L47" s="14" t="n">
        <v>6915030250</v>
      </c>
      <c r="M47" s="7" t="inlineStr"/>
      <c r="N47" s="15" t="inlineStr"/>
      <c r="O47" s="7" t="n">
        <v>2202136</v>
      </c>
      <c r="P47" s="16" t="n">
        <v>17.66</v>
      </c>
      <c r="Q47" s="2" t="inlineStr">
        <is>
          <t>20200722000240</t>
        </is>
      </c>
      <c r="R47" s="3">
        <f>HYPERLINK("https://dart.fss.or.kr/dsaf001/main.do?rcpNo=20200722000240", "공시열람")</f>
        <v/>
      </c>
    </row>
    <row r="48">
      <c r="A48" s="2" t="inlineStr">
        <is>
          <t>2020-07-22</t>
        </is>
      </c>
      <c r="B48" s="4" t="inlineStr">
        <is>
          <t>에이디테크놀로지</t>
        </is>
      </c>
      <c r="C48" s="2" t="inlineStr">
        <is>
          <t>200710</t>
        </is>
      </c>
      <c r="D48" s="2" t="inlineStr">
        <is>
          <t>임원보고</t>
        </is>
      </c>
      <c r="E48" s="2" t="inlineStr">
        <is>
          <t>2020-07-15</t>
        </is>
      </c>
      <c r="F48" s="2" t="inlineStr">
        <is>
          <t>2020-07-15</t>
        </is>
      </c>
      <c r="G48" s="4" t="inlineStr">
        <is>
          <t>김준석</t>
        </is>
      </c>
      <c r="H48" s="4" t="inlineStr">
        <is>
          <t>등기임원 대표이사, 10%이상주주</t>
        </is>
      </c>
      <c r="I48" s="4" t="inlineStr">
        <is>
          <t>기타(-)</t>
        </is>
      </c>
      <c r="J48" s="17" t="n">
        <v>-328505</v>
      </c>
      <c r="K48" s="7" t="n">
        <v>28300</v>
      </c>
      <c r="L48" s="17" t="n">
        <v>-9296691500</v>
      </c>
      <c r="M48" s="7" t="inlineStr"/>
      <c r="N48" s="15" t="inlineStr"/>
      <c r="O48" s="7" t="n">
        <v>1873631</v>
      </c>
      <c r="P48" s="16" t="n">
        <v>17.66</v>
      </c>
      <c r="Q48" s="2" t="inlineStr">
        <is>
          <t>20200722000240</t>
        </is>
      </c>
      <c r="R48" s="3">
        <f>HYPERLINK("https://dart.fss.or.kr/dsaf001/main.do?rcpNo=20200722000240", "공시열람")</f>
        <v/>
      </c>
    </row>
    <row r="49">
      <c r="A49" s="2" t="inlineStr">
        <is>
          <t>2020-07-22</t>
        </is>
      </c>
      <c r="B49" s="4" t="inlineStr">
        <is>
          <t>에이디테크놀로지</t>
        </is>
      </c>
      <c r="C49" s="2" t="inlineStr">
        <is>
          <t>200710</t>
        </is>
      </c>
      <c r="D49" s="2" t="inlineStr">
        <is>
          <t>임원보고</t>
        </is>
      </c>
      <c r="E49" s="2" t="inlineStr">
        <is>
          <t>2020-07-15</t>
        </is>
      </c>
      <c r="F49" s="2" t="inlineStr">
        <is>
          <t>2020-07-15</t>
        </is>
      </c>
      <c r="G49" s="4" t="inlineStr">
        <is>
          <t>박영선</t>
        </is>
      </c>
      <c r="H49" s="4" t="inlineStr">
        <is>
          <t>비등기임원 상무</t>
        </is>
      </c>
      <c r="I49" s="4" t="inlineStr">
        <is>
          <t>유상신주취득(+)</t>
        </is>
      </c>
      <c r="J49" s="14" t="n">
        <v>1470</v>
      </c>
      <c r="K49" s="7" t="n">
        <v>21050</v>
      </c>
      <c r="L49" s="14" t="n">
        <v>30943500</v>
      </c>
      <c r="M49" s="7" t="inlineStr"/>
      <c r="N49" s="15" t="inlineStr"/>
      <c r="O49" s="7" t="n">
        <v>5470</v>
      </c>
      <c r="P49" s="16" t="n">
        <v>0.04</v>
      </c>
      <c r="Q49" s="2" t="inlineStr">
        <is>
          <t>20200722000243</t>
        </is>
      </c>
      <c r="R49" s="3">
        <f>HYPERLINK("https://dart.fss.or.kr/dsaf001/main.do?rcpNo=20200722000243", "공시열람")</f>
        <v/>
      </c>
    </row>
    <row r="50">
      <c r="A50" s="2" t="inlineStr">
        <is>
          <t>2020-07-22</t>
        </is>
      </c>
      <c r="B50" s="4" t="inlineStr">
        <is>
          <t>에이디테크놀로지</t>
        </is>
      </c>
      <c r="C50" s="2" t="inlineStr">
        <is>
          <t>200710</t>
        </is>
      </c>
      <c r="D50" s="2" t="inlineStr">
        <is>
          <t>임원보고</t>
        </is>
      </c>
      <c r="E50" s="2" t="inlineStr">
        <is>
          <t>2020-07-15</t>
        </is>
      </c>
      <c r="F50" s="2" t="inlineStr">
        <is>
          <t>2020-07-15</t>
        </is>
      </c>
      <c r="G50" s="4" t="inlineStr">
        <is>
          <t>박영선</t>
        </is>
      </c>
      <c r="H50" s="4" t="inlineStr">
        <is>
          <t>비등기임원 상무</t>
        </is>
      </c>
      <c r="I50" s="4" t="inlineStr">
        <is>
          <t>기타(-)</t>
        </is>
      </c>
      <c r="J50" s="17" t="n">
        <v>-1470</v>
      </c>
      <c r="K50" s="7" t="n">
        <v>28300</v>
      </c>
      <c r="L50" s="17" t="n">
        <v>-41601000</v>
      </c>
      <c r="M50" s="7" t="inlineStr"/>
      <c r="N50" s="15" t="inlineStr"/>
      <c r="O50" s="7" t="n">
        <v>4000</v>
      </c>
      <c r="P50" s="16" t="n">
        <v>0.04</v>
      </c>
      <c r="Q50" s="2" t="inlineStr">
        <is>
          <t>20200722000243</t>
        </is>
      </c>
      <c r="R50" s="3">
        <f>HYPERLINK("https://dart.fss.or.kr/dsaf001/main.do?rcpNo=20200722000243", "공시열람")</f>
        <v/>
      </c>
    </row>
    <row r="51">
      <c r="A51" s="2" t="inlineStr">
        <is>
          <t>2020-07-22</t>
        </is>
      </c>
      <c r="B51" s="4" t="inlineStr">
        <is>
          <t>에이디테크놀로지</t>
        </is>
      </c>
      <c r="C51" s="2" t="inlineStr">
        <is>
          <t>200710</t>
        </is>
      </c>
      <c r="D51" s="2" t="inlineStr">
        <is>
          <t>임원보고</t>
        </is>
      </c>
      <c r="E51" s="2" t="inlineStr">
        <is>
          <t>2020-07-15</t>
        </is>
      </c>
      <c r="F51" s="2" t="inlineStr">
        <is>
          <t>2020-07-15</t>
        </is>
      </c>
      <c r="G51" s="4" t="inlineStr">
        <is>
          <t>박영선</t>
        </is>
      </c>
      <c r="H51" s="4" t="inlineStr">
        <is>
          <t>비등기임원 상무</t>
        </is>
      </c>
      <c r="I51" s="4" t="inlineStr">
        <is>
          <t>기타(+)</t>
        </is>
      </c>
      <c r="J51" s="14" t="n">
        <v>68</v>
      </c>
      <c r="K51" s="7" t="n">
        <v>28300</v>
      </c>
      <c r="L51" s="14" t="n">
        <v>1924400</v>
      </c>
      <c r="M51" s="7" t="inlineStr"/>
      <c r="N51" s="15" t="inlineStr"/>
      <c r="O51" s="7" t="n">
        <v>5470</v>
      </c>
      <c r="P51" s="16" t="n">
        <v>0.04</v>
      </c>
      <c r="Q51" s="2" t="inlineStr">
        <is>
          <t>20200722000243</t>
        </is>
      </c>
      <c r="R51" s="3">
        <f>HYPERLINK("https://dart.fss.or.kr/dsaf001/main.do?rcpNo=20200722000243", "공시열람")</f>
        <v/>
      </c>
    </row>
    <row r="52">
      <c r="A52" s="2" t="inlineStr">
        <is>
          <t>2020-07-22</t>
        </is>
      </c>
      <c r="B52" s="4" t="inlineStr">
        <is>
          <t>에이디테크놀로지</t>
        </is>
      </c>
      <c r="C52" s="2" t="inlineStr">
        <is>
          <t>200710</t>
        </is>
      </c>
      <c r="D52" s="2" t="inlineStr">
        <is>
          <t>임원보고</t>
        </is>
      </c>
      <c r="E52" s="2" t="inlineStr">
        <is>
          <t>2020-07-15</t>
        </is>
      </c>
      <c r="F52" s="2" t="inlineStr">
        <is>
          <t>2020-07-15</t>
        </is>
      </c>
      <c r="G52" s="4" t="inlineStr">
        <is>
          <t>이강렬</t>
        </is>
      </c>
      <c r="H52" s="4" t="inlineStr">
        <is>
          <t>등기임원 상무</t>
        </is>
      </c>
      <c r="I52" s="4" t="inlineStr">
        <is>
          <t>유상신주취득(+)</t>
        </is>
      </c>
      <c r="J52" s="14" t="n">
        <v>4500</v>
      </c>
      <c r="K52" s="7" t="n">
        <v>21050</v>
      </c>
      <c r="L52" s="14" t="n">
        <v>94725000</v>
      </c>
      <c r="M52" s="7" t="inlineStr"/>
      <c r="N52" s="15" t="inlineStr"/>
      <c r="O52" s="7" t="n">
        <v>24500</v>
      </c>
      <c r="P52" s="16" t="n">
        <v>0.19</v>
      </c>
      <c r="Q52" s="2" t="inlineStr">
        <is>
          <t>20200722000251</t>
        </is>
      </c>
      <c r="R52" s="3">
        <f>HYPERLINK("https://dart.fss.or.kr/dsaf001/main.do?rcpNo=20200722000251", "공시열람")</f>
        <v/>
      </c>
    </row>
    <row r="53">
      <c r="A53" s="2" t="inlineStr">
        <is>
          <t>2020-07-22</t>
        </is>
      </c>
      <c r="B53" s="4" t="inlineStr">
        <is>
          <t>에이디테크놀로지</t>
        </is>
      </c>
      <c r="C53" s="2" t="inlineStr">
        <is>
          <t>200710</t>
        </is>
      </c>
      <c r="D53" s="2" t="inlineStr">
        <is>
          <t>임원보고</t>
        </is>
      </c>
      <c r="E53" s="2" t="inlineStr">
        <is>
          <t>2020-07-15</t>
        </is>
      </c>
      <c r="F53" s="2" t="inlineStr">
        <is>
          <t>2020-07-15</t>
        </is>
      </c>
      <c r="G53" s="4" t="inlineStr">
        <is>
          <t>이강렬</t>
        </is>
      </c>
      <c r="H53" s="4" t="inlineStr">
        <is>
          <t>등기임원 상무</t>
        </is>
      </c>
      <c r="I53" s="4" t="inlineStr">
        <is>
          <t>기타(-)</t>
        </is>
      </c>
      <c r="J53" s="17" t="n">
        <v>-4500</v>
      </c>
      <c r="K53" s="7" t="n">
        <v>28300</v>
      </c>
      <c r="L53" s="17" t="n">
        <v>-127350000</v>
      </c>
      <c r="M53" s="7" t="inlineStr"/>
      <c r="N53" s="15" t="inlineStr"/>
      <c r="O53" s="7" t="n">
        <v>20000</v>
      </c>
      <c r="P53" s="16" t="n">
        <v>0.19</v>
      </c>
      <c r="Q53" s="2" t="inlineStr">
        <is>
          <t>20200722000251</t>
        </is>
      </c>
      <c r="R53" s="3">
        <f>HYPERLINK("https://dart.fss.or.kr/dsaf001/main.do?rcpNo=20200722000251", "공시열람")</f>
        <v/>
      </c>
    </row>
    <row r="54">
      <c r="A54" s="2" t="inlineStr">
        <is>
          <t>2020-07-22</t>
        </is>
      </c>
      <c r="B54" s="4" t="inlineStr">
        <is>
          <t>에이디테크놀로지</t>
        </is>
      </c>
      <c r="C54" s="2" t="inlineStr">
        <is>
          <t>200710</t>
        </is>
      </c>
      <c r="D54" s="2" t="inlineStr">
        <is>
          <t>임원보고</t>
        </is>
      </c>
      <c r="E54" s="2" t="inlineStr">
        <is>
          <t>2020-07-15</t>
        </is>
      </c>
      <c r="F54" s="2" t="inlineStr">
        <is>
          <t>2020-07-15</t>
        </is>
      </c>
      <c r="G54" s="4" t="inlineStr">
        <is>
          <t>이은주</t>
        </is>
      </c>
      <c r="H54" s="4" t="inlineStr">
        <is>
          <t>비등기임원 상무</t>
        </is>
      </c>
      <c r="I54" s="4" t="inlineStr">
        <is>
          <t>유상신주취득(+)</t>
        </is>
      </c>
      <c r="J54" s="14" t="n">
        <v>8044</v>
      </c>
      <c r="K54" s="7" t="n">
        <v>21050</v>
      </c>
      <c r="L54" s="14" t="n">
        <v>169326200</v>
      </c>
      <c r="M54" s="7" t="inlineStr"/>
      <c r="N54" s="15" t="inlineStr"/>
      <c r="O54" s="7" t="n">
        <v>30984</v>
      </c>
      <c r="P54" s="16" t="n">
        <v>0.24</v>
      </c>
      <c r="Q54" s="2" t="inlineStr">
        <is>
          <t>20200722000252</t>
        </is>
      </c>
      <c r="R54" s="3">
        <f>HYPERLINK("https://dart.fss.or.kr/dsaf001/main.do?rcpNo=20200722000252", "공시열람")</f>
        <v/>
      </c>
    </row>
    <row r="55">
      <c r="A55" s="2" t="inlineStr">
        <is>
          <t>2020-07-22</t>
        </is>
      </c>
      <c r="B55" s="4" t="inlineStr">
        <is>
          <t>에이디테크놀로지</t>
        </is>
      </c>
      <c r="C55" s="2" t="inlineStr">
        <is>
          <t>200710</t>
        </is>
      </c>
      <c r="D55" s="2" t="inlineStr">
        <is>
          <t>임원보고</t>
        </is>
      </c>
      <c r="E55" s="2" t="inlineStr">
        <is>
          <t>2020-07-15</t>
        </is>
      </c>
      <c r="F55" s="2" t="inlineStr">
        <is>
          <t>2020-07-15</t>
        </is>
      </c>
      <c r="G55" s="4" t="inlineStr">
        <is>
          <t>이은주</t>
        </is>
      </c>
      <c r="H55" s="4" t="inlineStr">
        <is>
          <t>비등기임원 상무</t>
        </is>
      </c>
      <c r="I55" s="4" t="inlineStr">
        <is>
          <t>기타(-)</t>
        </is>
      </c>
      <c r="J55" s="17" t="n">
        <v>-8044</v>
      </c>
      <c r="K55" s="7" t="n">
        <v>28300</v>
      </c>
      <c r="L55" s="17" t="n">
        <v>-227645200</v>
      </c>
      <c r="M55" s="7" t="inlineStr"/>
      <c r="N55" s="15" t="inlineStr"/>
      <c r="O55" s="7" t="n">
        <v>22940</v>
      </c>
      <c r="P55" s="16" t="n">
        <v>0.24</v>
      </c>
      <c r="Q55" s="2" t="inlineStr">
        <is>
          <t>20200722000252</t>
        </is>
      </c>
      <c r="R55" s="3">
        <f>HYPERLINK("https://dart.fss.or.kr/dsaf001/main.do?rcpNo=20200722000252", "공시열람")</f>
        <v/>
      </c>
    </row>
    <row r="56">
      <c r="A56" s="2" t="inlineStr">
        <is>
          <t>2020-07-08</t>
        </is>
      </c>
      <c r="B56" s="4" t="inlineStr">
        <is>
          <t>에이디테크놀로지</t>
        </is>
      </c>
      <c r="C56" s="2" t="inlineStr">
        <is>
          <t>200710</t>
        </is>
      </c>
      <c r="D56" s="2" t="inlineStr">
        <is>
          <t>대량보유</t>
        </is>
      </c>
      <c r="E56" s="2" t="inlineStr"/>
      <c r="F56" s="2" t="inlineStr"/>
      <c r="G56" s="4" t="inlineStr">
        <is>
          <t>김준석</t>
        </is>
      </c>
      <c r="H56" s="4" t="inlineStr">
        <is>
          <t>최대주주</t>
        </is>
      </c>
      <c r="I56" s="4" t="inlineStr">
        <is>
          <t>발행회사의 유상증자에 따라 신주인수권증서 배정 및 일부 매도</t>
        </is>
      </c>
      <c r="J56" s="7" t="inlineStr"/>
      <c r="K56" s="7" t="inlineStr"/>
      <c r="L56" s="7" t="inlineStr"/>
      <c r="M56" s="7" t="n">
        <v>2032131</v>
      </c>
      <c r="N56" s="16" t="n">
        <v>21.68</v>
      </c>
      <c r="O56" s="7" t="n">
        <v>2365136</v>
      </c>
      <c r="P56" s="16" t="n">
        <v>25.51</v>
      </c>
      <c r="Q56" s="2" t="inlineStr">
        <is>
          <t>20200708000327</t>
        </is>
      </c>
      <c r="R56" s="3">
        <f>HYPERLINK("https://dart.fss.or.kr/dsaf001/main.do?rcpNo=20200708000327", "공시열람")</f>
        <v/>
      </c>
    </row>
    <row r="57">
      <c r="A57" s="2" t="inlineStr">
        <is>
          <t>2020-06-23</t>
        </is>
      </c>
      <c r="B57" s="4" t="inlineStr">
        <is>
          <t>에이디테크놀로지</t>
        </is>
      </c>
      <c r="C57" s="2" t="inlineStr">
        <is>
          <t>200710</t>
        </is>
      </c>
      <c r="D57" s="2" t="inlineStr">
        <is>
          <t>임원보고</t>
        </is>
      </c>
      <c r="E57" s="2" t="inlineStr">
        <is>
          <t>2020-06-15</t>
        </is>
      </c>
      <c r="F57" s="2" t="inlineStr">
        <is>
          <t>2020-06-15</t>
        </is>
      </c>
      <c r="G57" s="4" t="inlineStr">
        <is>
          <t>이은주</t>
        </is>
      </c>
      <c r="H57" s="4" t="inlineStr">
        <is>
          <t>비등기임원 상무</t>
        </is>
      </c>
      <c r="I57" s="4" t="inlineStr">
        <is>
          <t>기타(+)</t>
        </is>
      </c>
      <c r="J57" s="14" t="n">
        <v>8044</v>
      </c>
      <c r="K57" s="7" t="n">
        <v>25600</v>
      </c>
      <c r="L57" s="14" t="n">
        <v>205926400</v>
      </c>
      <c r="M57" s="7" t="inlineStr"/>
      <c r="N57" s="15" t="inlineStr"/>
      <c r="O57" s="7" t="n">
        <v>30984</v>
      </c>
      <c r="P57" s="16" t="n">
        <v>0.33</v>
      </c>
      <c r="Q57" s="2" t="inlineStr">
        <is>
          <t>20200623000273</t>
        </is>
      </c>
      <c r="R57" s="3">
        <f>HYPERLINK("https://dart.fss.or.kr/dsaf001/main.do?rcpNo=20200623000273", "공시열람")</f>
        <v/>
      </c>
    </row>
    <row r="58">
      <c r="A58" s="2" t="inlineStr">
        <is>
          <t>2020-06-23</t>
        </is>
      </c>
      <c r="B58" s="4" t="inlineStr">
        <is>
          <t>에이디테크놀로지</t>
        </is>
      </c>
      <c r="C58" s="2" t="inlineStr">
        <is>
          <t>200710</t>
        </is>
      </c>
      <c r="D58" s="2" t="inlineStr">
        <is>
          <t>임원보고</t>
        </is>
      </c>
      <c r="E58" s="2" t="inlineStr">
        <is>
          <t>2020-06-15</t>
        </is>
      </c>
      <c r="F58" s="2" t="inlineStr">
        <is>
          <t>2020-06-15</t>
        </is>
      </c>
      <c r="G58" s="4" t="inlineStr">
        <is>
          <t>박영선</t>
        </is>
      </c>
      <c r="H58" s="4" t="inlineStr">
        <is>
          <t>비등기임원 상무</t>
        </is>
      </c>
      <c r="I58" s="4" t="inlineStr">
        <is>
          <t>기타(+)</t>
        </is>
      </c>
      <c r="J58" s="14" t="n">
        <v>1402</v>
      </c>
      <c r="K58" s="7" t="n">
        <v>25600</v>
      </c>
      <c r="L58" s="14" t="n">
        <v>35891200</v>
      </c>
      <c r="M58" s="7" t="inlineStr"/>
      <c r="N58" s="15" t="inlineStr"/>
      <c r="O58" s="7" t="n">
        <v>5402</v>
      </c>
      <c r="P58" s="16" t="n">
        <v>0.06</v>
      </c>
      <c r="Q58" s="2" t="inlineStr">
        <is>
          <t>20200622000352</t>
        </is>
      </c>
      <c r="R58" s="3">
        <f>HYPERLINK("https://dart.fss.or.kr/dsaf001/main.do?rcpNo=20200622000352", "공시열람")</f>
        <v/>
      </c>
    </row>
    <row r="59">
      <c r="A59" s="2" t="inlineStr">
        <is>
          <t>2020-06-22</t>
        </is>
      </c>
      <c r="B59" s="4" t="inlineStr">
        <is>
          <t>에이디테크놀로지</t>
        </is>
      </c>
      <c r="C59" s="2" t="inlineStr">
        <is>
          <t>200710</t>
        </is>
      </c>
      <c r="D59" s="2" t="inlineStr">
        <is>
          <t>임원보고</t>
        </is>
      </c>
      <c r="E59" s="2" t="inlineStr">
        <is>
          <t>2020-06-15</t>
        </is>
      </c>
      <c r="F59" s="2" t="inlineStr">
        <is>
          <t>2020-06-15</t>
        </is>
      </c>
      <c r="G59" s="4" t="inlineStr">
        <is>
          <t>김준석</t>
        </is>
      </c>
      <c r="H59" s="4" t="inlineStr">
        <is>
          <t>등기임원 대표이사, 10%이상주주</t>
        </is>
      </c>
      <c r="I59" s="4" t="inlineStr">
        <is>
          <t>기타(+)</t>
        </is>
      </c>
      <c r="J59" s="14" t="n">
        <v>657010</v>
      </c>
      <c r="K59" s="7" t="n">
        <v>25600</v>
      </c>
      <c r="L59" s="14" t="n">
        <v>16819456000</v>
      </c>
      <c r="M59" s="7" t="inlineStr"/>
      <c r="N59" s="15" t="inlineStr"/>
      <c r="O59" s="7" t="n">
        <v>2530641</v>
      </c>
      <c r="P59" s="16" t="n">
        <v>23.76</v>
      </c>
      <c r="Q59" s="2" t="inlineStr">
        <is>
          <t>20200622000337</t>
        </is>
      </c>
      <c r="R59" s="3">
        <f>HYPERLINK("https://dart.fss.or.kr/dsaf001/main.do?rcpNo=20200622000337", "공시열람")</f>
        <v/>
      </c>
    </row>
    <row r="60">
      <c r="A60" s="2" t="inlineStr">
        <is>
          <t>2020-06-22</t>
        </is>
      </c>
      <c r="B60" s="4" t="inlineStr">
        <is>
          <t>에이디테크놀로지</t>
        </is>
      </c>
      <c r="C60" s="2" t="inlineStr">
        <is>
          <t>200710</t>
        </is>
      </c>
      <c r="D60" s="2" t="inlineStr">
        <is>
          <t>임원보고</t>
        </is>
      </c>
      <c r="E60" s="2" t="inlineStr">
        <is>
          <t>2020-06-19</t>
        </is>
      </c>
      <c r="F60" s="2" t="inlineStr">
        <is>
          <t>2020-06-19</t>
        </is>
      </c>
      <c r="G60" s="4" t="inlineStr">
        <is>
          <t>김준석</t>
        </is>
      </c>
      <c r="H60" s="4" t="inlineStr">
        <is>
          <t>등기임원 대표이사, 10%이상주주</t>
        </is>
      </c>
      <c r="I60" s="4" t="inlineStr">
        <is>
          <t>기타(-)</t>
        </is>
      </c>
      <c r="J60" s="17" t="n">
        <v>-328505</v>
      </c>
      <c r="K60" s="7" t="n">
        <v>27850</v>
      </c>
      <c r="L60" s="17" t="n">
        <v>-9148864250</v>
      </c>
      <c r="M60" s="7" t="inlineStr"/>
      <c r="N60" s="15" t="inlineStr"/>
      <c r="O60" s="7" t="n">
        <v>2202136</v>
      </c>
      <c r="P60" s="16" t="n">
        <v>23.76</v>
      </c>
      <c r="Q60" s="2" t="inlineStr">
        <is>
          <t>20200622000337</t>
        </is>
      </c>
      <c r="R60" s="3">
        <f>HYPERLINK("https://dart.fss.or.kr/dsaf001/main.do?rcpNo=20200622000337", "공시열람")</f>
        <v/>
      </c>
    </row>
    <row r="61">
      <c r="A61" s="2" t="inlineStr">
        <is>
          <t>2020-06-22</t>
        </is>
      </c>
      <c r="B61" s="4" t="inlineStr">
        <is>
          <t>에이디테크놀로지</t>
        </is>
      </c>
      <c r="C61" s="2" t="inlineStr">
        <is>
          <t>200710</t>
        </is>
      </c>
      <c r="D61" s="2" t="inlineStr">
        <is>
          <t>임원보고</t>
        </is>
      </c>
      <c r="E61" s="2" t="inlineStr">
        <is>
          <t>2020-06-22</t>
        </is>
      </c>
      <c r="F61" s="2" t="inlineStr">
        <is>
          <t>2020-06-22</t>
        </is>
      </c>
      <c r="G61" s="4" t="inlineStr">
        <is>
          <t>문갑주</t>
        </is>
      </c>
      <c r="H61" s="4" t="inlineStr">
        <is>
          <t>등기임원 전무</t>
        </is>
      </c>
      <c r="I61" s="4" t="inlineStr">
        <is>
          <t>장내매도(-)</t>
        </is>
      </c>
      <c r="J61" s="17" t="n">
        <v>-1993</v>
      </c>
      <c r="K61" s="7" t="n">
        <v>4237</v>
      </c>
      <c r="L61" s="17" t="n">
        <v>-8444341</v>
      </c>
      <c r="M61" s="7" t="inlineStr"/>
      <c r="N61" s="15" t="inlineStr"/>
      <c r="O61" s="7" t="n">
        <v>28500</v>
      </c>
      <c r="P61" s="16" t="n">
        <v>0.31</v>
      </c>
      <c r="Q61" s="2" t="inlineStr">
        <is>
          <t>20200622000342</t>
        </is>
      </c>
      <c r="R61" s="3">
        <f>HYPERLINK("https://dart.fss.or.kr/dsaf001/main.do?rcpNo=20200622000342", "공시열람")</f>
        <v/>
      </c>
    </row>
    <row r="62">
      <c r="A62" s="2" t="inlineStr">
        <is>
          <t>2020-06-22</t>
        </is>
      </c>
      <c r="B62" s="4" t="inlineStr">
        <is>
          <t>에이디테크놀로지</t>
        </is>
      </c>
      <c r="C62" s="2" t="inlineStr">
        <is>
          <t>200710</t>
        </is>
      </c>
      <c r="D62" s="2" t="inlineStr">
        <is>
          <t>임원보고</t>
        </is>
      </c>
      <c r="E62" s="2" t="inlineStr">
        <is>
          <t>2020-06-19</t>
        </is>
      </c>
      <c r="F62" s="2" t="inlineStr">
        <is>
          <t>2020-06-19</t>
        </is>
      </c>
      <c r="G62" s="4" t="inlineStr">
        <is>
          <t>문갑주</t>
        </is>
      </c>
      <c r="H62" s="4" t="inlineStr">
        <is>
          <t>등기임원 전무</t>
        </is>
      </c>
      <c r="I62" s="4" t="inlineStr">
        <is>
          <t>기타(-)</t>
        </is>
      </c>
      <c r="J62" s="17" t="n">
        <v>-8000</v>
      </c>
      <c r="K62" s="7" t="n">
        <v>27850</v>
      </c>
      <c r="L62" s="17" t="n">
        <v>-222800000</v>
      </c>
      <c r="M62" s="7" t="inlineStr"/>
      <c r="N62" s="15" t="inlineStr"/>
      <c r="O62" s="7" t="n">
        <v>30493</v>
      </c>
      <c r="P62" s="16" t="n">
        <v>0.31</v>
      </c>
      <c r="Q62" s="2" t="inlineStr">
        <is>
          <t>20200622000342</t>
        </is>
      </c>
      <c r="R62" s="3">
        <f>HYPERLINK("https://dart.fss.or.kr/dsaf001/main.do?rcpNo=20200622000342", "공시열람")</f>
        <v/>
      </c>
    </row>
    <row r="63">
      <c r="A63" s="2" t="inlineStr">
        <is>
          <t>2020-06-22</t>
        </is>
      </c>
      <c r="B63" s="4" t="inlineStr">
        <is>
          <t>에이디테크놀로지</t>
        </is>
      </c>
      <c r="C63" s="2" t="inlineStr">
        <is>
          <t>200710</t>
        </is>
      </c>
      <c r="D63" s="2" t="inlineStr">
        <is>
          <t>임원보고</t>
        </is>
      </c>
      <c r="E63" s="2" t="inlineStr">
        <is>
          <t>2020-06-15</t>
        </is>
      </c>
      <c r="F63" s="2" t="inlineStr">
        <is>
          <t>2020-06-15</t>
        </is>
      </c>
      <c r="G63" s="4" t="inlineStr">
        <is>
          <t>문갑주</t>
        </is>
      </c>
      <c r="H63" s="4" t="inlineStr">
        <is>
          <t>등기임원 전무</t>
        </is>
      </c>
      <c r="I63" s="4" t="inlineStr">
        <is>
          <t>기타(+)</t>
        </is>
      </c>
      <c r="J63" s="14" t="n">
        <v>9993</v>
      </c>
      <c r="K63" s="7" t="n">
        <v>25600</v>
      </c>
      <c r="L63" s="14" t="n">
        <v>255820800</v>
      </c>
      <c r="M63" s="7" t="inlineStr"/>
      <c r="N63" s="15" t="inlineStr"/>
      <c r="O63" s="7" t="n">
        <v>38493</v>
      </c>
      <c r="P63" s="16" t="n">
        <v>0.31</v>
      </c>
      <c r="Q63" s="2" t="inlineStr">
        <is>
          <t>20200622000342</t>
        </is>
      </c>
      <c r="R63" s="3">
        <f>HYPERLINK("https://dart.fss.or.kr/dsaf001/main.do?rcpNo=20200622000342", "공시열람")</f>
        <v/>
      </c>
    </row>
    <row r="64">
      <c r="A64" s="2" t="inlineStr">
        <is>
          <t>2020-06-22</t>
        </is>
      </c>
      <c r="B64" s="4" t="inlineStr">
        <is>
          <t>에이디테크놀로지</t>
        </is>
      </c>
      <c r="C64" s="2" t="inlineStr">
        <is>
          <t>200710</t>
        </is>
      </c>
      <c r="D64" s="2" t="inlineStr">
        <is>
          <t>임원보고</t>
        </is>
      </c>
      <c r="E64" s="2" t="inlineStr">
        <is>
          <t>2020-06-19</t>
        </is>
      </c>
      <c r="F64" s="2" t="inlineStr">
        <is>
          <t>2020-06-19</t>
        </is>
      </c>
      <c r="G64" s="4" t="inlineStr">
        <is>
          <t>이강렬</t>
        </is>
      </c>
      <c r="H64" s="4" t="inlineStr">
        <is>
          <t>등기임원 상무</t>
        </is>
      </c>
      <c r="I64" s="4" t="inlineStr">
        <is>
          <t>기타(-)</t>
        </is>
      </c>
      <c r="J64" s="17" t="n">
        <v>-2513</v>
      </c>
      <c r="K64" s="7" t="n">
        <v>27850</v>
      </c>
      <c r="L64" s="17" t="n">
        <v>-69987050</v>
      </c>
      <c r="M64" s="7" t="inlineStr"/>
      <c r="N64" s="15" t="inlineStr"/>
      <c r="O64" s="7" t="n">
        <v>24500</v>
      </c>
      <c r="P64" s="16" t="n">
        <v>0.26</v>
      </c>
      <c r="Q64" s="2" t="inlineStr">
        <is>
          <t>20200622000344</t>
        </is>
      </c>
      <c r="R64" s="3">
        <f>HYPERLINK("https://dart.fss.or.kr/dsaf001/main.do?rcpNo=20200622000344", "공시열람")</f>
        <v/>
      </c>
    </row>
    <row r="65">
      <c r="A65" s="2" t="inlineStr">
        <is>
          <t>2020-06-22</t>
        </is>
      </c>
      <c r="B65" s="4" t="inlineStr">
        <is>
          <t>에이디테크놀로지</t>
        </is>
      </c>
      <c r="C65" s="2" t="inlineStr">
        <is>
          <t>200710</t>
        </is>
      </c>
      <c r="D65" s="2" t="inlineStr">
        <is>
          <t>임원보고</t>
        </is>
      </c>
      <c r="E65" s="2" t="inlineStr">
        <is>
          <t>2016-11-14</t>
        </is>
      </c>
      <c r="F65" s="2" t="inlineStr">
        <is>
          <t>2016-11-14</t>
        </is>
      </c>
      <c r="G65" s="4" t="inlineStr">
        <is>
          <t>이강렬</t>
        </is>
      </c>
      <c r="H65" s="4" t="inlineStr">
        <is>
          <t>등기임원 상무</t>
        </is>
      </c>
      <c r="I65" s="4" t="inlineStr">
        <is>
          <t>기타(+)</t>
        </is>
      </c>
      <c r="J65" s="14" t="n">
        <v>7013</v>
      </c>
      <c r="K65" s="7" t="n">
        <v>5411</v>
      </c>
      <c r="L65" s="14" t="n">
        <v>37947343</v>
      </c>
      <c r="M65" s="7" t="inlineStr"/>
      <c r="N65" s="15" t="inlineStr"/>
      <c r="O65" s="7" t="n">
        <v>27013</v>
      </c>
      <c r="P65" s="16" t="n">
        <v>0.26</v>
      </c>
      <c r="Q65" s="2" t="inlineStr">
        <is>
          <t>20200622000344</t>
        </is>
      </c>
      <c r="R65" s="3">
        <f>HYPERLINK("https://dart.fss.or.kr/dsaf001/main.do?rcpNo=20200622000344", "공시열람")</f>
        <v/>
      </c>
    </row>
    <row r="66">
      <c r="A66" s="2" t="inlineStr">
        <is>
          <t>2020-06-22</t>
        </is>
      </c>
      <c r="B66" s="4" t="inlineStr">
        <is>
          <t>에이디테크놀로지</t>
        </is>
      </c>
      <c r="C66" s="2" t="inlineStr">
        <is>
          <t>200710</t>
        </is>
      </c>
      <c r="D66" s="2" t="inlineStr">
        <is>
          <t>임원보고</t>
        </is>
      </c>
      <c r="E66" s="2" t="inlineStr">
        <is>
          <t>2020-06-19</t>
        </is>
      </c>
      <c r="F66" s="2" t="inlineStr">
        <is>
          <t>2020-06-19</t>
        </is>
      </c>
      <c r="G66" s="4" t="inlineStr">
        <is>
          <t>이현석</t>
        </is>
      </c>
      <c r="H66" s="4" t="inlineStr">
        <is>
          <t>비등기임원 CTO</t>
        </is>
      </c>
      <c r="I66" s="4" t="inlineStr">
        <is>
          <t>기타(-)</t>
        </is>
      </c>
      <c r="J66" s="17" t="n">
        <v>-3717</v>
      </c>
      <c r="K66" s="7" t="n">
        <v>27850</v>
      </c>
      <c r="L66" s="17" t="n">
        <v>-103518450</v>
      </c>
      <c r="M66" s="7" t="inlineStr"/>
      <c r="N66" s="15" t="inlineStr"/>
      <c r="O66" s="7" t="n">
        <v>10600</v>
      </c>
      <c r="P66" s="16" t="n">
        <v>0.11</v>
      </c>
      <c r="Q66" s="2" t="inlineStr">
        <is>
          <t>20200622000347</t>
        </is>
      </c>
      <c r="R66" s="3">
        <f>HYPERLINK("https://dart.fss.or.kr/dsaf001/main.do?rcpNo=20200622000347", "공시열람")</f>
        <v/>
      </c>
    </row>
    <row r="67">
      <c r="A67" s="2" t="inlineStr">
        <is>
          <t>2020-06-22</t>
        </is>
      </c>
      <c r="B67" s="4" t="inlineStr">
        <is>
          <t>에이디테크놀로지</t>
        </is>
      </c>
      <c r="C67" s="2" t="inlineStr">
        <is>
          <t>200710</t>
        </is>
      </c>
      <c r="D67" s="2" t="inlineStr">
        <is>
          <t>임원보고</t>
        </is>
      </c>
      <c r="E67" s="2" t="inlineStr">
        <is>
          <t>2020-06-15</t>
        </is>
      </c>
      <c r="F67" s="2" t="inlineStr">
        <is>
          <t>2020-06-15</t>
        </is>
      </c>
      <c r="G67" s="4" t="inlineStr">
        <is>
          <t>이현석</t>
        </is>
      </c>
      <c r="H67" s="4" t="inlineStr">
        <is>
          <t>비등기임원 CTO</t>
        </is>
      </c>
      <c r="I67" s="4" t="inlineStr">
        <is>
          <t>기타(+)</t>
        </is>
      </c>
      <c r="J67" s="14" t="n">
        <v>3717</v>
      </c>
      <c r="K67" s="7" t="n">
        <v>25600</v>
      </c>
      <c r="L67" s="14" t="n">
        <v>95155200</v>
      </c>
      <c r="M67" s="7" t="inlineStr"/>
      <c r="N67" s="15" t="inlineStr"/>
      <c r="O67" s="7" t="n">
        <v>14317</v>
      </c>
      <c r="P67" s="16" t="n">
        <v>0.11</v>
      </c>
      <c r="Q67" s="2" t="inlineStr">
        <is>
          <t>20200622000347</t>
        </is>
      </c>
      <c r="R67" s="3">
        <f>HYPERLINK("https://dart.fss.or.kr/dsaf001/main.do?rcpNo=20200622000347", "공시열람")</f>
        <v/>
      </c>
    </row>
    <row r="68">
      <c r="A68" s="2" t="inlineStr">
        <is>
          <t>2020-06-22</t>
        </is>
      </c>
      <c r="B68" s="4" t="inlineStr">
        <is>
          <t>에이디테크놀로지</t>
        </is>
      </c>
      <c r="C68" s="2" t="inlineStr">
        <is>
          <t>200710</t>
        </is>
      </c>
      <c r="D68" s="2" t="inlineStr">
        <is>
          <t>임원보고</t>
        </is>
      </c>
      <c r="E68" s="2" t="inlineStr">
        <is>
          <t>2020-06-19</t>
        </is>
      </c>
      <c r="F68" s="2" t="inlineStr">
        <is>
          <t>2020-06-19</t>
        </is>
      </c>
      <c r="G68" s="4" t="inlineStr">
        <is>
          <t>강종민</t>
        </is>
      </c>
      <c r="H68" s="4" t="inlineStr">
        <is>
          <t>비등기임원 상무</t>
        </is>
      </c>
      <c r="I68" s="4" t="inlineStr">
        <is>
          <t>기타(-)</t>
        </is>
      </c>
      <c r="J68" s="17" t="n">
        <v>-14657</v>
      </c>
      <c r="K68" s="7" t="n">
        <v>27850</v>
      </c>
      <c r="L68" s="17" t="n">
        <v>-408197450</v>
      </c>
      <c r="M68" s="7" t="inlineStr"/>
      <c r="N68" s="15" t="inlineStr"/>
      <c r="O68" s="7" t="n">
        <v>41800</v>
      </c>
      <c r="P68" s="16" t="n">
        <v>0.45</v>
      </c>
      <c r="Q68" s="2" t="inlineStr">
        <is>
          <t>20200622000349</t>
        </is>
      </c>
      <c r="R68" s="3">
        <f>HYPERLINK("https://dart.fss.or.kr/dsaf001/main.do?rcpNo=20200622000349", "공시열람")</f>
        <v/>
      </c>
    </row>
    <row r="69">
      <c r="A69" s="2" t="inlineStr">
        <is>
          <t>2020-06-22</t>
        </is>
      </c>
      <c r="B69" s="4" t="inlineStr">
        <is>
          <t>에이디테크놀로지</t>
        </is>
      </c>
      <c r="C69" s="2" t="inlineStr">
        <is>
          <t>200710</t>
        </is>
      </c>
      <c r="D69" s="2" t="inlineStr">
        <is>
          <t>임원보고</t>
        </is>
      </c>
      <c r="E69" s="2" t="inlineStr">
        <is>
          <t>2020-06-15</t>
        </is>
      </c>
      <c r="F69" s="2" t="inlineStr">
        <is>
          <t>2020-06-15</t>
        </is>
      </c>
      <c r="G69" s="4" t="inlineStr">
        <is>
          <t>강종민</t>
        </is>
      </c>
      <c r="H69" s="4" t="inlineStr">
        <is>
          <t>비등기임원 상무</t>
        </is>
      </c>
      <c r="I69" s="4" t="inlineStr">
        <is>
          <t>기타(+)</t>
        </is>
      </c>
      <c r="J69" s="14" t="n">
        <v>14657</v>
      </c>
      <c r="K69" s="7" t="n">
        <v>25600</v>
      </c>
      <c r="L69" s="14" t="n">
        <v>375219200</v>
      </c>
      <c r="M69" s="7" t="inlineStr"/>
      <c r="N69" s="15" t="inlineStr"/>
      <c r="O69" s="7" t="n">
        <v>56457</v>
      </c>
      <c r="P69" s="16" t="n">
        <v>0.45</v>
      </c>
      <c r="Q69" s="2" t="inlineStr">
        <is>
          <t>20200622000349</t>
        </is>
      </c>
      <c r="R69" s="3">
        <f>HYPERLINK("https://dart.fss.or.kr/dsaf001/main.do?rcpNo=20200622000349", "공시열람")</f>
        <v/>
      </c>
    </row>
    <row r="70">
      <c r="A70" s="2" t="inlineStr">
        <is>
          <t>2020-04-10</t>
        </is>
      </c>
      <c r="B70" s="4" t="inlineStr">
        <is>
          <t>에이디테크놀로지</t>
        </is>
      </c>
      <c r="C70" s="2" t="inlineStr">
        <is>
          <t>200710</t>
        </is>
      </c>
      <c r="D70" s="2" t="inlineStr">
        <is>
          <t>대량보유</t>
        </is>
      </c>
      <c r="E70" s="2" t="inlineStr"/>
      <c r="F70" s="2" t="inlineStr"/>
      <c r="G70" s="4" t="inlineStr">
        <is>
          <t>한국증권금융(주)</t>
        </is>
      </c>
      <c r="H70" s="4" t="inlineStr">
        <is>
          <t>주주</t>
        </is>
      </c>
      <c r="I70" s="4" t="inlineStr">
        <is>
          <t>신용공여에 따른 담보권 변동</t>
        </is>
      </c>
      <c r="J70" s="7" t="inlineStr"/>
      <c r="K70" s="7" t="inlineStr"/>
      <c r="L70" s="7" t="inlineStr"/>
      <c r="M70" s="7" t="n">
        <v>583550</v>
      </c>
      <c r="N70" s="16" t="n">
        <v>6.3</v>
      </c>
      <c r="O70" s="7" t="n">
        <v>377634</v>
      </c>
      <c r="P70" s="16" t="n">
        <v>4.08</v>
      </c>
      <c r="Q70" s="2" t="inlineStr">
        <is>
          <t>20200410002428</t>
        </is>
      </c>
      <c r="R70" s="3">
        <f>HYPERLINK("https://dart.fss.or.kr/dsaf001/main.do?rcpNo=20200410002428", "공시열람")</f>
        <v/>
      </c>
    </row>
    <row r="71">
      <c r="A71" s="2" t="inlineStr">
        <is>
          <t>2020-04-03</t>
        </is>
      </c>
      <c r="B71" s="4" t="inlineStr">
        <is>
          <t>에이디테크놀로지</t>
        </is>
      </c>
      <c r="C71" s="2" t="inlineStr">
        <is>
          <t>200710</t>
        </is>
      </c>
      <c r="D71" s="2" t="inlineStr">
        <is>
          <t>대량보유</t>
        </is>
      </c>
      <c r="E71" s="2" t="inlineStr"/>
      <c r="F71" s="2" t="inlineStr"/>
      <c r="G71" s="4" t="inlineStr">
        <is>
          <t>김준석</t>
        </is>
      </c>
      <c r="H71" s="4" t="inlineStr">
        <is>
          <t>최대주주</t>
        </is>
      </c>
      <c r="I71" s="4" t="inlineStr">
        <is>
          <t>임원퇴임 및 신규선임, 주식매수선택권 부여에 따른 주식 수 변동</t>
        </is>
      </c>
      <c r="J71" s="7" t="inlineStr"/>
      <c r="K71" s="7" t="inlineStr"/>
      <c r="L71" s="7" t="inlineStr"/>
      <c r="M71" s="7" t="n">
        <v>1912731</v>
      </c>
      <c r="N71" s="16" t="n">
        <v>20.65</v>
      </c>
      <c r="O71" s="7" t="n">
        <v>2032131</v>
      </c>
      <c r="P71" s="16" t="n">
        <v>21.68</v>
      </c>
      <c r="Q71" s="2" t="inlineStr">
        <is>
          <t>20200403002139</t>
        </is>
      </c>
      <c r="R71" s="3">
        <f>HYPERLINK("https://dart.fss.or.kr/dsaf001/main.do?rcpNo=20200403002139", "공시열람")</f>
        <v/>
      </c>
    </row>
    <row r="72">
      <c r="A72" s="2" t="inlineStr">
        <is>
          <t>2020-01-10</t>
        </is>
      </c>
      <c r="B72" s="4" t="inlineStr">
        <is>
          <t>에이디테크놀로지</t>
        </is>
      </c>
      <c r="C72" s="2" t="inlineStr">
        <is>
          <t>200710</t>
        </is>
      </c>
      <c r="D72" s="2" t="inlineStr">
        <is>
          <t>대량보유</t>
        </is>
      </c>
      <c r="E72" s="2" t="inlineStr"/>
      <c r="F72" s="2" t="inlineStr"/>
      <c r="G72" s="4" t="inlineStr">
        <is>
          <t>한국증권금융(주)</t>
        </is>
      </c>
      <c r="H72" s="4" t="inlineStr">
        <is>
          <t>주주</t>
        </is>
      </c>
      <c r="I72" s="4" t="inlineStr">
        <is>
          <t>신용공여에 따른 담보권 신규취득 및 변동</t>
        </is>
      </c>
      <c r="J72" s="7" t="inlineStr"/>
      <c r="K72" s="7" t="inlineStr"/>
      <c r="L72" s="7" t="inlineStr"/>
      <c r="M72" s="7" t="n">
        <v>447613</v>
      </c>
      <c r="N72" s="16" t="n">
        <v>4.83</v>
      </c>
      <c r="O72" s="7" t="n">
        <v>583550</v>
      </c>
      <c r="P72" s="16" t="n">
        <v>6.3</v>
      </c>
      <c r="Q72" s="2" t="inlineStr">
        <is>
          <t>20200110000660</t>
        </is>
      </c>
      <c r="R72" s="3">
        <f>HYPERLINK("https://dart.fss.or.kr/dsaf001/main.do?rcpNo=20200110000660", "공시열람")</f>
        <v/>
      </c>
    </row>
    <row r="73">
      <c r="A73" s="2" t="inlineStr">
        <is>
          <t>2019-12-31</t>
        </is>
      </c>
      <c r="B73" s="4" t="inlineStr">
        <is>
          <t>에이디테크놀로지</t>
        </is>
      </c>
      <c r="C73" s="2" t="inlineStr">
        <is>
          <t>200710</t>
        </is>
      </c>
      <c r="D73" s="2" t="inlineStr">
        <is>
          <t>임원보고</t>
        </is>
      </c>
      <c r="E73" s="2" t="inlineStr">
        <is>
          <t>2019-12-24</t>
        </is>
      </c>
      <c r="F73" s="2" t="inlineStr">
        <is>
          <t>2019-12-24</t>
        </is>
      </c>
      <c r="G73" s="4" t="inlineStr">
        <is>
          <t>강종민</t>
        </is>
      </c>
      <c r="H73" s="4" t="inlineStr">
        <is>
          <t>비등기임원 상무</t>
        </is>
      </c>
      <c r="I73" s="4" t="inlineStr">
        <is>
          <t>장내매도(-)</t>
        </is>
      </c>
      <c r="J73" s="17" t="n">
        <v>-13800</v>
      </c>
      <c r="K73" s="7" t="n">
        <v>17469</v>
      </c>
      <c r="L73" s="17" t="n">
        <v>-241072200</v>
      </c>
      <c r="M73" s="7" t="inlineStr"/>
      <c r="N73" s="15" t="inlineStr"/>
      <c r="O73" s="7" t="n">
        <v>41800</v>
      </c>
      <c r="P73" s="16" t="n">
        <v>0.45</v>
      </c>
      <c r="Q73" s="2" t="inlineStr">
        <is>
          <t>20191231000135</t>
        </is>
      </c>
      <c r="R73" s="3">
        <f>HYPERLINK("https://dart.fss.or.kr/dsaf001/main.do?rcpNo=20191231000135", "공시열람")</f>
        <v/>
      </c>
    </row>
    <row r="74">
      <c r="A74" s="2" t="inlineStr">
        <is>
          <t>2019-11-18</t>
        </is>
      </c>
      <c r="B74" s="4" t="inlineStr">
        <is>
          <t>에이디테크놀로지</t>
        </is>
      </c>
      <c r="C74" s="2" t="inlineStr">
        <is>
          <t>200710</t>
        </is>
      </c>
      <c r="D74" s="2" t="inlineStr">
        <is>
          <t>대량보유</t>
        </is>
      </c>
      <c r="E74" s="2" t="inlineStr"/>
      <c r="F74" s="2" t="inlineStr"/>
      <c r="G74" s="4" t="inlineStr">
        <is>
          <t>김준석</t>
        </is>
      </c>
      <c r="H74" s="4" t="inlineStr">
        <is>
          <t>최대주주</t>
        </is>
      </c>
      <c r="I74" s="4" t="inlineStr">
        <is>
          <t>특별관계자의 지분 매각</t>
        </is>
      </c>
      <c r="J74" s="7" t="inlineStr"/>
      <c r="K74" s="7" t="inlineStr"/>
      <c r="L74" s="7" t="inlineStr"/>
      <c r="M74" s="7" t="n">
        <v>2239611</v>
      </c>
      <c r="N74" s="16" t="n">
        <v>24.2</v>
      </c>
      <c r="O74" s="7" t="n">
        <v>1912731</v>
      </c>
      <c r="P74" s="16" t="n">
        <v>20.65</v>
      </c>
      <c r="Q74" s="2" t="inlineStr">
        <is>
          <t>20191118000182</t>
        </is>
      </c>
      <c r="R74" s="3">
        <f>HYPERLINK("https://dart.fss.or.kr/dsaf001/main.do?rcpNo=20191118000182", "공시열람")</f>
        <v/>
      </c>
    </row>
    <row r="75">
      <c r="A75" s="2" t="inlineStr">
        <is>
          <t>2019-11-18</t>
        </is>
      </c>
      <c r="B75" s="4" t="inlineStr">
        <is>
          <t>에이디테크놀로지</t>
        </is>
      </c>
      <c r="C75" s="2" t="inlineStr">
        <is>
          <t>200710</t>
        </is>
      </c>
      <c r="D75" s="2" t="inlineStr">
        <is>
          <t>임원보고</t>
        </is>
      </c>
      <c r="E75" s="2" t="inlineStr">
        <is>
          <t>2019-11-18</t>
        </is>
      </c>
      <c r="F75" s="2" t="inlineStr">
        <is>
          <t>2019-11-18</t>
        </is>
      </c>
      <c r="G75" s="4" t="inlineStr">
        <is>
          <t>이현석</t>
        </is>
      </c>
      <c r="H75" s="4" t="inlineStr">
        <is>
          <t>등기임원 CTO</t>
        </is>
      </c>
      <c r="I75" s="4" t="inlineStr">
        <is>
          <t>시간외매매(-)</t>
        </is>
      </c>
      <c r="J75" s="17" t="n">
        <v>-65000</v>
      </c>
      <c r="K75" s="7" t="n">
        <v>14411</v>
      </c>
      <c r="L75" s="17" t="n">
        <v>-936715000</v>
      </c>
      <c r="M75" s="7" t="inlineStr"/>
      <c r="N75" s="15" t="inlineStr"/>
      <c r="O75" s="7" t="n">
        <v>10600</v>
      </c>
      <c r="P75" s="16" t="n">
        <v>0.11</v>
      </c>
      <c r="Q75" s="2" t="inlineStr">
        <is>
          <t>20191118000174</t>
        </is>
      </c>
      <c r="R75" s="3">
        <f>HYPERLINK("https://dart.fss.or.kr/dsaf001/main.do?rcpNo=20191118000174", "공시열람")</f>
        <v/>
      </c>
    </row>
    <row r="76">
      <c r="A76" s="2" t="inlineStr">
        <is>
          <t>2019-03-21</t>
        </is>
      </c>
      <c r="B76" s="4" t="inlineStr">
        <is>
          <t>에이디테크놀로지</t>
        </is>
      </c>
      <c r="C76" s="2" t="inlineStr">
        <is>
          <t>200710</t>
        </is>
      </c>
      <c r="D76" s="2" t="inlineStr">
        <is>
          <t>임원보고</t>
        </is>
      </c>
      <c r="E76" s="2" t="inlineStr">
        <is>
          <t>2019-03-11</t>
        </is>
      </c>
      <c r="F76" s="2" t="inlineStr">
        <is>
          <t>2019-03-12</t>
        </is>
      </c>
      <c r="G76" s="4" t="inlineStr">
        <is>
          <t>박영선</t>
        </is>
      </c>
      <c r="H76" s="4" t="inlineStr">
        <is>
          <t>비등기임원 상무</t>
        </is>
      </c>
      <c r="I76" s="4" t="inlineStr">
        <is>
          <t>장내매도(-)</t>
        </is>
      </c>
      <c r="J76" s="17" t="n">
        <v>-6000</v>
      </c>
      <c r="K76" s="7" t="n">
        <v>16830</v>
      </c>
      <c r="L76" s="17" t="n">
        <v>-100980000</v>
      </c>
      <c r="M76" s="7" t="inlineStr"/>
      <c r="N76" s="15" t="inlineStr"/>
      <c r="O76" s="7" t="n">
        <v>4000</v>
      </c>
      <c r="P76" s="16" t="n">
        <v>0.04</v>
      </c>
      <c r="Q76" s="2" t="inlineStr">
        <is>
          <t>20190321000152</t>
        </is>
      </c>
      <c r="R76" s="3">
        <f>HYPERLINK("https://dart.fss.or.kr/dsaf001/main.do?rcpNo=20190321000152", "공시열람")</f>
        <v/>
      </c>
    </row>
    <row r="77">
      <c r="A77" s="2" t="inlineStr">
        <is>
          <t>2018-11-28</t>
        </is>
      </c>
      <c r="B77" s="4" t="inlineStr">
        <is>
          <t>에이디테크놀로지</t>
        </is>
      </c>
      <c r="C77" s="2" t="inlineStr">
        <is>
          <t>200710</t>
        </is>
      </c>
      <c r="D77" s="2" t="inlineStr">
        <is>
          <t>대량보유</t>
        </is>
      </c>
      <c r="E77" s="2" t="inlineStr"/>
      <c r="F77" s="2" t="inlineStr"/>
      <c r="G77" s="4" t="inlineStr">
        <is>
          <t>김준석</t>
        </is>
      </c>
      <c r="H77" s="4" t="inlineStr">
        <is>
          <t>최대주주</t>
        </is>
      </c>
      <c r="I77" s="4" t="inlineStr">
        <is>
          <t>주식담보계약 해지에 따른 변경보고</t>
        </is>
      </c>
      <c r="J77" s="7" t="inlineStr"/>
      <c r="K77" s="7" t="inlineStr"/>
      <c r="L77" s="7" t="inlineStr"/>
      <c r="M77" s="7" t="n">
        <v>2239611</v>
      </c>
      <c r="N77" s="16" t="n">
        <v>24.2</v>
      </c>
      <c r="O77" s="7" t="n">
        <v>2239611</v>
      </c>
      <c r="P77" s="16" t="n">
        <v>24.2</v>
      </c>
      <c r="Q77" s="2" t="inlineStr">
        <is>
          <t>20181128000122</t>
        </is>
      </c>
      <c r="R77" s="3">
        <f>HYPERLINK("https://dart.fss.or.kr/dsaf001/main.do?rcpNo=20181128000122", "공시열람")</f>
        <v/>
      </c>
    </row>
    <row r="78">
      <c r="A78" s="2" t="inlineStr">
        <is>
          <t>2018-11-22</t>
        </is>
      </c>
      <c r="B78" s="4" t="inlineStr">
        <is>
          <t>에이디테크놀로지</t>
        </is>
      </c>
      <c r="C78" s="2" t="inlineStr">
        <is>
          <t>200710</t>
        </is>
      </c>
      <c r="D78" s="2" t="inlineStr">
        <is>
          <t>임원보고</t>
        </is>
      </c>
      <c r="E78" s="2" t="inlineStr">
        <is>
          <t>2018-11-22</t>
        </is>
      </c>
      <c r="F78" s="2" t="inlineStr">
        <is>
          <t>2018-11-22</t>
        </is>
      </c>
      <c r="G78" s="4" t="inlineStr">
        <is>
          <t>김준석</t>
        </is>
      </c>
      <c r="H78" s="4" t="inlineStr">
        <is>
          <t>등기임원 대표이사, 10%이상주주</t>
        </is>
      </c>
      <c r="I78" s="4" t="inlineStr">
        <is>
          <t>시간외매매(-)</t>
        </is>
      </c>
      <c r="J78" s="17" t="n">
        <v>-240000</v>
      </c>
      <c r="K78" s="7" t="n">
        <v>13000</v>
      </c>
      <c r="L78" s="17" t="n">
        <v>-3120000000</v>
      </c>
      <c r="M78" s="7" t="inlineStr"/>
      <c r="N78" s="15" t="inlineStr"/>
      <c r="O78" s="7" t="n">
        <v>1873631</v>
      </c>
      <c r="P78" s="16" t="n">
        <v>20.24</v>
      </c>
      <c r="Q78" s="2" t="inlineStr">
        <is>
          <t>20181122000002</t>
        </is>
      </c>
      <c r="R78" s="3">
        <f>HYPERLINK("https://dart.fss.or.kr/dsaf001/main.do?rcpNo=20181122000002", "공시열람")</f>
        <v/>
      </c>
    </row>
    <row r="79">
      <c r="A79" s="2" t="inlineStr">
        <is>
          <t>2018-11-22</t>
        </is>
      </c>
      <c r="B79" s="4" t="inlineStr">
        <is>
          <t>에이디테크놀로지</t>
        </is>
      </c>
      <c r="C79" s="2" t="inlineStr">
        <is>
          <t>200710</t>
        </is>
      </c>
      <c r="D79" s="2" t="inlineStr">
        <is>
          <t>대량보유</t>
        </is>
      </c>
      <c r="E79" s="2" t="inlineStr"/>
      <c r="F79" s="2" t="inlineStr"/>
      <c r="G79" s="4" t="inlineStr">
        <is>
          <t>김준석</t>
        </is>
      </c>
      <c r="H79" s="4" t="inlineStr">
        <is>
          <t>최대주주</t>
        </is>
      </c>
      <c r="I79" s="4" t="inlineStr">
        <is>
          <t>대출 상환</t>
        </is>
      </c>
      <c r="J79" s="7" t="inlineStr"/>
      <c r="K79" s="7" t="inlineStr"/>
      <c r="L79" s="7" t="inlineStr"/>
      <c r="M79" s="7" t="n">
        <v>2479611</v>
      </c>
      <c r="N79" s="16" t="n">
        <v>26.82</v>
      </c>
      <c r="O79" s="7" t="n">
        <v>2239611</v>
      </c>
      <c r="P79" s="16" t="n">
        <v>24.2</v>
      </c>
      <c r="Q79" s="2" t="inlineStr">
        <is>
          <t>20181122000003</t>
        </is>
      </c>
      <c r="R79" s="3">
        <f>HYPERLINK("https://dart.fss.or.kr/dsaf001/main.do?rcpNo=20181122000003", "공시열람")</f>
        <v/>
      </c>
    </row>
    <row r="80">
      <c r="A80" s="2" t="inlineStr">
        <is>
          <t>2018-03-07</t>
        </is>
      </c>
      <c r="B80" s="4" t="inlineStr">
        <is>
          <t>에이디테크놀로지</t>
        </is>
      </c>
      <c r="C80" s="2" t="inlineStr">
        <is>
          <t>200710</t>
        </is>
      </c>
      <c r="D80" s="2" t="inlineStr">
        <is>
          <t>임원보고</t>
        </is>
      </c>
      <c r="E80" s="2" t="inlineStr">
        <is>
          <t>2018-02-28</t>
        </is>
      </c>
      <c r="F80" s="2" t="inlineStr">
        <is>
          <t>2018-02-28</t>
        </is>
      </c>
      <c r="G80" s="4" t="inlineStr">
        <is>
          <t>김준석</t>
        </is>
      </c>
      <c r="H80" s="4" t="inlineStr">
        <is>
          <t>등기임원 대표이사, 10%이상주주</t>
        </is>
      </c>
      <c r="I80" s="4" t="inlineStr">
        <is>
          <t>전환등(-)</t>
        </is>
      </c>
      <c r="J80" s="17" t="n">
        <v>-240831</v>
      </c>
      <c r="K80" s="7" t="n">
        <v>5481</v>
      </c>
      <c r="L80" s="17" t="n">
        <v>-1319994711</v>
      </c>
      <c r="M80" s="7" t="inlineStr"/>
      <c r="N80" s="15" t="inlineStr"/>
      <c r="O80" s="7" t="inlineStr"/>
      <c r="P80" s="16" t="n">
        <v>22.86</v>
      </c>
      <c r="Q80" s="2" t="inlineStr">
        <is>
          <t>20180307000315</t>
        </is>
      </c>
      <c r="R80" s="3">
        <f>HYPERLINK("https://dart.fss.or.kr/dsaf001/main.do?rcpNo=20180307000315", "공시열람")</f>
        <v/>
      </c>
    </row>
    <row r="81">
      <c r="A81" s="2" t="inlineStr">
        <is>
          <t>2018-03-07</t>
        </is>
      </c>
      <c r="B81" s="4" t="inlineStr">
        <is>
          <t>에이디테크놀로지</t>
        </is>
      </c>
      <c r="C81" s="2" t="inlineStr">
        <is>
          <t>200710</t>
        </is>
      </c>
      <c r="D81" s="2" t="inlineStr">
        <is>
          <t>임원보고</t>
        </is>
      </c>
      <c r="E81" s="2" t="inlineStr">
        <is>
          <t>2018-02-28</t>
        </is>
      </c>
      <c r="F81" s="2" t="inlineStr">
        <is>
          <t>2018-02-28</t>
        </is>
      </c>
      <c r="G81" s="4" t="inlineStr">
        <is>
          <t>김준석</t>
        </is>
      </c>
      <c r="H81" s="4" t="inlineStr">
        <is>
          <t>등기임원 대표이사, 10%이상주주</t>
        </is>
      </c>
      <c r="I81" s="4" t="inlineStr">
        <is>
          <t>전환사채의권리행사(+)</t>
        </is>
      </c>
      <c r="J81" s="14" t="n">
        <v>240831</v>
      </c>
      <c r="K81" s="7" t="n">
        <v>5481</v>
      </c>
      <c r="L81" s="14" t="n">
        <v>1319994711</v>
      </c>
      <c r="M81" s="7" t="inlineStr"/>
      <c r="N81" s="15" t="inlineStr"/>
      <c r="O81" s="7" t="n">
        <v>2113631</v>
      </c>
      <c r="P81" s="16" t="n">
        <v>22.86</v>
      </c>
      <c r="Q81" s="2" t="inlineStr">
        <is>
          <t>20180307000315</t>
        </is>
      </c>
      <c r="R81" s="3">
        <f>HYPERLINK("https://dart.fss.or.kr/dsaf001/main.do?rcpNo=20180307000315", "공시열람")</f>
        <v/>
      </c>
    </row>
    <row r="82">
      <c r="A82" s="2" t="inlineStr">
        <is>
          <t>2018-03-07</t>
        </is>
      </c>
      <c r="B82" s="4" t="inlineStr">
        <is>
          <t>에이디테크놀로지</t>
        </is>
      </c>
      <c r="C82" s="2" t="inlineStr">
        <is>
          <t>200710</t>
        </is>
      </c>
      <c r="D82" s="2" t="inlineStr">
        <is>
          <t>대량보유</t>
        </is>
      </c>
      <c r="E82" s="2" t="inlineStr"/>
      <c r="F82" s="2" t="inlineStr"/>
      <c r="G82" s="4" t="inlineStr">
        <is>
          <t>김준석</t>
        </is>
      </c>
      <c r="H82" s="4" t="inlineStr">
        <is>
          <t>최대주주</t>
        </is>
      </c>
      <c r="I82" s="4" t="inlineStr">
        <is>
          <t>전환사채권 전환청구</t>
        </is>
      </c>
      <c r="J82" s="7" t="inlineStr"/>
      <c r="K82" s="7" t="inlineStr"/>
      <c r="L82" s="7" t="inlineStr"/>
      <c r="M82" s="7" t="n">
        <v>2479611</v>
      </c>
      <c r="N82" s="16" t="n">
        <v>26.82</v>
      </c>
      <c r="O82" s="7" t="n">
        <v>2479611</v>
      </c>
      <c r="P82" s="16" t="n">
        <v>26.82</v>
      </c>
      <c r="Q82" s="2" t="inlineStr">
        <is>
          <t>20180307000321</t>
        </is>
      </c>
      <c r="R82" s="3">
        <f>HYPERLINK("https://dart.fss.or.kr/dsaf001/main.do?rcpNo=20180307000321", "공시열람")</f>
        <v/>
      </c>
    </row>
    <row r="83">
      <c r="A83" s="2" t="inlineStr">
        <is>
          <t>2018-02-02</t>
        </is>
      </c>
      <c r="B83" s="4" t="inlineStr">
        <is>
          <t>에이디테크놀로지</t>
        </is>
      </c>
      <c r="C83" s="2" t="inlineStr">
        <is>
          <t>200710</t>
        </is>
      </c>
      <c r="D83" s="2" t="inlineStr">
        <is>
          <t>임원보고</t>
        </is>
      </c>
      <c r="E83" s="2" t="inlineStr">
        <is>
          <t>2018-01-29</t>
        </is>
      </c>
      <c r="F83" s="2" t="inlineStr">
        <is>
          <t>2018-01-29</t>
        </is>
      </c>
      <c r="G83" s="4" t="inlineStr">
        <is>
          <t>김준석</t>
        </is>
      </c>
      <c r="H83" s="4" t="inlineStr">
        <is>
          <t>등기임원 대표이사, 10%이상주주</t>
        </is>
      </c>
      <c r="I83" s="4" t="inlineStr">
        <is>
          <t>CB인수(+)</t>
        </is>
      </c>
      <c r="J83" s="14" t="n">
        <v>240831</v>
      </c>
      <c r="K83" s="7" t="n">
        <v>5481</v>
      </c>
      <c r="L83" s="14" t="n">
        <v>1319994711</v>
      </c>
      <c r="M83" s="7" t="inlineStr"/>
      <c r="N83" s="15" t="inlineStr"/>
      <c r="O83" s="7" t="n">
        <v>2113631</v>
      </c>
      <c r="P83" s="16" t="n">
        <v>22.86</v>
      </c>
      <c r="Q83" s="2" t="inlineStr">
        <is>
          <t>20180202000332</t>
        </is>
      </c>
      <c r="R83" s="3">
        <f>HYPERLINK("https://dart.fss.or.kr/dsaf001/main.do?rcpNo=20180202000332", "공시열람")</f>
        <v/>
      </c>
    </row>
    <row r="84">
      <c r="A84" s="2" t="inlineStr">
        <is>
          <t>2018-02-02</t>
        </is>
      </c>
      <c r="B84" s="4" t="inlineStr">
        <is>
          <t>에이디테크놀로지</t>
        </is>
      </c>
      <c r="C84" s="2" t="inlineStr">
        <is>
          <t>200710</t>
        </is>
      </c>
      <c r="D84" s="2" t="inlineStr">
        <is>
          <t>대량보유</t>
        </is>
      </c>
      <c r="E84" s="2" t="inlineStr"/>
      <c r="F84" s="2" t="inlineStr"/>
      <c r="G84" s="4" t="inlineStr">
        <is>
          <t>김준석</t>
        </is>
      </c>
      <c r="H84" s="4" t="inlineStr">
        <is>
          <t>최대주주</t>
        </is>
      </c>
      <c r="I84" s="4" t="inlineStr">
        <is>
          <t>전환사채권 취득</t>
        </is>
      </c>
      <c r="J84" s="7" t="inlineStr"/>
      <c r="K84" s="7" t="inlineStr"/>
      <c r="L84" s="7" t="inlineStr"/>
      <c r="M84" s="7" t="n">
        <v>1119390</v>
      </c>
      <c r="N84" s="16" t="n">
        <v>27.27</v>
      </c>
      <c r="O84" s="7" t="n">
        <v>2479611</v>
      </c>
      <c r="P84" s="16" t="n">
        <v>26.82</v>
      </c>
      <c r="Q84" s="2" t="inlineStr">
        <is>
          <t>20180202000438</t>
        </is>
      </c>
      <c r="R84" s="3">
        <f>HYPERLINK("https://dart.fss.or.kr/dsaf001/main.do?rcpNo=20180202000438", "공시열람")</f>
        <v/>
      </c>
    </row>
    <row r="85">
      <c r="A85" s="2" t="inlineStr">
        <is>
          <t>2018-01-04</t>
        </is>
      </c>
      <c r="B85" s="4" t="inlineStr">
        <is>
          <t>에이디테크놀로지</t>
        </is>
      </c>
      <c r="C85" s="2" t="inlineStr">
        <is>
          <t>200710</t>
        </is>
      </c>
      <c r="D85" s="2" t="inlineStr">
        <is>
          <t>대량보유</t>
        </is>
      </c>
      <c r="E85" s="2" t="inlineStr"/>
      <c r="F85" s="2" t="inlineStr"/>
      <c r="G85" s="4" t="inlineStr">
        <is>
          <t>한국투자신탁운용</t>
        </is>
      </c>
      <c r="H85" s="4" t="inlineStr">
        <is>
          <t>주주</t>
        </is>
      </c>
      <c r="I85" s="4" t="inlineStr">
        <is>
          <t>단순 투자목적의 주식매도</t>
        </is>
      </c>
      <c r="J85" s="7" t="inlineStr"/>
      <c r="K85" s="7" t="inlineStr"/>
      <c r="L85" s="7" t="inlineStr"/>
      <c r="M85" s="7" t="n">
        <v>598430</v>
      </c>
      <c r="N85" s="16" t="n">
        <v>6.65</v>
      </c>
      <c r="O85" s="7" t="n">
        <v>9004497</v>
      </c>
      <c r="P85" s="15" t="inlineStr"/>
      <c r="Q85" s="2" t="inlineStr">
        <is>
          <t>20180104000260</t>
        </is>
      </c>
      <c r="R85" s="3">
        <f>HYPERLINK("https://dart.fss.or.kr/dsaf001/main.do?rcpNo=20180104000260", "공시열람")</f>
        <v/>
      </c>
    </row>
    <row r="86">
      <c r="A86" s="2" t="inlineStr">
        <is>
          <t>2017-12-20</t>
        </is>
      </c>
      <c r="B86" s="4" t="inlineStr">
        <is>
          <t>에이디테크놀로지</t>
        </is>
      </c>
      <c r="C86" s="2" t="inlineStr">
        <is>
          <t>200710</t>
        </is>
      </c>
      <c r="D86" s="2" t="inlineStr">
        <is>
          <t>대량보유</t>
        </is>
      </c>
      <c r="E86" s="2" t="inlineStr"/>
      <c r="F86" s="2" t="inlineStr"/>
      <c r="G86" s="4" t="inlineStr">
        <is>
          <t>한국투자신탁운용</t>
        </is>
      </c>
      <c r="H86" s="4" t="inlineStr">
        <is>
          <t>주주</t>
        </is>
      </c>
      <c r="I86" s="4" t="inlineStr">
        <is>
          <t>전환사채 주식전환으로 대량보유보고 사유발생</t>
        </is>
      </c>
      <c r="J86" s="7" t="inlineStr"/>
      <c r="K86" s="7" t="inlineStr"/>
      <c r="L86" s="7" t="inlineStr"/>
      <c r="M86" s="7" t="n">
        <v>9004497</v>
      </c>
      <c r="N86" s="15" t="inlineStr"/>
      <c r="O86" s="7" t="n">
        <v>598430</v>
      </c>
      <c r="P86" s="16" t="n">
        <v>6.65</v>
      </c>
      <c r="Q86" s="2" t="inlineStr">
        <is>
          <t>20171220000356</t>
        </is>
      </c>
      <c r="R86" s="3">
        <f>HYPERLINK("https://dart.fss.or.kr/dsaf001/main.do?rcpNo=20171220000356", "공시열람")</f>
        <v/>
      </c>
    </row>
    <row r="87">
      <c r="A87" s="2" t="inlineStr">
        <is>
          <t>2017-04-19</t>
        </is>
      </c>
      <c r="B87" s="4" t="inlineStr">
        <is>
          <t>에이디테크놀로지</t>
        </is>
      </c>
      <c r="C87" s="2" t="inlineStr">
        <is>
          <t>200710</t>
        </is>
      </c>
      <c r="D87" s="2" t="inlineStr">
        <is>
          <t>임원보고</t>
        </is>
      </c>
      <c r="E87" s="2" t="inlineStr">
        <is>
          <t>2017-04-14</t>
        </is>
      </c>
      <c r="F87" s="2" t="inlineStr">
        <is>
          <t>2017-04-14</t>
        </is>
      </c>
      <c r="G87" s="4" t="inlineStr">
        <is>
          <t>이은주</t>
        </is>
      </c>
      <c r="H87" s="4" t="inlineStr">
        <is>
          <t>비등기임원 상무</t>
        </is>
      </c>
      <c r="I87" s="4" t="inlineStr">
        <is>
          <t>주식매수선택권(+)</t>
        </is>
      </c>
      <c r="J87" s="14" t="n">
        <v>3940</v>
      </c>
      <c r="K87" s="7" t="n">
        <v>1269</v>
      </c>
      <c r="L87" s="14" t="n">
        <v>4999860</v>
      </c>
      <c r="M87" s="7" t="inlineStr"/>
      <c r="N87" s="15" t="inlineStr"/>
      <c r="O87" s="7" t="n">
        <v>22940</v>
      </c>
      <c r="P87" s="16" t="n">
        <v>0.28</v>
      </c>
      <c r="Q87" s="2" t="inlineStr">
        <is>
          <t>20170419000035</t>
        </is>
      </c>
      <c r="R87" s="3">
        <f>HYPERLINK("https://dart.fss.or.kr/dsaf001/main.do?rcpNo=20170419000035", "공시열람")</f>
        <v/>
      </c>
    </row>
    <row r="88">
      <c r="A88" s="2" t="inlineStr">
        <is>
          <t>2017-01-10</t>
        </is>
      </c>
      <c r="B88" s="4" t="inlineStr">
        <is>
          <t>에이디테크놀로지</t>
        </is>
      </c>
      <c r="C88" s="2" t="inlineStr">
        <is>
          <t>200710</t>
        </is>
      </c>
      <c r="D88" s="2" t="inlineStr">
        <is>
          <t>대량보유</t>
        </is>
      </c>
      <c r="E88" s="2" t="inlineStr"/>
      <c r="F88" s="2" t="inlineStr"/>
      <c r="G88" s="4" t="inlineStr">
        <is>
          <t>한국증권금융(주)</t>
        </is>
      </c>
      <c r="H88" s="4" t="inlineStr">
        <is>
          <t>주주</t>
        </is>
      </c>
      <c r="I88" s="4" t="inlineStr">
        <is>
          <t>신용공여에 따른 담보권 신규취득</t>
        </is>
      </c>
      <c r="J88" s="7" t="inlineStr"/>
      <c r="K88" s="7" t="inlineStr"/>
      <c r="L88" s="7" t="inlineStr"/>
      <c r="M88" s="7" t="n">
        <v>203918</v>
      </c>
      <c r="N88" s="16" t="n">
        <v>4.93</v>
      </c>
      <c r="O88" s="7" t="n">
        <v>208387</v>
      </c>
      <c r="P88" s="16" t="n">
        <v>5.04</v>
      </c>
      <c r="Q88" s="2" t="inlineStr">
        <is>
          <t>20170110000646</t>
        </is>
      </c>
      <c r="R88" s="3">
        <f>HYPERLINK("https://dart.fss.or.kr/dsaf001/main.do?rcpNo=20170110000646", "공시열람")</f>
        <v/>
      </c>
    </row>
    <row r="89">
      <c r="A89" s="2" t="inlineStr">
        <is>
          <t>2016-12-09</t>
        </is>
      </c>
      <c r="B89" s="4" t="inlineStr">
        <is>
          <t>에이디테크놀로지</t>
        </is>
      </c>
      <c r="C89" s="2" t="inlineStr">
        <is>
          <t>200710</t>
        </is>
      </c>
      <c r="D89" s="2" t="inlineStr">
        <is>
          <t>임원보고</t>
        </is>
      </c>
      <c r="E89" s="2" t="inlineStr">
        <is>
          <t>2016-03-18</t>
        </is>
      </c>
      <c r="F89" s="2" t="inlineStr">
        <is>
          <t>2016-03-18</t>
        </is>
      </c>
      <c r="G89" s="4" t="inlineStr">
        <is>
          <t>강종민</t>
        </is>
      </c>
      <c r="H89" s="4" t="inlineStr">
        <is>
          <t>비등기임원 상무</t>
        </is>
      </c>
      <c r="I89" s="4" t="inlineStr">
        <is>
          <t>주식매수선택권(+)</t>
        </is>
      </c>
      <c r="J89" s="14" t="n">
        <v>6000</v>
      </c>
      <c r="K89" s="7" t="n">
        <v>20002500</v>
      </c>
      <c r="L89" s="14" t="n">
        <v>120015000000</v>
      </c>
      <c r="M89" s="7" t="inlineStr"/>
      <c r="N89" s="15" t="inlineStr"/>
      <c r="O89" s="7" t="n">
        <v>27800</v>
      </c>
      <c r="P89" s="16" t="n">
        <v>0.68</v>
      </c>
      <c r="Q89" s="2" t="inlineStr">
        <is>
          <t>20161209000255</t>
        </is>
      </c>
      <c r="R89" s="3">
        <f>HYPERLINK("https://dart.fss.or.kr/dsaf001/main.do?rcpNo=20161209000255", "공시열람")</f>
        <v/>
      </c>
    </row>
    <row r="90">
      <c r="A90" s="2" t="inlineStr">
        <is>
          <t>2016-12-09</t>
        </is>
      </c>
      <c r="B90" s="4" t="inlineStr">
        <is>
          <t>에이디테크놀로지</t>
        </is>
      </c>
      <c r="C90" s="2" t="inlineStr">
        <is>
          <t>200710</t>
        </is>
      </c>
      <c r="D90" s="2" t="inlineStr">
        <is>
          <t>임원보고</t>
        </is>
      </c>
      <c r="E90" s="2" t="inlineStr">
        <is>
          <t>2016-11-14</t>
        </is>
      </c>
      <c r="F90" s="2" t="inlineStr">
        <is>
          <t>2016-11-14</t>
        </is>
      </c>
      <c r="G90" s="4" t="inlineStr">
        <is>
          <t>이은주</t>
        </is>
      </c>
      <c r="H90" s="4" t="inlineStr">
        <is>
          <t>비등기임원 상무</t>
        </is>
      </c>
      <c r="I90" s="4" t="inlineStr">
        <is>
          <t>무상신주취득(+)</t>
        </is>
      </c>
      <c r="J90" s="14" t="n">
        <v>9500</v>
      </c>
      <c r="K90" s="7" t="n">
        <v>5411</v>
      </c>
      <c r="L90" s="14" t="n">
        <v>51404500</v>
      </c>
      <c r="M90" s="7" t="inlineStr"/>
      <c r="N90" s="15" t="inlineStr"/>
      <c r="O90" s="7" t="n">
        <v>19000</v>
      </c>
      <c r="P90" s="16" t="n">
        <v>0.23</v>
      </c>
      <c r="Q90" s="2" t="inlineStr">
        <is>
          <t>20161209000261</t>
        </is>
      </c>
      <c r="R90" s="3">
        <f>HYPERLINK("https://dart.fss.or.kr/dsaf001/main.do?rcpNo=20161209000261", "공시열람")</f>
        <v/>
      </c>
    </row>
    <row r="91">
      <c r="A91" s="2" t="inlineStr">
        <is>
          <t>2016-12-09</t>
        </is>
      </c>
      <c r="B91" s="4" t="inlineStr">
        <is>
          <t>에이디테크놀로지</t>
        </is>
      </c>
      <c r="C91" s="2" t="inlineStr">
        <is>
          <t>200710</t>
        </is>
      </c>
      <c r="D91" s="2" t="inlineStr">
        <is>
          <t>임원보고</t>
        </is>
      </c>
      <c r="E91" s="2" t="inlineStr">
        <is>
          <t>2016-11-14</t>
        </is>
      </c>
      <c r="F91" s="2" t="inlineStr">
        <is>
          <t>2016-11-14</t>
        </is>
      </c>
      <c r="G91" s="4" t="inlineStr">
        <is>
          <t>이강렬</t>
        </is>
      </c>
      <c r="H91" s="4" t="inlineStr">
        <is>
          <t>비등기임원 상무</t>
        </is>
      </c>
      <c r="I91" s="4" t="inlineStr">
        <is>
          <t>무상신주취득(+)</t>
        </is>
      </c>
      <c r="J91" s="14" t="n">
        <v>10000</v>
      </c>
      <c r="K91" s="7" t="n">
        <v>5411</v>
      </c>
      <c r="L91" s="14" t="n">
        <v>54110000</v>
      </c>
      <c r="M91" s="7" t="inlineStr"/>
      <c r="N91" s="15" t="inlineStr"/>
      <c r="O91" s="7" t="n">
        <v>20000</v>
      </c>
      <c r="P91" s="16" t="n">
        <v>0.24</v>
      </c>
      <c r="Q91" s="2" t="inlineStr">
        <is>
          <t>20161209000259</t>
        </is>
      </c>
      <c r="R91" s="3">
        <f>HYPERLINK("https://dart.fss.or.kr/dsaf001/main.do?rcpNo=20161209000259", "공시열람")</f>
        <v/>
      </c>
    </row>
    <row r="92">
      <c r="A92" s="2" t="inlineStr">
        <is>
          <t>2016-12-09</t>
        </is>
      </c>
      <c r="B92" s="4" t="inlineStr">
        <is>
          <t>에이디테크놀로지</t>
        </is>
      </c>
      <c r="C92" s="2" t="inlineStr">
        <is>
          <t>200710</t>
        </is>
      </c>
      <c r="D92" s="2" t="inlineStr">
        <is>
          <t>임원보고</t>
        </is>
      </c>
      <c r="E92" s="2" t="inlineStr">
        <is>
          <t>2016-11-14</t>
        </is>
      </c>
      <c r="F92" s="2" t="inlineStr">
        <is>
          <t>2016-11-14</t>
        </is>
      </c>
      <c r="G92" s="4" t="inlineStr">
        <is>
          <t>박영선</t>
        </is>
      </c>
      <c r="H92" s="4" t="inlineStr">
        <is>
          <t>비등기임원 상무</t>
        </is>
      </c>
      <c r="I92" s="4" t="inlineStr">
        <is>
          <t>무상신주취득(+)</t>
        </is>
      </c>
      <c r="J92" s="14" t="n">
        <v>5000</v>
      </c>
      <c r="K92" s="7" t="n">
        <v>5411</v>
      </c>
      <c r="L92" s="14" t="n">
        <v>27055000</v>
      </c>
      <c r="M92" s="7" t="inlineStr"/>
      <c r="N92" s="15" t="inlineStr"/>
      <c r="O92" s="7" t="n">
        <v>10000</v>
      </c>
      <c r="P92" s="16" t="n">
        <v>0.12</v>
      </c>
      <c r="Q92" s="2" t="inlineStr">
        <is>
          <t>20161209000256</t>
        </is>
      </c>
      <c r="R92" s="3">
        <f>HYPERLINK("https://dart.fss.or.kr/dsaf001/main.do?rcpNo=20161209000256", "공시열람")</f>
        <v/>
      </c>
    </row>
    <row r="93">
      <c r="A93" s="2" t="inlineStr">
        <is>
          <t>2016-12-09</t>
        </is>
      </c>
      <c r="B93" s="4" t="inlineStr">
        <is>
          <t>에이디테크놀로지</t>
        </is>
      </c>
      <c r="C93" s="2" t="inlineStr">
        <is>
          <t>200710</t>
        </is>
      </c>
      <c r="D93" s="2" t="inlineStr">
        <is>
          <t>임원보고</t>
        </is>
      </c>
      <c r="E93" s="2" t="inlineStr">
        <is>
          <t>2016-11-14</t>
        </is>
      </c>
      <c r="F93" s="2" t="inlineStr">
        <is>
          <t>2016-11-14</t>
        </is>
      </c>
      <c r="G93" s="4" t="inlineStr">
        <is>
          <t>문갑주</t>
        </is>
      </c>
      <c r="H93" s="4" t="inlineStr">
        <is>
          <t>등기임원 전무</t>
        </is>
      </c>
      <c r="I93" s="4" t="inlineStr">
        <is>
          <t>무상신주취득(+)</t>
        </is>
      </c>
      <c r="J93" s="14" t="n">
        <v>14250</v>
      </c>
      <c r="K93" s="7" t="n">
        <v>5411</v>
      </c>
      <c r="L93" s="14" t="n">
        <v>77106750</v>
      </c>
      <c r="M93" s="7" t="inlineStr"/>
      <c r="N93" s="15" t="inlineStr"/>
      <c r="O93" s="7" t="n">
        <v>28500</v>
      </c>
      <c r="P93" s="16" t="n">
        <v>0.35</v>
      </c>
      <c r="Q93" s="2" t="inlineStr">
        <is>
          <t>20161209000252</t>
        </is>
      </c>
      <c r="R93" s="3">
        <f>HYPERLINK("https://dart.fss.or.kr/dsaf001/main.do?rcpNo=20161209000252", "공시열람")</f>
        <v/>
      </c>
    </row>
    <row r="94">
      <c r="A94" s="2" t="inlineStr">
        <is>
          <t>2016-12-09</t>
        </is>
      </c>
      <c r="B94" s="4" t="inlineStr">
        <is>
          <t>에이디테크놀로지</t>
        </is>
      </c>
      <c r="C94" s="2" t="inlineStr">
        <is>
          <t>200710</t>
        </is>
      </c>
      <c r="D94" s="2" t="inlineStr">
        <is>
          <t>임원보고</t>
        </is>
      </c>
      <c r="E94" s="2" t="inlineStr">
        <is>
          <t>2016-11-14</t>
        </is>
      </c>
      <c r="F94" s="2" t="inlineStr">
        <is>
          <t>2016-11-14</t>
        </is>
      </c>
      <c r="G94" s="4" t="inlineStr">
        <is>
          <t>강종민</t>
        </is>
      </c>
      <c r="H94" s="4" t="inlineStr">
        <is>
          <t>비등기임원 상무</t>
        </is>
      </c>
      <c r="I94" s="4" t="inlineStr">
        <is>
          <t>무상신주취득(+)</t>
        </is>
      </c>
      <c r="J94" s="14" t="n">
        <v>27800</v>
      </c>
      <c r="K94" s="7" t="n">
        <v>5411</v>
      </c>
      <c r="L94" s="14" t="n">
        <v>150425800</v>
      </c>
      <c r="M94" s="7" t="inlineStr"/>
      <c r="N94" s="15" t="inlineStr"/>
      <c r="O94" s="7" t="n">
        <v>55600</v>
      </c>
      <c r="P94" s="16" t="n">
        <v>0.68</v>
      </c>
      <c r="Q94" s="2" t="inlineStr">
        <is>
          <t>20161209000255</t>
        </is>
      </c>
      <c r="R94" s="3">
        <f>HYPERLINK("https://dart.fss.or.kr/dsaf001/main.do?rcpNo=20161209000255", "공시열람")</f>
        <v/>
      </c>
    </row>
    <row r="95">
      <c r="A95" s="2" t="inlineStr">
        <is>
          <t>2016-12-09</t>
        </is>
      </c>
      <c r="B95" s="4" t="inlineStr">
        <is>
          <t>에이디테크놀로지</t>
        </is>
      </c>
      <c r="C95" s="2" t="inlineStr">
        <is>
          <t>200710</t>
        </is>
      </c>
      <c r="D95" s="2" t="inlineStr">
        <is>
          <t>임원보고</t>
        </is>
      </c>
      <c r="E95" s="2" t="inlineStr">
        <is>
          <t>2016-11-14</t>
        </is>
      </c>
      <c r="F95" s="2" t="inlineStr">
        <is>
          <t>2016-11-14</t>
        </is>
      </c>
      <c r="G95" s="4" t="inlineStr">
        <is>
          <t>김준석</t>
        </is>
      </c>
      <c r="H95" s="4" t="inlineStr">
        <is>
          <t>등기임원 대표이사, 10%이상주주</t>
        </is>
      </c>
      <c r="I95" s="4" t="inlineStr">
        <is>
          <t>무상신주취득(+)</t>
        </is>
      </c>
      <c r="J95" s="14" t="n">
        <v>936400</v>
      </c>
      <c r="K95" s="7" t="n">
        <v>5411</v>
      </c>
      <c r="L95" s="14" t="n">
        <v>5066860400</v>
      </c>
      <c r="M95" s="7" t="inlineStr"/>
      <c r="N95" s="15" t="inlineStr"/>
      <c r="O95" s="7" t="n">
        <v>1872800</v>
      </c>
      <c r="P95" s="16" t="n">
        <v>22.98</v>
      </c>
      <c r="Q95" s="2" t="inlineStr">
        <is>
          <t>20161209000249</t>
        </is>
      </c>
      <c r="R95" s="3">
        <f>HYPERLINK("https://dart.fss.or.kr/dsaf001/main.do?rcpNo=20161209000249", "공시열람")</f>
        <v/>
      </c>
    </row>
    <row r="96">
      <c r="A96" s="2" t="inlineStr">
        <is>
          <t>2016-12-09</t>
        </is>
      </c>
      <c r="B96" s="4" t="inlineStr">
        <is>
          <t>에이디테크놀로지</t>
        </is>
      </c>
      <c r="C96" s="2" t="inlineStr">
        <is>
          <t>200710</t>
        </is>
      </c>
      <c r="D96" s="2" t="inlineStr">
        <is>
          <t>임원보고</t>
        </is>
      </c>
      <c r="E96" s="2" t="inlineStr">
        <is>
          <t>2016-11-14</t>
        </is>
      </c>
      <c r="F96" s="2" t="inlineStr">
        <is>
          <t>2016-11-14</t>
        </is>
      </c>
      <c r="G96" s="4" t="inlineStr">
        <is>
          <t>이현석</t>
        </is>
      </c>
      <c r="H96" s="4" t="inlineStr">
        <is>
          <t>등기임원 전무</t>
        </is>
      </c>
      <c r="I96" s="4" t="inlineStr">
        <is>
          <t>무상신주취득(+)</t>
        </is>
      </c>
      <c r="J96" s="14" t="n">
        <v>37800</v>
      </c>
      <c r="K96" s="7" t="n">
        <v>5411</v>
      </c>
      <c r="L96" s="14" t="n">
        <v>204535800</v>
      </c>
      <c r="M96" s="7" t="inlineStr"/>
      <c r="N96" s="15" t="inlineStr"/>
      <c r="O96" s="7" t="n">
        <v>75600</v>
      </c>
      <c r="P96" s="16" t="n">
        <v>0.92</v>
      </c>
      <c r="Q96" s="2" t="inlineStr">
        <is>
          <t>20161209000251</t>
        </is>
      </c>
      <c r="R96" s="3">
        <f>HYPERLINK("https://dart.fss.or.kr/dsaf001/main.do?rcpNo=20161209000251", "공시열람")</f>
        <v/>
      </c>
    </row>
    <row r="97">
      <c r="A97" s="2" t="inlineStr">
        <is>
          <t>2016-11-07</t>
        </is>
      </c>
      <c r="B97" s="4" t="inlineStr">
        <is>
          <t>에이디테크놀로지</t>
        </is>
      </c>
      <c r="C97" s="2" t="inlineStr">
        <is>
          <t>200710</t>
        </is>
      </c>
      <c r="D97" s="2" t="inlineStr">
        <is>
          <t>임원보고</t>
        </is>
      </c>
      <c r="E97" s="2" t="inlineStr">
        <is>
          <t>2016-11-01</t>
        </is>
      </c>
      <c r="F97" s="2" t="inlineStr">
        <is>
          <t>2016-11-01</t>
        </is>
      </c>
      <c r="G97" s="4" t="inlineStr">
        <is>
          <t>박영선</t>
        </is>
      </c>
      <c r="H97" s="4" t="inlineStr">
        <is>
          <t>비등기임원 상무</t>
        </is>
      </c>
      <c r="I97" s="4" t="inlineStr">
        <is>
          <t>신규선임(+)</t>
        </is>
      </c>
      <c r="J97" s="14" t="n">
        <v>5000</v>
      </c>
      <c r="K97" s="7" t="n">
        <v>5269</v>
      </c>
      <c r="L97" s="14" t="n">
        <v>26345000</v>
      </c>
      <c r="M97" s="7" t="inlineStr"/>
      <c r="N97" s="15" t="inlineStr"/>
      <c r="O97" s="7" t="n">
        <v>5000</v>
      </c>
      <c r="P97" s="16" t="n">
        <v>0.12</v>
      </c>
      <c r="Q97" s="2" t="inlineStr">
        <is>
          <t>20161107000225</t>
        </is>
      </c>
      <c r="R97" s="3">
        <f>HYPERLINK("https://dart.fss.or.kr/dsaf001/main.do?rcpNo=20161107000225", "공시열람")</f>
        <v/>
      </c>
    </row>
    <row r="98">
      <c r="A98" s="2" t="inlineStr">
        <is>
          <t>2016-11-07</t>
        </is>
      </c>
      <c r="B98" s="4" t="inlineStr">
        <is>
          <t>에이디테크놀로지</t>
        </is>
      </c>
      <c r="C98" s="2" t="inlineStr">
        <is>
          <t>200710</t>
        </is>
      </c>
      <c r="D98" s="2" t="inlineStr">
        <is>
          <t>임원보고</t>
        </is>
      </c>
      <c r="E98" s="2" t="inlineStr">
        <is>
          <t>2016-11-01</t>
        </is>
      </c>
      <c r="F98" s="2" t="inlineStr">
        <is>
          <t>2016-11-01</t>
        </is>
      </c>
      <c r="G98" s="4" t="inlineStr">
        <is>
          <t>이강렬</t>
        </is>
      </c>
      <c r="H98" s="4" t="inlineStr">
        <is>
          <t>비등기임원 상무</t>
        </is>
      </c>
      <c r="I98" s="4" t="inlineStr">
        <is>
          <t>신규선임(+)</t>
        </is>
      </c>
      <c r="J98" s="14" t="n">
        <v>10000</v>
      </c>
      <c r="K98" s="7" t="n">
        <v>5269</v>
      </c>
      <c r="L98" s="14" t="n">
        <v>52690000</v>
      </c>
      <c r="M98" s="7" t="inlineStr"/>
      <c r="N98" s="15" t="inlineStr"/>
      <c r="O98" s="7" t="n">
        <v>10000</v>
      </c>
      <c r="P98" s="16" t="n">
        <v>0.24</v>
      </c>
      <c r="Q98" s="2" t="inlineStr">
        <is>
          <t>20161107000231</t>
        </is>
      </c>
      <c r="R98" s="3">
        <f>HYPERLINK("https://dart.fss.or.kr/dsaf001/main.do?rcpNo=20161107000231", "공시열람")</f>
        <v/>
      </c>
    </row>
    <row r="99">
      <c r="A99" s="2" t="inlineStr">
        <is>
          <t>2016-11-07</t>
        </is>
      </c>
      <c r="B99" s="4" t="inlineStr">
        <is>
          <t>에이디테크놀로지</t>
        </is>
      </c>
      <c r="C99" s="2" t="inlineStr">
        <is>
          <t>200710</t>
        </is>
      </c>
      <c r="D99" s="2" t="inlineStr">
        <is>
          <t>임원보고</t>
        </is>
      </c>
      <c r="E99" s="2" t="inlineStr">
        <is>
          <t>2016-11-01</t>
        </is>
      </c>
      <c r="F99" s="2" t="inlineStr">
        <is>
          <t>2016-11-01</t>
        </is>
      </c>
      <c r="G99" s="4" t="inlineStr">
        <is>
          <t>이은주</t>
        </is>
      </c>
      <c r="H99" s="4" t="inlineStr">
        <is>
          <t>비등기임원 상무</t>
        </is>
      </c>
      <c r="I99" s="4" t="inlineStr">
        <is>
          <t>신규선임(+)</t>
        </is>
      </c>
      <c r="J99" s="14" t="n">
        <v>9500</v>
      </c>
      <c r="K99" s="7" t="n">
        <v>5269</v>
      </c>
      <c r="L99" s="14" t="n">
        <v>50055500</v>
      </c>
      <c r="M99" s="7" t="inlineStr"/>
      <c r="N99" s="15" t="inlineStr"/>
      <c r="O99" s="7" t="n">
        <v>9500</v>
      </c>
      <c r="P99" s="16" t="n">
        <v>0.23</v>
      </c>
      <c r="Q99" s="2" t="inlineStr">
        <is>
          <t>20161107000233</t>
        </is>
      </c>
      <c r="R99" s="3">
        <f>HYPERLINK("https://dart.fss.or.kr/dsaf001/main.do?rcpNo=20161107000233", "공시열람")</f>
        <v/>
      </c>
    </row>
    <row r="100">
      <c r="A100" s="2" t="inlineStr">
        <is>
          <t>2016-03-04</t>
        </is>
      </c>
      <c r="B100" s="4" t="inlineStr">
        <is>
          <t>에이디테크놀로지</t>
        </is>
      </c>
      <c r="C100" s="2" t="inlineStr">
        <is>
          <t>200710</t>
        </is>
      </c>
      <c r="D100" s="2" t="inlineStr">
        <is>
          <t>임원보고</t>
        </is>
      </c>
      <c r="E100" s="2" t="inlineStr">
        <is>
          <t>2016-02-29</t>
        </is>
      </c>
      <c r="F100" s="2" t="inlineStr">
        <is>
          <t>2016-02-29</t>
        </is>
      </c>
      <c r="G100" s="4" t="inlineStr">
        <is>
          <t>최성현</t>
        </is>
      </c>
      <c r="H100" s="4" t="inlineStr">
        <is>
          <t>등기임원 부사장</t>
        </is>
      </c>
      <c r="I100" s="4" t="inlineStr">
        <is>
          <t>임원퇴임(-)</t>
        </is>
      </c>
      <c r="J100" s="7" t="inlineStr"/>
      <c r="K100" s="7" t="inlineStr"/>
      <c r="L100" s="7" t="inlineStr"/>
      <c r="M100" s="7" t="inlineStr"/>
      <c r="N100" s="15" t="inlineStr"/>
      <c r="O100" s="7" t="n">
        <v>25000</v>
      </c>
      <c r="P100" s="16" t="n">
        <v>0.61</v>
      </c>
      <c r="Q100" s="2" t="inlineStr">
        <is>
          <t>20160304000335</t>
        </is>
      </c>
      <c r="R100" s="3">
        <f>HYPERLINK("https://dart.fss.or.kr/dsaf001/main.do?rcpNo=20160304000335", "공시열람")</f>
        <v/>
      </c>
    </row>
    <row r="101">
      <c r="A101" s="2" t="inlineStr">
        <is>
          <t>2016-03-04</t>
        </is>
      </c>
      <c r="B101" s="4" t="inlineStr">
        <is>
          <t>에이디테크놀로지</t>
        </is>
      </c>
      <c r="C101" s="2" t="inlineStr">
        <is>
          <t>200710</t>
        </is>
      </c>
      <c r="D101" s="2" t="inlineStr">
        <is>
          <t>대량보유</t>
        </is>
      </c>
      <c r="E101" s="2" t="inlineStr"/>
      <c r="F101" s="2" t="inlineStr"/>
      <c r="G101" s="4" t="inlineStr">
        <is>
          <t>김준석</t>
        </is>
      </c>
      <c r="H101" s="4" t="inlineStr">
        <is>
          <t>최대주주</t>
        </is>
      </c>
      <c r="I101" s="4" t="inlineStr">
        <is>
          <t>임원 퇴임</t>
        </is>
      </c>
      <c r="J101" s="7" t="inlineStr"/>
      <c r="K101" s="7" t="inlineStr"/>
      <c r="L101" s="7" t="inlineStr"/>
      <c r="M101" s="7" t="n">
        <v>1155390</v>
      </c>
      <c r="N101" s="16" t="n">
        <v>28.14</v>
      </c>
      <c r="O101" s="7" t="n">
        <v>1119390</v>
      </c>
      <c r="P101" s="16" t="n">
        <v>27.27</v>
      </c>
      <c r="Q101" s="2" t="inlineStr">
        <is>
          <t>20160304000351</t>
        </is>
      </c>
      <c r="R101" s="3">
        <f>HYPERLINK("https://dart.fss.or.kr/dsaf001/main.do?rcpNo=20160304000351", "공시열람")</f>
        <v/>
      </c>
    </row>
    <row r="102">
      <c r="A102" s="2" t="inlineStr">
        <is>
          <t>2015-12-23</t>
        </is>
      </c>
      <c r="B102" s="4" t="inlineStr">
        <is>
          <t>에이디테크놀로지</t>
        </is>
      </c>
      <c r="C102" s="2" t="inlineStr">
        <is>
          <t>200710</t>
        </is>
      </c>
      <c r="D102" s="2" t="inlineStr">
        <is>
          <t>대량보유</t>
        </is>
      </c>
      <c r="E102" s="2" t="inlineStr"/>
      <c r="F102" s="2" t="inlineStr"/>
      <c r="G102" s="4" t="inlineStr">
        <is>
          <t>김준석</t>
        </is>
      </c>
      <c r="H102" s="4" t="inlineStr">
        <is>
          <t>최대주주</t>
        </is>
      </c>
      <c r="I102" s="4" t="inlineStr">
        <is>
          <t>주식담보대출</t>
        </is>
      </c>
      <c r="J102" s="7" t="inlineStr"/>
      <c r="K102" s="7" t="inlineStr"/>
      <c r="L102" s="7" t="inlineStr"/>
      <c r="M102" s="7" t="n">
        <v>1155390</v>
      </c>
      <c r="N102" s="16" t="n">
        <v>28.14</v>
      </c>
      <c r="O102" s="7" t="n">
        <v>1155390</v>
      </c>
      <c r="P102" s="16" t="n">
        <v>28.14</v>
      </c>
      <c r="Q102" s="2" t="inlineStr">
        <is>
          <t>20151223000377</t>
        </is>
      </c>
      <c r="R102" s="3">
        <f>HYPERLINK("https://dart.fss.or.kr/dsaf001/main.do?rcpNo=20151223000377", "공시열람")</f>
        <v/>
      </c>
    </row>
    <row r="103">
      <c r="A103" s="2" t="inlineStr">
        <is>
          <t>2015-06-24</t>
        </is>
      </c>
      <c r="B103" s="4" t="inlineStr">
        <is>
          <t>에이디테크놀로지</t>
        </is>
      </c>
      <c r="C103" s="2" t="inlineStr">
        <is>
          <t>200710</t>
        </is>
      </c>
      <c r="D103" s="2" t="inlineStr">
        <is>
          <t>임원보고</t>
        </is>
      </c>
      <c r="E103" s="2" t="inlineStr">
        <is>
          <t>2015-06-17</t>
        </is>
      </c>
      <c r="F103" s="2" t="inlineStr">
        <is>
          <t>2015-06-17</t>
        </is>
      </c>
      <c r="G103" s="4" t="inlineStr">
        <is>
          <t>이현석</t>
        </is>
      </c>
      <c r="H103" s="4" t="inlineStr">
        <is>
          <t>등기임원 상무</t>
        </is>
      </c>
      <c r="I103" s="4" t="inlineStr">
        <is>
          <t>시간외매매(-)</t>
        </is>
      </c>
      <c r="J103" s="17" t="n">
        <v>-36000</v>
      </c>
      <c r="K103" s="7" t="n">
        <v>36190</v>
      </c>
      <c r="L103" s="17" t="n">
        <v>-1302840000</v>
      </c>
      <c r="M103" s="7" t="inlineStr"/>
      <c r="N103" s="15" t="inlineStr"/>
      <c r="O103" s="7" t="n">
        <v>37800</v>
      </c>
      <c r="P103" s="16" t="n">
        <v>0.92</v>
      </c>
      <c r="Q103" s="2" t="inlineStr">
        <is>
          <t>20150624000187</t>
        </is>
      </c>
      <c r="R103" s="3">
        <f>HYPERLINK("https://dart.fss.or.kr/dsaf001/main.do?rcpNo=20150624000187", "공시열람")</f>
        <v/>
      </c>
    </row>
    <row r="104">
      <c r="A104" s="2" t="inlineStr">
        <is>
          <t>2015-06-24</t>
        </is>
      </c>
      <c r="B104" s="4" t="inlineStr">
        <is>
          <t>에이디테크놀로지</t>
        </is>
      </c>
      <c r="C104" s="2" t="inlineStr">
        <is>
          <t>200710</t>
        </is>
      </c>
      <c r="D104" s="2" t="inlineStr">
        <is>
          <t>임원보고</t>
        </is>
      </c>
      <c r="E104" s="2" t="inlineStr">
        <is>
          <t>2015-06-17</t>
        </is>
      </c>
      <c r="F104" s="2" t="inlineStr">
        <is>
          <t>2015-06-17</t>
        </is>
      </c>
      <c r="G104" s="4" t="inlineStr">
        <is>
          <t>강종민</t>
        </is>
      </c>
      <c r="H104" s="4" t="inlineStr">
        <is>
          <t>비등기임원 상무</t>
        </is>
      </c>
      <c r="I104" s="4" t="inlineStr">
        <is>
          <t>시간외매매(-)</t>
        </is>
      </c>
      <c r="J104" s="17" t="n">
        <v>-22000</v>
      </c>
      <c r="K104" s="7" t="n">
        <v>36190</v>
      </c>
      <c r="L104" s="17" t="n">
        <v>-796180000</v>
      </c>
      <c r="M104" s="7" t="inlineStr"/>
      <c r="N104" s="15" t="inlineStr"/>
      <c r="O104" s="7" t="n">
        <v>21800</v>
      </c>
      <c r="P104" s="16" t="n">
        <v>0.53</v>
      </c>
      <c r="Q104" s="2" t="inlineStr">
        <is>
          <t>20150624000194</t>
        </is>
      </c>
      <c r="R104" s="3">
        <f>HYPERLINK("https://dart.fss.or.kr/dsaf001/main.do?rcpNo=20150624000194", "공시열람")</f>
        <v/>
      </c>
    </row>
    <row r="105">
      <c r="A105" s="2" t="inlineStr">
        <is>
          <t>2015-06-24</t>
        </is>
      </c>
      <c r="B105" s="4" t="inlineStr">
        <is>
          <t>에이디테크놀로지</t>
        </is>
      </c>
      <c r="C105" s="2" t="inlineStr">
        <is>
          <t>200710</t>
        </is>
      </c>
      <c r="D105" s="2" t="inlineStr">
        <is>
          <t>임원보고</t>
        </is>
      </c>
      <c r="E105" s="2" t="inlineStr">
        <is>
          <t>2015-06-17</t>
        </is>
      </c>
      <c r="F105" s="2" t="inlineStr">
        <is>
          <t>2015-06-17</t>
        </is>
      </c>
      <c r="G105" s="4" t="inlineStr">
        <is>
          <t>문갑주</t>
        </is>
      </c>
      <c r="H105" s="4" t="inlineStr">
        <is>
          <t>등기임원 상무</t>
        </is>
      </c>
      <c r="I105" s="4" t="inlineStr">
        <is>
          <t>시간외매매(-)</t>
        </is>
      </c>
      <c r="J105" s="17" t="n">
        <v>-13000</v>
      </c>
      <c r="K105" s="7" t="n">
        <v>36190</v>
      </c>
      <c r="L105" s="17" t="n">
        <v>-470470000</v>
      </c>
      <c r="M105" s="7" t="inlineStr"/>
      <c r="N105" s="15" t="inlineStr"/>
      <c r="O105" s="7" t="n">
        <v>14250</v>
      </c>
      <c r="P105" s="16" t="n">
        <v>0.35</v>
      </c>
      <c r="Q105" s="2" t="inlineStr">
        <is>
          <t>20150624000191</t>
        </is>
      </c>
      <c r="R105" s="3">
        <f>HYPERLINK("https://dart.fss.or.kr/dsaf001/main.do?rcpNo=20150624000191", "공시열람")</f>
        <v/>
      </c>
    </row>
    <row r="106">
      <c r="A106" s="2" t="inlineStr">
        <is>
          <t>2015-06-24</t>
        </is>
      </c>
      <c r="B106" s="4" t="inlineStr">
        <is>
          <t>에이디테크놀로지</t>
        </is>
      </c>
      <c r="C106" s="2" t="inlineStr">
        <is>
          <t>200710</t>
        </is>
      </c>
      <c r="D106" s="2" t="inlineStr">
        <is>
          <t>임원보고</t>
        </is>
      </c>
      <c r="E106" s="2" t="inlineStr">
        <is>
          <t>2015-06-17</t>
        </is>
      </c>
      <c r="F106" s="2" t="inlineStr">
        <is>
          <t>2015-06-17</t>
        </is>
      </c>
      <c r="G106" s="4" t="inlineStr">
        <is>
          <t>최성현</t>
        </is>
      </c>
      <c r="H106" s="4" t="inlineStr">
        <is>
          <t>등기임원 부사장</t>
        </is>
      </c>
      <c r="I106" s="4" t="inlineStr">
        <is>
          <t>시간외매매(-)</t>
        </is>
      </c>
      <c r="J106" s="17" t="n">
        <v>-50000</v>
      </c>
      <c r="K106" s="7" t="n">
        <v>36190</v>
      </c>
      <c r="L106" s="17" t="n">
        <v>-1809500000</v>
      </c>
      <c r="M106" s="7" t="inlineStr"/>
      <c r="N106" s="15" t="inlineStr"/>
      <c r="O106" s="7" t="n">
        <v>25000</v>
      </c>
      <c r="P106" s="16" t="n">
        <v>0.61</v>
      </c>
      <c r="Q106" s="2" t="inlineStr">
        <is>
          <t>20150624000182</t>
        </is>
      </c>
      <c r="R106" s="3">
        <f>HYPERLINK("https://dart.fss.or.kr/dsaf001/main.do?rcpNo=20150624000182", "공시열람")</f>
        <v/>
      </c>
    </row>
    <row r="107">
      <c r="A107" s="2" t="inlineStr">
        <is>
          <t>2015-06-24</t>
        </is>
      </c>
      <c r="B107" s="4" t="inlineStr">
        <is>
          <t>에이디테크놀로지</t>
        </is>
      </c>
      <c r="C107" s="2" t="inlineStr">
        <is>
          <t>200710</t>
        </is>
      </c>
      <c r="D107" s="2" t="inlineStr">
        <is>
          <t>대량보유</t>
        </is>
      </c>
      <c r="E107" s="2" t="inlineStr"/>
      <c r="F107" s="2" t="inlineStr"/>
      <c r="G107" s="4" t="inlineStr">
        <is>
          <t>김준석</t>
        </is>
      </c>
      <c r="H107" s="4" t="inlineStr">
        <is>
          <t>최대주주</t>
        </is>
      </c>
      <c r="I107" s="4" t="inlineStr">
        <is>
          <t>단순처분</t>
        </is>
      </c>
      <c r="J107" s="7" t="inlineStr"/>
      <c r="K107" s="7" t="inlineStr"/>
      <c r="L107" s="7" t="inlineStr"/>
      <c r="M107" s="7" t="n">
        <v>1254390</v>
      </c>
      <c r="N107" s="16" t="n">
        <v>30.61</v>
      </c>
      <c r="O107" s="7" t="n">
        <v>1155390</v>
      </c>
      <c r="P107" s="16" t="n">
        <v>28.19</v>
      </c>
      <c r="Q107" s="2" t="inlineStr">
        <is>
          <t>20150624000171</t>
        </is>
      </c>
      <c r="R107" s="3">
        <f>HYPERLINK("https://dart.fss.or.kr/dsaf001/main.do?rcpNo=20150624000171", "공시열람")</f>
        <v/>
      </c>
    </row>
    <row r="108">
      <c r="A108" s="2" t="inlineStr">
        <is>
          <t>2015-06-05</t>
        </is>
      </c>
      <c r="B108" s="4" t="inlineStr">
        <is>
          <t>에이디테크놀로지</t>
        </is>
      </c>
      <c r="C108" s="2" t="inlineStr">
        <is>
          <t>200710</t>
        </is>
      </c>
      <c r="D108" s="2" t="inlineStr">
        <is>
          <t>임원보고</t>
        </is>
      </c>
      <c r="E108" s="2" t="inlineStr">
        <is>
          <t>2015-05-31</t>
        </is>
      </c>
      <c r="F108" s="2" t="inlineStr">
        <is>
          <t>2015-05-31</t>
        </is>
      </c>
      <c r="G108" s="4" t="inlineStr">
        <is>
          <t>박준규</t>
        </is>
      </c>
      <c r="H108" s="4" t="inlineStr">
        <is>
          <t>비등기임원 상무</t>
        </is>
      </c>
      <c r="I108" s="4" t="inlineStr">
        <is>
          <t>임원퇴임(-)</t>
        </is>
      </c>
      <c r="J108" s="7" t="inlineStr"/>
      <c r="K108" s="7" t="inlineStr"/>
      <c r="L108" s="7" t="inlineStr"/>
      <c r="M108" s="7" t="inlineStr"/>
      <c r="N108" s="15" t="inlineStr"/>
      <c r="O108" s="7" t="n">
        <v>105000</v>
      </c>
      <c r="P108" s="16" t="n">
        <v>2.56</v>
      </c>
      <c r="Q108" s="2" t="inlineStr">
        <is>
          <t>20150605000165</t>
        </is>
      </c>
      <c r="R108" s="3">
        <f>HYPERLINK("https://dart.fss.or.kr/dsaf001/main.do?rcpNo=20150605000165", "공시열람")</f>
        <v/>
      </c>
    </row>
    <row r="109">
      <c r="A109" s="2" t="inlineStr">
        <is>
          <t>2015-06-05</t>
        </is>
      </c>
      <c r="B109" s="4" t="inlineStr">
        <is>
          <t>에이디테크놀로지</t>
        </is>
      </c>
      <c r="C109" s="2" t="inlineStr">
        <is>
          <t>200710</t>
        </is>
      </c>
      <c r="D109" s="2" t="inlineStr">
        <is>
          <t>임원보고</t>
        </is>
      </c>
      <c r="E109" s="2" t="inlineStr">
        <is>
          <t>2015-05-31</t>
        </is>
      </c>
      <c r="F109" s="2" t="inlineStr">
        <is>
          <t>2015-05-31</t>
        </is>
      </c>
      <c r="G109" s="4" t="inlineStr">
        <is>
          <t>이훈모</t>
        </is>
      </c>
      <c r="H109" s="4" t="inlineStr">
        <is>
          <t>비등기임원 상무</t>
        </is>
      </c>
      <c r="I109" s="4" t="inlineStr">
        <is>
          <t>임원퇴임(-)</t>
        </is>
      </c>
      <c r="J109" s="7" t="inlineStr"/>
      <c r="K109" s="7" t="inlineStr"/>
      <c r="L109" s="7" t="inlineStr"/>
      <c r="M109" s="7" t="inlineStr"/>
      <c r="N109" s="15" t="inlineStr"/>
      <c r="O109" s="7" t="n">
        <v>74920</v>
      </c>
      <c r="P109" s="16" t="n">
        <v>1.83</v>
      </c>
      <c r="Q109" s="2" t="inlineStr">
        <is>
          <t>20150605000170</t>
        </is>
      </c>
      <c r="R109" s="3">
        <f>HYPERLINK("https://dart.fss.or.kr/dsaf001/main.do?rcpNo=20150605000170", "공시열람")</f>
        <v/>
      </c>
    </row>
    <row r="110">
      <c r="A110" s="2" t="inlineStr">
        <is>
          <t>2015-03-31</t>
        </is>
      </c>
      <c r="B110" s="4" t="inlineStr">
        <is>
          <t>에이디테크놀로지</t>
        </is>
      </c>
      <c r="C110" s="2" t="inlineStr">
        <is>
          <t>200710</t>
        </is>
      </c>
      <c r="D110" s="2" t="inlineStr">
        <is>
          <t>대량보유</t>
        </is>
      </c>
      <c r="E110" s="2" t="inlineStr"/>
      <c r="F110" s="2" t="inlineStr"/>
      <c r="G110" s="4" t="inlineStr">
        <is>
          <t>김준석</t>
        </is>
      </c>
      <c r="H110" s="4" t="inlineStr">
        <is>
          <t>최대주주</t>
        </is>
      </c>
      <c r="I110" s="4" t="inlineStr">
        <is>
          <t>특별관계자 추가로 인한 보유상황 1% 이상 변동</t>
        </is>
      </c>
      <c r="J110" s="7" t="inlineStr"/>
      <c r="K110" s="7" t="inlineStr"/>
      <c r="L110" s="7" t="inlineStr"/>
      <c r="M110" s="7" t="n">
        <v>1153340</v>
      </c>
      <c r="N110" s="16" t="n">
        <v>28.55</v>
      </c>
      <c r="O110" s="7" t="n">
        <v>1254390</v>
      </c>
      <c r="P110" s="16" t="n">
        <v>30.61</v>
      </c>
      <c r="Q110" s="2" t="inlineStr">
        <is>
          <t>20150331001367</t>
        </is>
      </c>
      <c r="R110" s="3">
        <f>HYPERLINK("https://dart.fss.or.kr/dsaf001/main.do?rcpNo=20150331001367", "공시열람")</f>
        <v/>
      </c>
    </row>
    <row r="111">
      <c r="A111" s="2" t="inlineStr">
        <is>
          <t>2015-01-22</t>
        </is>
      </c>
      <c r="B111" s="4" t="inlineStr">
        <is>
          <t>에이디테크놀로지</t>
        </is>
      </c>
      <c r="C111" s="2" t="inlineStr">
        <is>
          <t>200710</t>
        </is>
      </c>
      <c r="D111" s="2" t="inlineStr">
        <is>
          <t>임원보고</t>
        </is>
      </c>
      <c r="E111" s="2" t="inlineStr">
        <is>
          <t>2015-01-16</t>
        </is>
      </c>
      <c r="F111" s="2" t="inlineStr">
        <is>
          <t>2015-01-16</t>
        </is>
      </c>
      <c r="G111" s="4" t="inlineStr">
        <is>
          <t>강종민</t>
        </is>
      </c>
      <c r="H111" s="4" t="inlineStr">
        <is>
          <t>비등기임원 상무</t>
        </is>
      </c>
      <c r="I111" s="4" t="inlineStr">
        <is>
          <t>주식매수선택권(+)</t>
        </is>
      </c>
      <c r="J111" s="14" t="n">
        <v>2000</v>
      </c>
      <c r="K111" s="7" t="n">
        <v>2000</v>
      </c>
      <c r="L111" s="14" t="n">
        <v>4000000</v>
      </c>
      <c r="M111" s="7" t="inlineStr"/>
      <c r="N111" s="15" t="inlineStr"/>
      <c r="O111" s="7" t="n">
        <v>43800</v>
      </c>
      <c r="P111" s="16" t="n">
        <v>1.08</v>
      </c>
      <c r="Q111" s="2" t="inlineStr">
        <is>
          <t>20150122000040</t>
        </is>
      </c>
      <c r="R111" s="3">
        <f>HYPERLINK("https://dart.fss.or.kr/dsaf001/main.do?rcpNo=20150122000040", "공시열람")</f>
        <v/>
      </c>
    </row>
    <row r="112">
      <c r="A112" s="2" t="inlineStr">
        <is>
          <t>2014-12-30</t>
        </is>
      </c>
      <c r="B112" s="4" t="inlineStr">
        <is>
          <t>에이디테크놀로지</t>
        </is>
      </c>
      <c r="C112" s="2" t="inlineStr">
        <is>
          <t>200710</t>
        </is>
      </c>
      <c r="D112" s="2" t="inlineStr">
        <is>
          <t>대량보유</t>
        </is>
      </c>
      <c r="E112" s="2" t="inlineStr"/>
      <c r="F112" s="2" t="inlineStr"/>
      <c r="G112" s="4" t="inlineStr">
        <is>
          <t>현대기술투자(주)</t>
        </is>
      </c>
      <c r="H112" s="4" t="inlineStr">
        <is>
          <t>주주</t>
        </is>
      </c>
      <c r="I112" s="4" t="inlineStr">
        <is>
          <t>단순 처분</t>
        </is>
      </c>
      <c r="J112" s="7" t="inlineStr"/>
      <c r="K112" s="7" t="inlineStr"/>
      <c r="L112" s="7" t="inlineStr"/>
      <c r="M112" s="7" t="n">
        <v>249200</v>
      </c>
      <c r="N112" s="16" t="n">
        <v>6.21</v>
      </c>
      <c r="O112" s="7" t="n">
        <v>169146</v>
      </c>
      <c r="P112" s="16" t="n">
        <v>4.22</v>
      </c>
      <c r="Q112" s="2" t="inlineStr">
        <is>
          <t>20141230000678</t>
        </is>
      </c>
      <c r="R112" s="3">
        <f>HYPERLINK("https://dart.fss.or.kr/dsaf001/main.do?rcpNo=20141230000678", "공시열람")</f>
        <v/>
      </c>
    </row>
    <row r="113">
      <c r="A113" s="2" t="inlineStr">
        <is>
          <t>2014-12-24</t>
        </is>
      </c>
      <c r="B113" s="4" t="inlineStr">
        <is>
          <t>에이디테크놀로지</t>
        </is>
      </c>
      <c r="C113" s="2" t="inlineStr">
        <is>
          <t>200710</t>
        </is>
      </c>
      <c r="D113" s="2" t="inlineStr">
        <is>
          <t>임원보고</t>
        </is>
      </c>
      <c r="E113" s="2" t="inlineStr">
        <is>
          <t>2014-12-16</t>
        </is>
      </c>
      <c r="F113" s="2" t="inlineStr">
        <is>
          <t>2014-12-16</t>
        </is>
      </c>
      <c r="G113" s="4" t="inlineStr">
        <is>
          <t>이훈모</t>
        </is>
      </c>
      <c r="H113" s="4" t="inlineStr">
        <is>
          <t>비등기임원 상무</t>
        </is>
      </c>
      <c r="I113" s="4" t="inlineStr">
        <is>
          <t>신규상장(+)</t>
        </is>
      </c>
      <c r="J113" s="14" t="n">
        <v>74920</v>
      </c>
      <c r="K113" s="7" t="n">
        <v>6527</v>
      </c>
      <c r="L113" s="14" t="n">
        <v>489002840</v>
      </c>
      <c r="M113" s="7" t="inlineStr"/>
      <c r="N113" s="15" t="inlineStr"/>
      <c r="O113" s="7" t="n">
        <v>74920</v>
      </c>
      <c r="P113" s="16" t="n">
        <v>1.86</v>
      </c>
      <c r="Q113" s="2" t="inlineStr">
        <is>
          <t>20141224000117</t>
        </is>
      </c>
      <c r="R113" s="3">
        <f>HYPERLINK("https://dart.fss.or.kr/dsaf001/main.do?rcpNo=20141224000117", "공시열람")</f>
        <v/>
      </c>
    </row>
    <row r="114">
      <c r="A114" s="2" t="inlineStr">
        <is>
          <t>2014-12-24</t>
        </is>
      </c>
      <c r="B114" s="4" t="inlineStr">
        <is>
          <t>에이디테크놀로지</t>
        </is>
      </c>
      <c r="C114" s="2" t="inlineStr">
        <is>
          <t>200710</t>
        </is>
      </c>
      <c r="D114" s="2" t="inlineStr">
        <is>
          <t>임원보고</t>
        </is>
      </c>
      <c r="E114" s="2" t="inlineStr">
        <is>
          <t>2014-12-16</t>
        </is>
      </c>
      <c r="F114" s="2" t="inlineStr">
        <is>
          <t>2014-12-16</t>
        </is>
      </c>
      <c r="G114" s="4" t="inlineStr">
        <is>
          <t>최성현</t>
        </is>
      </c>
      <c r="H114" s="4" t="inlineStr">
        <is>
          <t>등기임원 부사장</t>
        </is>
      </c>
      <c r="I114" s="4" t="inlineStr">
        <is>
          <t>신규상장(+)</t>
        </is>
      </c>
      <c r="J114" s="14" t="n">
        <v>75000</v>
      </c>
      <c r="K114" s="7" t="n">
        <v>6527</v>
      </c>
      <c r="L114" s="14" t="n">
        <v>489525000</v>
      </c>
      <c r="M114" s="7" t="inlineStr"/>
      <c r="N114" s="15" t="inlineStr"/>
      <c r="O114" s="7" t="n">
        <v>75000</v>
      </c>
      <c r="P114" s="16" t="n">
        <v>1.86</v>
      </c>
      <c r="Q114" s="2" t="inlineStr">
        <is>
          <t>20141224000122</t>
        </is>
      </c>
      <c r="R114" s="3">
        <f>HYPERLINK("https://dart.fss.or.kr/dsaf001/main.do?rcpNo=20141224000122", "공시열람")</f>
        <v/>
      </c>
    </row>
    <row r="115">
      <c r="A115" s="2" t="inlineStr">
        <is>
          <t>2014-12-24</t>
        </is>
      </c>
      <c r="B115" s="4" t="inlineStr">
        <is>
          <t>에이디테크놀로지</t>
        </is>
      </c>
      <c r="C115" s="2" t="inlineStr">
        <is>
          <t>200710</t>
        </is>
      </c>
      <c r="D115" s="2" t="inlineStr">
        <is>
          <t>임원보고</t>
        </is>
      </c>
      <c r="E115" s="2" t="inlineStr">
        <is>
          <t>2014-12-16</t>
        </is>
      </c>
      <c r="F115" s="2" t="inlineStr">
        <is>
          <t>2014-12-16</t>
        </is>
      </c>
      <c r="G115" s="4" t="inlineStr">
        <is>
          <t>이현석</t>
        </is>
      </c>
      <c r="H115" s="4" t="inlineStr">
        <is>
          <t>비등기임원 상무</t>
        </is>
      </c>
      <c r="I115" s="4" t="inlineStr">
        <is>
          <t>신규상장(+)</t>
        </is>
      </c>
      <c r="J115" s="14" t="n">
        <v>73800</v>
      </c>
      <c r="K115" s="7" t="n">
        <v>6527</v>
      </c>
      <c r="L115" s="14" t="n">
        <v>481692600</v>
      </c>
      <c r="M115" s="7" t="inlineStr"/>
      <c r="N115" s="15" t="inlineStr"/>
      <c r="O115" s="7" t="n">
        <v>73800</v>
      </c>
      <c r="P115" s="16" t="n">
        <v>1.83</v>
      </c>
      <c r="Q115" s="2" t="inlineStr">
        <is>
          <t>20141224000120</t>
        </is>
      </c>
      <c r="R115" s="3">
        <f>HYPERLINK("https://dart.fss.or.kr/dsaf001/main.do?rcpNo=20141224000120", "공시열람")</f>
        <v/>
      </c>
    </row>
    <row r="116">
      <c r="A116" s="2" t="inlineStr">
        <is>
          <t>2014-12-24</t>
        </is>
      </c>
      <c r="B116" s="4" t="inlineStr">
        <is>
          <t>에이디테크놀로지</t>
        </is>
      </c>
      <c r="C116" s="2" t="inlineStr">
        <is>
          <t>200710</t>
        </is>
      </c>
      <c r="D116" s="2" t="inlineStr">
        <is>
          <t>임원보고</t>
        </is>
      </c>
      <c r="E116" s="2" t="inlineStr">
        <is>
          <t>2014-12-16</t>
        </is>
      </c>
      <c r="F116" s="2" t="inlineStr">
        <is>
          <t>2014-12-16</t>
        </is>
      </c>
      <c r="G116" s="4" t="inlineStr">
        <is>
          <t>강종민</t>
        </is>
      </c>
      <c r="H116" s="4" t="inlineStr">
        <is>
          <t>비등기임원 상무</t>
        </is>
      </c>
      <c r="I116" s="4" t="inlineStr">
        <is>
          <t>신규상장(+)</t>
        </is>
      </c>
      <c r="J116" s="14" t="n">
        <v>41800</v>
      </c>
      <c r="K116" s="7" t="n">
        <v>6527</v>
      </c>
      <c r="L116" s="14" t="n">
        <v>272828600</v>
      </c>
      <c r="M116" s="7" t="inlineStr"/>
      <c r="N116" s="15" t="inlineStr"/>
      <c r="O116" s="7" t="n">
        <v>41800</v>
      </c>
      <c r="P116" s="16" t="n">
        <v>1.04</v>
      </c>
      <c r="Q116" s="2" t="inlineStr">
        <is>
          <t>20141224000119</t>
        </is>
      </c>
      <c r="R116" s="3">
        <f>HYPERLINK("https://dart.fss.or.kr/dsaf001/main.do?rcpNo=20141224000119", "공시열람")</f>
        <v/>
      </c>
    </row>
    <row r="117">
      <c r="A117" s="2" t="inlineStr">
        <is>
          <t>2014-12-24</t>
        </is>
      </c>
      <c r="B117" s="4" t="inlineStr">
        <is>
          <t>에이디테크놀로지</t>
        </is>
      </c>
      <c r="C117" s="2" t="inlineStr">
        <is>
          <t>200710</t>
        </is>
      </c>
      <c r="D117" s="2" t="inlineStr">
        <is>
          <t>임원보고</t>
        </is>
      </c>
      <c r="E117" s="2" t="inlineStr">
        <is>
          <t>2014-12-16</t>
        </is>
      </c>
      <c r="F117" s="2" t="inlineStr">
        <is>
          <t>2014-12-16</t>
        </is>
      </c>
      <c r="G117" s="4" t="inlineStr">
        <is>
          <t>김준석</t>
        </is>
      </c>
      <c r="H117" s="4" t="inlineStr">
        <is>
          <t>등기임원 대표이사, 10%이상주주</t>
        </is>
      </c>
      <c r="I117" s="4" t="inlineStr">
        <is>
          <t>신규상장(+)</t>
        </is>
      </c>
      <c r="J117" s="14" t="n">
        <v>936400</v>
      </c>
      <c r="K117" s="7" t="n">
        <v>6527</v>
      </c>
      <c r="L117" s="14" t="n">
        <v>6111882800</v>
      </c>
      <c r="M117" s="7" t="inlineStr"/>
      <c r="N117" s="15" t="inlineStr"/>
      <c r="O117" s="7" t="n">
        <v>936400</v>
      </c>
      <c r="P117" s="16" t="n">
        <v>23.25</v>
      </c>
      <c r="Q117" s="2" t="inlineStr">
        <is>
          <t>20141224000123</t>
        </is>
      </c>
      <c r="R117" s="3">
        <f>HYPERLINK("https://dart.fss.or.kr/dsaf001/main.do?rcpNo=20141224000123", "공시열람")</f>
        <v/>
      </c>
    </row>
    <row r="118">
      <c r="A118" s="2" t="inlineStr">
        <is>
          <t>2014-12-24</t>
        </is>
      </c>
      <c r="B118" s="4" t="inlineStr">
        <is>
          <t>에이디테크놀로지</t>
        </is>
      </c>
      <c r="C118" s="2" t="inlineStr">
        <is>
          <t>200710</t>
        </is>
      </c>
      <c r="D118" s="2" t="inlineStr">
        <is>
          <t>임원보고</t>
        </is>
      </c>
      <c r="E118" s="2" t="inlineStr">
        <is>
          <t>2014-12-16</t>
        </is>
      </c>
      <c r="F118" s="2" t="inlineStr">
        <is>
          <t>2014-12-16</t>
        </is>
      </c>
      <c r="G118" s="4" t="inlineStr">
        <is>
          <t>박준규</t>
        </is>
      </c>
      <c r="H118" s="4" t="inlineStr">
        <is>
          <t>비등기임원 상무</t>
        </is>
      </c>
      <c r="I118" s="4" t="inlineStr">
        <is>
          <t>신규상장(+)</t>
        </is>
      </c>
      <c r="J118" s="14" t="n">
        <v>105000</v>
      </c>
      <c r="K118" s="7" t="n">
        <v>6527</v>
      </c>
      <c r="L118" s="14" t="n">
        <v>685335000</v>
      </c>
      <c r="M118" s="7" t="inlineStr"/>
      <c r="N118" s="15" t="inlineStr"/>
      <c r="O118" s="7" t="n">
        <v>105000</v>
      </c>
      <c r="P118" s="16" t="n">
        <v>2.61</v>
      </c>
      <c r="Q118" s="2" t="inlineStr">
        <is>
          <t>20141224000112</t>
        </is>
      </c>
      <c r="R118" s="3">
        <f>HYPERLINK("https://dart.fss.or.kr/dsaf001/main.do?rcpNo=20141224000112", "공시열람")</f>
        <v/>
      </c>
    </row>
    <row r="119">
      <c r="A119" s="2" t="inlineStr">
        <is>
          <t>2014-12-24</t>
        </is>
      </c>
      <c r="B119" s="4" t="inlineStr">
        <is>
          <t>에이디테크놀로지</t>
        </is>
      </c>
      <c r="C119" s="2" t="inlineStr">
        <is>
          <t>200710</t>
        </is>
      </c>
      <c r="D119" s="2" t="inlineStr">
        <is>
          <t>임원보고</t>
        </is>
      </c>
      <c r="E119" s="2" t="inlineStr">
        <is>
          <t>2014-12-16</t>
        </is>
      </c>
      <c r="F119" s="2" t="inlineStr">
        <is>
          <t>2014-12-16</t>
        </is>
      </c>
      <c r="G119" s="4" t="inlineStr">
        <is>
          <t>문갑주</t>
        </is>
      </c>
      <c r="H119" s="4" t="inlineStr">
        <is>
          <t>비등기임원 상무</t>
        </is>
      </c>
      <c r="I119" s="4" t="inlineStr">
        <is>
          <t>신규상장(+)</t>
        </is>
      </c>
      <c r="J119" s="14" t="n">
        <v>27250</v>
      </c>
      <c r="K119" s="7" t="n">
        <v>6527</v>
      </c>
      <c r="L119" s="14" t="n">
        <v>177860750</v>
      </c>
      <c r="M119" s="7" t="inlineStr"/>
      <c r="N119" s="15" t="inlineStr"/>
      <c r="O119" s="7" t="n">
        <v>27250</v>
      </c>
      <c r="P119" s="16" t="n">
        <v>0.68</v>
      </c>
      <c r="Q119" s="2" t="inlineStr">
        <is>
          <t>20141224000109</t>
        </is>
      </c>
      <c r="R119" s="3">
        <f>HYPERLINK("https://dart.fss.or.kr/dsaf001/main.do?rcpNo=20141224000109", "공시열람")</f>
        <v/>
      </c>
    </row>
    <row r="120">
      <c r="A120" s="2" t="inlineStr">
        <is>
          <t>2014-12-24</t>
        </is>
      </c>
      <c r="B120" s="4" t="inlineStr">
        <is>
          <t>에이디테크놀로지</t>
        </is>
      </c>
      <c r="C120" s="2" t="inlineStr">
        <is>
          <t>200710</t>
        </is>
      </c>
      <c r="D120" s="2" t="inlineStr">
        <is>
          <t>대량보유</t>
        </is>
      </c>
      <c r="E120" s="2" t="inlineStr"/>
      <c r="F120" s="2" t="inlineStr"/>
      <c r="G120" s="4" t="inlineStr">
        <is>
          <t>김준석</t>
        </is>
      </c>
      <c r="H120" s="4" t="inlineStr">
        <is>
          <t>최대주주</t>
        </is>
      </c>
      <c r="I120" s="4" t="inlineStr">
        <is>
          <t>코스닥 시장 신규상장에 따른 최초 보고</t>
        </is>
      </c>
      <c r="J120" s="7" t="inlineStr"/>
      <c r="K120" s="7" t="inlineStr"/>
      <c r="L120" s="7" t="inlineStr"/>
      <c r="M120" s="7" t="inlineStr"/>
      <c r="N120" s="15" t="inlineStr"/>
      <c r="O120" s="7" t="n">
        <v>1142340</v>
      </c>
      <c r="P120" s="16" t="n">
        <v>28.36</v>
      </c>
      <c r="Q120" s="2" t="inlineStr">
        <is>
          <t>20141223000463</t>
        </is>
      </c>
      <c r="R120" s="3">
        <f>HYPERLINK("https://dart.fss.or.kr/dsaf001/main.do?rcpNo=20141223000463", "공시열람")</f>
        <v/>
      </c>
    </row>
    <row r="121">
      <c r="A121" s="2" t="inlineStr">
        <is>
          <t>2014-12-22</t>
        </is>
      </c>
      <c r="B121" s="4" t="inlineStr">
        <is>
          <t>에이디테크놀로지</t>
        </is>
      </c>
      <c r="C121" s="2" t="inlineStr">
        <is>
          <t>200710</t>
        </is>
      </c>
      <c r="D121" s="2" t="inlineStr">
        <is>
          <t>대량보유</t>
        </is>
      </c>
      <c r="E121" s="2" t="inlineStr"/>
      <c r="F121" s="2" t="inlineStr"/>
      <c r="G121" s="4" t="inlineStr">
        <is>
          <t>현대기술투자(주)</t>
        </is>
      </c>
      <c r="H121" s="4" t="inlineStr">
        <is>
          <t>주주</t>
        </is>
      </c>
      <c r="I121" s="4" t="inlineStr">
        <is>
          <t>코스닥 시장 상장에 따른 신규보고</t>
        </is>
      </c>
      <c r="J121" s="7" t="inlineStr"/>
      <c r="K121" s="7" t="inlineStr"/>
      <c r="L121" s="7" t="inlineStr"/>
      <c r="M121" s="7" t="inlineStr"/>
      <c r="N121" s="15" t="inlineStr"/>
      <c r="O121" s="7" t="n">
        <v>249200</v>
      </c>
      <c r="P121" s="16" t="n">
        <v>6.21</v>
      </c>
      <c r="Q121" s="2" t="inlineStr">
        <is>
          <t>20141222000333</t>
        </is>
      </c>
      <c r="R121" s="3">
        <f>HYPERLINK("https://dart.fss.or.kr/dsaf001/main.do?rcpNo=20141222000333", "공시열람")</f>
        <v/>
      </c>
    </row>
  </sheetData>
  <autoFilter ref="A1:R1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6" customWidth="1" min="2" max="2"/>
    <col hidden="1" width="10" customWidth="1" min="3" max="3"/>
    <col hidden="1" width="10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0" customWidth="1" min="14" max="14"/>
    <col width="16" customWidth="1" min="15" max="15"/>
    <col width="10" customWidth="1" min="16" max="16"/>
    <col width="18" customWidth="1" min="17" max="17"/>
    <col width="10" customWidth="1" min="18" max="18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보고구분</t>
        </is>
      </c>
      <c r="E1" s="1" t="inlineStr">
        <is>
          <t>거래 시작일</t>
        </is>
      </c>
      <c r="F1" s="1" t="inlineStr">
        <is>
          <t>거래 종료일</t>
        </is>
      </c>
      <c r="G1" s="1" t="inlineStr">
        <is>
          <t>보고자(주체)</t>
        </is>
      </c>
      <c r="H1" s="1" t="inlineStr">
        <is>
          <t>관계</t>
        </is>
      </c>
      <c r="I1" s="1" t="inlineStr">
        <is>
          <t>변동사유</t>
        </is>
      </c>
      <c r="J1" s="1" t="inlineStr">
        <is>
          <t>증감(주)</t>
        </is>
      </c>
      <c r="K1" s="1" t="inlineStr">
        <is>
          <t>단가(원)</t>
        </is>
      </c>
      <c r="L1" s="1" t="inlineStr">
        <is>
          <t>거래액(원)</t>
        </is>
      </c>
      <c r="M1" s="1" t="inlineStr">
        <is>
          <t>변동전 보유(주)</t>
        </is>
      </c>
      <c r="N1" s="1" t="inlineStr">
        <is>
          <t>변동전 비율(%)</t>
        </is>
      </c>
      <c r="O1" s="1" t="inlineStr">
        <is>
          <t>변동후 보유(주)</t>
        </is>
      </c>
      <c r="P1" s="1" t="inlineStr">
        <is>
          <t>보유비율(%)</t>
        </is>
      </c>
      <c r="Q1" s="1" t="inlineStr">
        <is>
          <t>접수번호</t>
        </is>
      </c>
      <c r="R1" s="1" t="inlineStr">
        <is>
          <t>DART링크</t>
        </is>
      </c>
    </row>
    <row r="2">
      <c r="A2" s="2" t="inlineStr">
        <is>
          <t>2026-04-23</t>
        </is>
      </c>
      <c r="B2" s="4" t="inlineStr">
        <is>
          <t>에이디테크놀로지</t>
        </is>
      </c>
      <c r="C2" s="2" t="inlineStr">
        <is>
          <t>200710</t>
        </is>
      </c>
      <c r="D2" s="2" t="inlineStr">
        <is>
          <t>임원보고</t>
        </is>
      </c>
      <c r="E2" s="2" t="inlineStr">
        <is>
          <t>2026-04-17</t>
        </is>
      </c>
      <c r="F2" s="2" t="inlineStr">
        <is>
          <t>2026-04-17</t>
        </is>
      </c>
      <c r="G2" s="4" t="inlineStr">
        <is>
          <t>이은주</t>
        </is>
      </c>
      <c r="H2" s="4" t="inlineStr">
        <is>
          <t>비등기임원 SVP</t>
        </is>
      </c>
      <c r="I2" s="4" t="inlineStr">
        <is>
          <t>주식매수청구권 행사(+)</t>
        </is>
      </c>
      <c r="J2" s="14" t="n">
        <v>1609</v>
      </c>
      <c r="K2" s="7" t="n">
        <v>27389</v>
      </c>
      <c r="L2" s="14" t="n">
        <v>44068901</v>
      </c>
      <c r="M2" s="7" t="inlineStr"/>
      <c r="N2" s="15" t="inlineStr"/>
      <c r="O2" s="7" t="n">
        <v>27568</v>
      </c>
      <c r="P2" s="16" t="n">
        <v>0.2</v>
      </c>
      <c r="Q2" s="2" t="inlineStr">
        <is>
          <t>20260423000343</t>
        </is>
      </c>
      <c r="R2" s="3">
        <f>HYPERLINK("https://dart.fss.or.kr/dsaf001/main.do?rcpNo=20260423000343", "공시열람")</f>
        <v/>
      </c>
    </row>
    <row r="3">
      <c r="A3" s="2" t="inlineStr">
        <is>
          <t>2026-04-23</t>
        </is>
      </c>
      <c r="B3" s="4" t="inlineStr">
        <is>
          <t>에이디테크놀로지</t>
        </is>
      </c>
      <c r="C3" s="2" t="inlineStr">
        <is>
          <t>200710</t>
        </is>
      </c>
      <c r="D3" s="2" t="inlineStr">
        <is>
          <t>임원보고</t>
        </is>
      </c>
      <c r="E3" s="2" t="inlineStr">
        <is>
          <t>2026-04-17</t>
        </is>
      </c>
      <c r="F3" s="2" t="inlineStr">
        <is>
          <t>2026-04-17</t>
        </is>
      </c>
      <c r="G3" s="4" t="inlineStr">
        <is>
          <t>김선민</t>
        </is>
      </c>
      <c r="H3" s="4" t="inlineStr">
        <is>
          <t>비등기임원 SVP</t>
        </is>
      </c>
      <c r="I3" s="4" t="inlineStr">
        <is>
          <t>주식매수선택권(+)</t>
        </is>
      </c>
      <c r="J3" s="14" t="n">
        <v>1345</v>
      </c>
      <c r="K3" s="7" t="n">
        <v>27389</v>
      </c>
      <c r="L3" s="14" t="n">
        <v>36838205</v>
      </c>
      <c r="M3" s="7" t="inlineStr"/>
      <c r="N3" s="15" t="inlineStr"/>
      <c r="O3" s="7" t="n">
        <v>1345</v>
      </c>
      <c r="P3" s="16" t="n">
        <v>0.01</v>
      </c>
      <c r="Q3" s="2" t="inlineStr">
        <is>
          <t>20260423000577</t>
        </is>
      </c>
      <c r="R3" s="3">
        <f>HYPERLINK("https://dart.fss.or.kr/dsaf001/main.do?rcpNo=20260423000577", "공시열람")</f>
        <v/>
      </c>
    </row>
    <row r="4">
      <c r="A4" s="2" t="inlineStr">
        <is>
          <t>2026-04-23</t>
        </is>
      </c>
      <c r="B4" s="4" t="inlineStr">
        <is>
          <t>에이디테크놀로지</t>
        </is>
      </c>
      <c r="C4" s="2" t="inlineStr">
        <is>
          <t>200710</t>
        </is>
      </c>
      <c r="D4" s="2" t="inlineStr">
        <is>
          <t>임원보고</t>
        </is>
      </c>
      <c r="E4" s="2" t="inlineStr">
        <is>
          <t>2025-11-04</t>
        </is>
      </c>
      <c r="F4" s="2" t="inlineStr">
        <is>
          <t>2025-11-04</t>
        </is>
      </c>
      <c r="G4" s="4" t="inlineStr">
        <is>
          <t>김선민</t>
        </is>
      </c>
      <c r="H4" s="4" t="inlineStr">
        <is>
          <t>비등기임원 SVP</t>
        </is>
      </c>
      <c r="I4" s="4" t="inlineStr">
        <is>
          <t>기타(+)</t>
        </is>
      </c>
      <c r="J4" s="14" t="n">
        <v>1</v>
      </c>
      <c r="K4" s="7" t="n">
        <v>27389</v>
      </c>
      <c r="L4" s="14" t="n">
        <v>27389</v>
      </c>
      <c r="M4" s="7" t="inlineStr"/>
      <c r="N4" s="15" t="inlineStr"/>
      <c r="O4" s="7" t="n">
        <v>1</v>
      </c>
      <c r="P4" s="16" t="n">
        <v>0.01</v>
      </c>
      <c r="Q4" s="2" t="inlineStr">
        <is>
          <t>20260423000577</t>
        </is>
      </c>
      <c r="R4" s="3">
        <f>HYPERLINK("https://dart.fss.or.kr/dsaf001/main.do?rcpNo=20260423000577", "공시열람")</f>
        <v/>
      </c>
    </row>
    <row r="5">
      <c r="A5" s="2" t="inlineStr">
        <is>
          <t>2026-04-23</t>
        </is>
      </c>
      <c r="B5" s="4" t="inlineStr">
        <is>
          <t>에이디테크놀로지</t>
        </is>
      </c>
      <c r="C5" s="2" t="inlineStr">
        <is>
          <t>200710</t>
        </is>
      </c>
      <c r="D5" s="2" t="inlineStr">
        <is>
          <t>임원보고</t>
        </is>
      </c>
      <c r="E5" s="2" t="inlineStr">
        <is>
          <t>2026-04-17</t>
        </is>
      </c>
      <c r="F5" s="2" t="inlineStr">
        <is>
          <t>2026-04-17</t>
        </is>
      </c>
      <c r="G5" s="4" t="inlineStr">
        <is>
          <t>김귀우</t>
        </is>
      </c>
      <c r="H5" s="4" t="inlineStr">
        <is>
          <t>비등기임원 VP</t>
        </is>
      </c>
      <c r="I5" s="4" t="inlineStr">
        <is>
          <t>주식매수청구권 행사(+)</t>
        </is>
      </c>
      <c r="J5" s="14" t="n">
        <v>1354</v>
      </c>
      <c r="K5" s="7" t="n">
        <v>27389</v>
      </c>
      <c r="L5" s="14" t="n">
        <v>37084706</v>
      </c>
      <c r="M5" s="7" t="inlineStr"/>
      <c r="N5" s="15" t="inlineStr"/>
      <c r="O5" s="7" t="n">
        <v>2699</v>
      </c>
      <c r="P5" s="16" t="n">
        <v>0.02</v>
      </c>
      <c r="Q5" s="2" t="inlineStr">
        <is>
          <t>20260423000646</t>
        </is>
      </c>
      <c r="R5" s="3">
        <f>HYPERLINK("https://dart.fss.or.kr/dsaf001/main.do?rcpNo=20260423000646", "공시열람")</f>
        <v/>
      </c>
    </row>
    <row r="6">
      <c r="A6" s="2" t="inlineStr">
        <is>
          <t>2026-04-23</t>
        </is>
      </c>
      <c r="B6" s="4" t="inlineStr">
        <is>
          <t>에이디테크놀로지</t>
        </is>
      </c>
      <c r="C6" s="2" t="inlineStr">
        <is>
          <t>200710</t>
        </is>
      </c>
      <c r="D6" s="2" t="inlineStr">
        <is>
          <t>임원보고</t>
        </is>
      </c>
      <c r="E6" s="2" t="inlineStr">
        <is>
          <t>2026-04-17</t>
        </is>
      </c>
      <c r="F6" s="2" t="inlineStr">
        <is>
          <t>2026-04-17</t>
        </is>
      </c>
      <c r="G6" s="4" t="inlineStr">
        <is>
          <t>김종민</t>
        </is>
      </c>
      <c r="H6" s="4" t="inlineStr">
        <is>
          <t>비등기임원 VP</t>
        </is>
      </c>
      <c r="I6" s="4" t="inlineStr">
        <is>
          <t>주식매수선택권(+)</t>
        </is>
      </c>
      <c r="J6" s="14" t="n">
        <v>447</v>
      </c>
      <c r="K6" s="7" t="n">
        <v>27389</v>
      </c>
      <c r="L6" s="14" t="n">
        <v>12242883</v>
      </c>
      <c r="M6" s="7" t="inlineStr"/>
      <c r="N6" s="15" t="inlineStr"/>
      <c r="O6" s="7" t="n">
        <v>447</v>
      </c>
      <c r="P6" s="15" t="inlineStr"/>
      <c r="Q6" s="2" t="inlineStr">
        <is>
          <t>20260423000703</t>
        </is>
      </c>
      <c r="R6" s="3">
        <f>HYPERLINK("https://dart.fss.or.kr/dsaf001/main.do?rcpNo=20260423000703", "공시열람")</f>
        <v/>
      </c>
    </row>
    <row r="7">
      <c r="A7" s="2" t="inlineStr">
        <is>
          <t>2026-04-02</t>
        </is>
      </c>
      <c r="B7" s="4" t="inlineStr">
        <is>
          <t>에이디테크놀로지</t>
        </is>
      </c>
      <c r="C7" s="2" t="inlineStr">
        <is>
          <t>200710</t>
        </is>
      </c>
      <c r="D7" s="2" t="inlineStr">
        <is>
          <t>대량보유</t>
        </is>
      </c>
      <c r="E7" s="2" t="inlineStr">
        <is>
          <t>2023-02-16</t>
        </is>
      </c>
      <c r="F7" s="2" t="inlineStr">
        <is>
          <t>2023-02-16</t>
        </is>
      </c>
      <c r="G7" s="4" t="inlineStr">
        <is>
          <t>박준규</t>
        </is>
      </c>
      <c r="H7" s="4" t="inlineStr">
        <is>
          <t>특별관계자</t>
        </is>
      </c>
      <c r="I7" s="4" t="inlineStr">
        <is>
          <t>주식매수선택권부여(+)</t>
        </is>
      </c>
      <c r="J7" s="14" t="n">
        <v>263</v>
      </c>
      <c r="K7" s="7" t="n">
        <v>17530</v>
      </c>
      <c r="L7" s="14" t="n">
        <v>4610390</v>
      </c>
      <c r="M7" s="7" t="n">
        <v>2466303</v>
      </c>
      <c r="N7" s="16" t="n">
        <v>18.35</v>
      </c>
      <c r="O7" s="7" t="n">
        <v>78591</v>
      </c>
      <c r="P7" s="16" t="n">
        <v>18.35</v>
      </c>
      <c r="Q7" s="2" t="inlineStr">
        <is>
          <t>20260402003788</t>
        </is>
      </c>
      <c r="R7" s="3">
        <f>HYPERLINK("https://dart.fss.or.kr/dsaf001/main.do?rcpNo=20260402003788", "공시열람")</f>
        <v/>
      </c>
    </row>
    <row r="8">
      <c r="A8" s="2" t="inlineStr">
        <is>
          <t>2025-12-04</t>
        </is>
      </c>
      <c r="B8" s="4" t="inlineStr">
        <is>
          <t>에이디테크놀로지</t>
        </is>
      </c>
      <c r="C8" s="2" t="inlineStr">
        <is>
          <t>200710</t>
        </is>
      </c>
      <c r="D8" s="2" t="inlineStr">
        <is>
          <t>임원보고</t>
        </is>
      </c>
      <c r="E8" s="2" t="inlineStr">
        <is>
          <t>2025-11-04</t>
        </is>
      </c>
      <c r="F8" s="2" t="inlineStr">
        <is>
          <t>2025-11-04</t>
        </is>
      </c>
      <c r="G8" s="4" t="inlineStr">
        <is>
          <t>김선민</t>
        </is>
      </c>
      <c r="H8" s="4" t="inlineStr">
        <is>
          <t>비등기임원 전무</t>
        </is>
      </c>
      <c r="I8" s="4" t="inlineStr">
        <is>
          <t>장내매도(-)</t>
        </is>
      </c>
      <c r="J8" s="17" t="n">
        <v>-1345</v>
      </c>
      <c r="K8" s="7" t="n">
        <v>25050</v>
      </c>
      <c r="L8" s="17" t="n">
        <v>-33692250</v>
      </c>
      <c r="M8" s="7" t="inlineStr"/>
      <c r="N8" s="15" t="inlineStr"/>
      <c r="O8" s="7" t="inlineStr"/>
      <c r="P8" s="15" t="inlineStr"/>
      <c r="Q8" s="2" t="inlineStr">
        <is>
          <t>20251204000457</t>
        </is>
      </c>
      <c r="R8" s="3">
        <f>HYPERLINK("https://dart.fss.or.kr/dsaf001/main.do?rcpNo=20251204000457", "공시열람")</f>
        <v/>
      </c>
    </row>
    <row r="9">
      <c r="A9" s="2" t="inlineStr">
        <is>
          <t>2025-10-01</t>
        </is>
      </c>
      <c r="B9" s="4" t="inlineStr">
        <is>
          <t>에이디테크놀로지</t>
        </is>
      </c>
      <c r="C9" s="2" t="inlineStr">
        <is>
          <t>200710</t>
        </is>
      </c>
      <c r="D9" s="2" t="inlineStr">
        <is>
          <t>대량보유</t>
        </is>
      </c>
      <c r="E9" s="2" t="inlineStr"/>
      <c r="F9" s="2" t="inlineStr"/>
      <c r="G9" s="4" t="inlineStr">
        <is>
          <t>김준석</t>
        </is>
      </c>
      <c r="H9" s="4" t="inlineStr">
        <is>
          <t>최대주주</t>
        </is>
      </c>
      <c r="I9" s="4" t="inlineStr">
        <is>
          <t>최대주주 주식담보 기간 연장 및 담보 주식수 변경</t>
        </is>
      </c>
      <c r="J9" s="7" t="inlineStr"/>
      <c r="K9" s="7" t="inlineStr"/>
      <c r="L9" s="7" t="inlineStr"/>
      <c r="M9" s="7" t="n">
        <v>2466303</v>
      </c>
      <c r="N9" s="16" t="n">
        <v>18.35</v>
      </c>
      <c r="O9" s="7" t="n">
        <v>2466303</v>
      </c>
      <c r="P9" s="16" t="n">
        <v>18.35</v>
      </c>
      <c r="Q9" s="2" t="inlineStr">
        <is>
          <t>20251001000194</t>
        </is>
      </c>
      <c r="R9" s="3">
        <f>HYPERLINK("https://dart.fss.or.kr/dsaf001/main.do?rcpNo=20251001000194", "공시열람")</f>
        <v/>
      </c>
    </row>
    <row r="10">
      <c r="A10" s="2" t="inlineStr">
        <is>
          <t>2025-04-02</t>
        </is>
      </c>
      <c r="B10" s="4" t="inlineStr">
        <is>
          <t>에이디테크놀로지</t>
        </is>
      </c>
      <c r="C10" s="2" t="inlineStr">
        <is>
          <t>200710</t>
        </is>
      </c>
      <c r="D10" s="2" t="inlineStr">
        <is>
          <t>대량보유</t>
        </is>
      </c>
      <c r="E10" s="2" t="inlineStr"/>
      <c r="F10" s="2" t="inlineStr"/>
      <c r="G10" s="4" t="inlineStr">
        <is>
          <t>김준석</t>
        </is>
      </c>
      <c r="H10" s="4" t="inlineStr">
        <is>
          <t>최대주주</t>
        </is>
      </c>
      <c r="I10" s="4" t="inlineStr">
        <is>
          <t>최대주주 주식담보 기간 연장 및 담보 주식수 변경</t>
        </is>
      </c>
      <c r="J10" s="7" t="inlineStr"/>
      <c r="K10" s="7" t="inlineStr"/>
      <c r="L10" s="7" t="inlineStr"/>
      <c r="M10" s="7" t="n">
        <v>2466303</v>
      </c>
      <c r="N10" s="16" t="n">
        <v>18.35</v>
      </c>
      <c r="O10" s="7" t="n">
        <v>2466303</v>
      </c>
      <c r="P10" s="16" t="n">
        <v>18.35</v>
      </c>
      <c r="Q10" s="2" t="inlineStr">
        <is>
          <t>20250402003357</t>
        </is>
      </c>
      <c r="R10" s="3">
        <f>HYPERLINK("https://dart.fss.or.kr/dsaf001/main.do?rcpNo=20250402003357", "공시열람")</f>
        <v/>
      </c>
    </row>
    <row r="11">
      <c r="A11" s="2" t="inlineStr">
        <is>
          <t>2025-01-07</t>
        </is>
      </c>
      <c r="B11" s="4" t="inlineStr">
        <is>
          <t>에이디테크놀로지</t>
        </is>
      </c>
      <c r="C11" s="2" t="inlineStr">
        <is>
          <t>200710</t>
        </is>
      </c>
      <c r="D11" s="2" t="inlineStr">
        <is>
          <t>대량보유</t>
        </is>
      </c>
      <c r="E11" s="2" t="inlineStr"/>
      <c r="F11" s="2" t="inlineStr"/>
      <c r="G11" s="4" t="inlineStr">
        <is>
          <t>김준석</t>
        </is>
      </c>
      <c r="H11" s="4" t="inlineStr">
        <is>
          <t>최대주주</t>
        </is>
      </c>
      <c r="I11" s="4" t="inlineStr">
        <is>
          <t>최대주주 주식담보 기간 연장 및 일부상환에 따른 담보 주식수 변경</t>
        </is>
      </c>
      <c r="J11" s="7" t="inlineStr"/>
      <c r="K11" s="7" t="inlineStr"/>
      <c r="L11" s="7" t="inlineStr"/>
      <c r="M11" s="7" t="n">
        <v>2466303</v>
      </c>
      <c r="N11" s="16" t="n">
        <v>18.35</v>
      </c>
      <c r="O11" s="7" t="n">
        <v>2466303</v>
      </c>
      <c r="P11" s="16" t="n">
        <v>18.35</v>
      </c>
      <c r="Q11" s="2" t="inlineStr">
        <is>
          <t>20250107000318</t>
        </is>
      </c>
      <c r="R11" s="3">
        <f>HYPERLINK("https://dart.fss.or.kr/dsaf001/main.do?rcpNo=20250107000318", "공시열람")</f>
        <v/>
      </c>
    </row>
    <row r="12">
      <c r="A12" s="2" t="inlineStr">
        <is>
          <t>2024-10-10</t>
        </is>
      </c>
      <c r="B12" s="4" t="inlineStr">
        <is>
          <t>에이디테크놀로지</t>
        </is>
      </c>
      <c r="C12" s="2" t="inlineStr">
        <is>
          <t>200710</t>
        </is>
      </c>
      <c r="D12" s="2" t="inlineStr">
        <is>
          <t>대량보유</t>
        </is>
      </c>
      <c r="E12" s="2" t="inlineStr"/>
      <c r="F12" s="2" t="inlineStr"/>
      <c r="G12" s="4" t="inlineStr">
        <is>
          <t>김준석</t>
        </is>
      </c>
      <c r="H12" s="4" t="inlineStr">
        <is>
          <t>최대주주</t>
        </is>
      </c>
      <c r="I12" s="4" t="inlineStr">
        <is>
          <t>최대주주 주식담보 기간 연장 및 일부상환에 따른 담보 주식수 변경</t>
        </is>
      </c>
      <c r="J12" s="7" t="inlineStr"/>
      <c r="K12" s="7" t="inlineStr"/>
      <c r="L12" s="7" t="inlineStr"/>
      <c r="M12" s="7" t="n">
        <v>2466303</v>
      </c>
      <c r="N12" s="16" t="n">
        <v>18.35</v>
      </c>
      <c r="O12" s="7" t="n">
        <v>2466303</v>
      </c>
      <c r="P12" s="16" t="n">
        <v>18.35</v>
      </c>
      <c r="Q12" s="2" t="inlineStr">
        <is>
          <t>20241010000035</t>
        </is>
      </c>
      <c r="R12" s="3">
        <f>HYPERLINK("https://dart.fss.or.kr/dsaf001/main.do?rcpNo=20241010000035", "공시열람")</f>
        <v/>
      </c>
    </row>
    <row r="13">
      <c r="A13" s="2" t="inlineStr">
        <is>
          <t>2024-07-15</t>
        </is>
      </c>
      <c r="B13" s="4" t="inlineStr">
        <is>
          <t>에이디테크놀로지</t>
        </is>
      </c>
      <c r="C13" s="2" t="inlineStr">
        <is>
          <t>200710</t>
        </is>
      </c>
      <c r="D13" s="2" t="inlineStr">
        <is>
          <t>대량보유</t>
        </is>
      </c>
      <c r="E13" s="2" t="inlineStr"/>
      <c r="F13" s="2" t="inlineStr"/>
      <c r="G13" s="4" t="inlineStr">
        <is>
          <t>김준석</t>
        </is>
      </c>
      <c r="H13" s="4" t="inlineStr">
        <is>
          <t>최대주주</t>
        </is>
      </c>
      <c r="I13" s="4" t="inlineStr">
        <is>
          <t>최대주주 주식담보 기간 연장 및 담보주식수 변경</t>
        </is>
      </c>
      <c r="J13" s="7" t="inlineStr"/>
      <c r="K13" s="7" t="inlineStr"/>
      <c r="L13" s="7" t="inlineStr"/>
      <c r="M13" s="7" t="n">
        <v>2466303</v>
      </c>
      <c r="N13" s="16" t="n">
        <v>18.37</v>
      </c>
      <c r="O13" s="7" t="n">
        <v>2466303</v>
      </c>
      <c r="P13" s="16" t="n">
        <v>18.35</v>
      </c>
      <c r="Q13" s="2" t="inlineStr">
        <is>
          <t>20240712000538</t>
        </is>
      </c>
      <c r="R13" s="3">
        <f>HYPERLINK("https://dart.fss.or.kr/dsaf001/main.do?rcpNo=20240712000538", "공시열람")</f>
        <v/>
      </c>
    </row>
    <row r="14">
      <c r="A14" s="2" t="inlineStr">
        <is>
          <t>2024-07-10</t>
        </is>
      </c>
      <c r="B14" s="4" t="inlineStr">
        <is>
          <t>에이디테크놀로지</t>
        </is>
      </c>
      <c r="C14" s="2" t="inlineStr">
        <is>
          <t>200710</t>
        </is>
      </c>
      <c r="D14" s="2" t="inlineStr">
        <is>
          <t>대량보유</t>
        </is>
      </c>
      <c r="E14" s="2" t="inlineStr">
        <is>
          <t>2024-04-05</t>
        </is>
      </c>
      <c r="F14" s="2" t="inlineStr">
        <is>
          <t>2024-04-05</t>
        </is>
      </c>
      <c r="G14" s="4" t="inlineStr">
        <is>
          <t>한국증권금융(주)</t>
        </is>
      </c>
      <c r="H14" s="4" t="inlineStr">
        <is>
          <t>주주</t>
        </is>
      </c>
      <c r="I14" s="4" t="inlineStr">
        <is>
          <t>신용공여에 따른 담보권 변동</t>
        </is>
      </c>
      <c r="J14" s="17" t="n">
        <v>-144119</v>
      </c>
      <c r="K14" s="7" t="n">
        <v>40000</v>
      </c>
      <c r="L14" s="17" t="n">
        <v>-5764760000</v>
      </c>
      <c r="M14" s="7" t="n">
        <v>673578</v>
      </c>
      <c r="N14" s="16" t="n">
        <v>5.02</v>
      </c>
      <c r="O14" s="7" t="n">
        <v>529459</v>
      </c>
      <c r="P14" s="16" t="n">
        <v>3.94</v>
      </c>
      <c r="Q14" s="2" t="inlineStr">
        <is>
          <t>20240710000340</t>
        </is>
      </c>
      <c r="R14" s="3">
        <f>HYPERLINK("https://dart.fss.or.kr/dsaf001/main.do?rcpNo=20240710000340", "공시열람")</f>
        <v/>
      </c>
    </row>
    <row r="15">
      <c r="A15" s="2" t="inlineStr">
        <is>
          <t>2024-04-17</t>
        </is>
      </c>
      <c r="B15" s="4" t="inlineStr">
        <is>
          <t>에이디테크놀로지</t>
        </is>
      </c>
      <c r="C15" s="2" t="inlineStr">
        <is>
          <t>200710</t>
        </is>
      </c>
      <c r="D15" s="2" t="inlineStr">
        <is>
          <t>임원보고</t>
        </is>
      </c>
      <c r="E15" s="2" t="inlineStr">
        <is>
          <t>2024-04-16</t>
        </is>
      </c>
      <c r="F15" s="2" t="inlineStr">
        <is>
          <t>2024-04-16</t>
        </is>
      </c>
      <c r="G15" s="4" t="inlineStr">
        <is>
          <t>김선민</t>
        </is>
      </c>
      <c r="H15" s="4" t="inlineStr">
        <is>
          <t>비등기임원 전무</t>
        </is>
      </c>
      <c r="I15" s="4" t="inlineStr">
        <is>
          <t>주식매수청구권 행사(+)</t>
        </is>
      </c>
      <c r="J15" s="14" t="n">
        <v>1345</v>
      </c>
      <c r="K15" s="7" t="n">
        <v>27389</v>
      </c>
      <c r="L15" s="14" t="n">
        <v>36838205</v>
      </c>
      <c r="M15" s="7" t="inlineStr"/>
      <c r="N15" s="15" t="inlineStr"/>
      <c r="O15" s="7" t="n">
        <v>1345</v>
      </c>
      <c r="P15" s="16" t="n">
        <v>0.01</v>
      </c>
      <c r="Q15" s="2" t="inlineStr">
        <is>
          <t>20240417000462</t>
        </is>
      </c>
      <c r="R15" s="3">
        <f>HYPERLINK("https://dart.fss.or.kr/dsaf001/main.do?rcpNo=20240417000462", "공시열람")</f>
        <v/>
      </c>
    </row>
    <row r="16">
      <c r="A16" s="2" t="inlineStr">
        <is>
          <t>2024-04-17</t>
        </is>
      </c>
      <c r="B16" s="4" t="inlineStr">
        <is>
          <t>에이디테크놀로지</t>
        </is>
      </c>
      <c r="C16" s="2" t="inlineStr">
        <is>
          <t>200710</t>
        </is>
      </c>
      <c r="D16" s="2" t="inlineStr">
        <is>
          <t>임원보고</t>
        </is>
      </c>
      <c r="E16" s="2" t="inlineStr">
        <is>
          <t>2024-04-16</t>
        </is>
      </c>
      <c r="F16" s="2" t="inlineStr">
        <is>
          <t>2024-04-16</t>
        </is>
      </c>
      <c r="G16" s="4" t="inlineStr">
        <is>
          <t>권두올</t>
        </is>
      </c>
      <c r="H16" s="4" t="inlineStr">
        <is>
          <t>비등기임원 전무</t>
        </is>
      </c>
      <c r="I16" s="4" t="inlineStr">
        <is>
          <t>주식매수청구권 행사(+)</t>
        </is>
      </c>
      <c r="J16" s="14" t="n">
        <v>88</v>
      </c>
      <c r="K16" s="7" t="n">
        <v>27389</v>
      </c>
      <c r="L16" s="14" t="n">
        <v>2410232</v>
      </c>
      <c r="M16" s="7" t="inlineStr"/>
      <c r="N16" s="15" t="inlineStr"/>
      <c r="O16" s="7" t="n">
        <v>88</v>
      </c>
      <c r="P16" s="16" t="n">
        <v>0.001</v>
      </c>
      <c r="Q16" s="2" t="inlineStr">
        <is>
          <t>20240417000466</t>
        </is>
      </c>
      <c r="R16" s="3">
        <f>HYPERLINK("https://dart.fss.or.kr/dsaf001/main.do?rcpNo=20240417000466", "공시열람")</f>
        <v/>
      </c>
    </row>
    <row r="17">
      <c r="A17" s="2" t="inlineStr">
        <is>
          <t>2024-04-17</t>
        </is>
      </c>
      <c r="B17" s="4" t="inlineStr">
        <is>
          <t>에이디테크놀로지</t>
        </is>
      </c>
      <c r="C17" s="2" t="inlineStr">
        <is>
          <t>200710</t>
        </is>
      </c>
      <c r="D17" s="2" t="inlineStr">
        <is>
          <t>임원보고</t>
        </is>
      </c>
      <c r="E17" s="2" t="inlineStr">
        <is>
          <t>2024-04-16</t>
        </is>
      </c>
      <c r="F17" s="2" t="inlineStr">
        <is>
          <t>2024-04-16</t>
        </is>
      </c>
      <c r="G17" s="4" t="inlineStr">
        <is>
          <t>이지숙</t>
        </is>
      </c>
      <c r="H17" s="4" t="inlineStr">
        <is>
          <t>비등기임원 이사</t>
        </is>
      </c>
      <c r="I17" s="4" t="inlineStr">
        <is>
          <t>주식매수청구권 행사(+)</t>
        </is>
      </c>
      <c r="J17" s="14" t="n">
        <v>447</v>
      </c>
      <c r="K17" s="7" t="n">
        <v>27389</v>
      </c>
      <c r="L17" s="14" t="n">
        <v>12242883</v>
      </c>
      <c r="M17" s="7" t="inlineStr"/>
      <c r="N17" s="15" t="inlineStr"/>
      <c r="O17" s="7" t="n">
        <v>447</v>
      </c>
      <c r="P17" s="16" t="n">
        <v>0.003</v>
      </c>
      <c r="Q17" s="2" t="inlineStr">
        <is>
          <t>20240417000442</t>
        </is>
      </c>
      <c r="R17" s="3">
        <f>HYPERLINK("https://dart.fss.or.kr/dsaf001/main.do?rcpNo=20240417000442", "공시열람")</f>
        <v/>
      </c>
    </row>
    <row r="18">
      <c r="A18" s="2" t="inlineStr">
        <is>
          <t>2024-04-17</t>
        </is>
      </c>
      <c r="B18" s="4" t="inlineStr">
        <is>
          <t>에이디테크놀로지</t>
        </is>
      </c>
      <c r="C18" s="2" t="inlineStr">
        <is>
          <t>200710</t>
        </is>
      </c>
      <c r="D18" s="2" t="inlineStr">
        <is>
          <t>임원보고</t>
        </is>
      </c>
      <c r="E18" s="2" t="inlineStr">
        <is>
          <t>2024-04-16</t>
        </is>
      </c>
      <c r="F18" s="2" t="inlineStr">
        <is>
          <t>2024-04-16</t>
        </is>
      </c>
      <c r="G18" s="4" t="inlineStr">
        <is>
          <t>김귀우</t>
        </is>
      </c>
      <c r="H18" s="4" t="inlineStr">
        <is>
          <t>비등기임원 전무</t>
        </is>
      </c>
      <c r="I18" s="4" t="inlineStr">
        <is>
          <t>주식매수청구권 행사(+)</t>
        </is>
      </c>
      <c r="J18" s="14" t="n">
        <v>1345</v>
      </c>
      <c r="K18" s="7" t="n">
        <v>27389</v>
      </c>
      <c r="L18" s="14" t="n">
        <v>36838205</v>
      </c>
      <c r="M18" s="7" t="inlineStr"/>
      <c r="N18" s="15" t="inlineStr"/>
      <c r="O18" s="7" t="n">
        <v>1345</v>
      </c>
      <c r="P18" s="16" t="n">
        <v>0.01</v>
      </c>
      <c r="Q18" s="2" t="inlineStr">
        <is>
          <t>20240417000454</t>
        </is>
      </c>
      <c r="R18" s="3">
        <f>HYPERLINK("https://dart.fss.or.kr/dsaf001/main.do?rcpNo=20240417000454", "공시열람")</f>
        <v/>
      </c>
    </row>
    <row r="19">
      <c r="A19" s="2" t="inlineStr">
        <is>
          <t>2024-04-09</t>
        </is>
      </c>
      <c r="B19" s="4" t="inlineStr">
        <is>
          <t>에이디테크놀로지</t>
        </is>
      </c>
      <c r="C19" s="2" t="inlineStr">
        <is>
          <t>200710</t>
        </is>
      </c>
      <c r="D19" s="2" t="inlineStr">
        <is>
          <t>대량보유</t>
        </is>
      </c>
      <c r="E19" s="2" t="inlineStr">
        <is>
          <t>2024-01-08</t>
        </is>
      </c>
      <c r="F19" s="2" t="inlineStr">
        <is>
          <t>2024-03-14</t>
        </is>
      </c>
      <c r="G19" s="4" t="inlineStr">
        <is>
          <t>한국증권금융(주)</t>
        </is>
      </c>
      <c r="H19" s="4" t="inlineStr">
        <is>
          <t>주주</t>
        </is>
      </c>
      <c r="I19" s="4" t="inlineStr">
        <is>
          <t>신용공여에 따른 담보권 신규취득 및 변동</t>
        </is>
      </c>
      <c r="J19" s="17" t="n">
        <v>-85908</v>
      </c>
      <c r="K19" s="7" t="n">
        <v>33758</v>
      </c>
      <c r="L19" s="17" t="n">
        <v>-2900082264</v>
      </c>
      <c r="M19" s="7" t="n">
        <v>759486</v>
      </c>
      <c r="N19" s="16" t="n">
        <v>5.66</v>
      </c>
      <c r="O19" s="7" t="n">
        <v>673578</v>
      </c>
      <c r="P19" s="16" t="n">
        <v>5.02</v>
      </c>
      <c r="Q19" s="2" t="inlineStr">
        <is>
          <t>20240409002076</t>
        </is>
      </c>
      <c r="R19" s="3">
        <f>HYPERLINK("https://dart.fss.or.kr/dsaf001/main.do?rcpNo=20240409002076", "공시열람")</f>
        <v/>
      </c>
    </row>
    <row r="20">
      <c r="A20" s="2" t="inlineStr">
        <is>
          <t>2024-04-04</t>
        </is>
      </c>
      <c r="B20" s="4" t="inlineStr">
        <is>
          <t>에이디테크놀로지</t>
        </is>
      </c>
      <c r="C20" s="2" t="inlineStr">
        <is>
          <t>200710</t>
        </is>
      </c>
      <c r="D20" s="2" t="inlineStr">
        <is>
          <t>대량보유</t>
        </is>
      </c>
      <c r="E20" s="2" t="inlineStr"/>
      <c r="F20" s="2" t="inlineStr"/>
      <c r="G20" s="4" t="inlineStr">
        <is>
          <t>김준석</t>
        </is>
      </c>
      <c r="H20" s="4" t="inlineStr">
        <is>
          <t>최대주주</t>
        </is>
      </c>
      <c r="I20" s="4" t="inlineStr">
        <is>
          <t>최대주주 주식담보 기간 연장 및 담보주식수 변경</t>
        </is>
      </c>
      <c r="J20" s="7" t="inlineStr"/>
      <c r="K20" s="7" t="inlineStr"/>
      <c r="L20" s="7" t="inlineStr"/>
      <c r="M20" s="7" t="n">
        <v>2466303</v>
      </c>
      <c r="N20" s="16" t="n">
        <v>18.37</v>
      </c>
      <c r="O20" s="7" t="n">
        <v>2466303</v>
      </c>
      <c r="P20" s="16" t="n">
        <v>18.37</v>
      </c>
      <c r="Q20" s="2" t="inlineStr">
        <is>
          <t>20240404003222</t>
        </is>
      </c>
      <c r="R20" s="3">
        <f>HYPERLINK("https://dart.fss.or.kr/dsaf001/main.do?rcpNo=20240404003222", "공시열람")</f>
        <v/>
      </c>
    </row>
    <row r="21">
      <c r="A21" s="2" t="inlineStr">
        <is>
          <t>2024-01-10</t>
        </is>
      </c>
      <c r="B21" s="4" t="inlineStr">
        <is>
          <t>에이디테크놀로지</t>
        </is>
      </c>
      <c r="C21" s="2" t="inlineStr">
        <is>
          <t>200710</t>
        </is>
      </c>
      <c r="D21" s="2" t="inlineStr">
        <is>
          <t>대량보유</t>
        </is>
      </c>
      <c r="E21" s="2" t="inlineStr">
        <is>
          <t>2023-12-28</t>
        </is>
      </c>
      <c r="F21" s="2" t="inlineStr">
        <is>
          <t>2023-12-28</t>
        </is>
      </c>
      <c r="G21" s="4" t="inlineStr">
        <is>
          <t>한국증권금융(주)</t>
        </is>
      </c>
      <c r="H21" s="4" t="inlineStr">
        <is>
          <t>주주</t>
        </is>
      </c>
      <c r="I21" s="4" t="inlineStr">
        <is>
          <t>신용공여에 따른 담보권 신규취득</t>
        </is>
      </c>
      <c r="J21" s="14" t="n">
        <v>264018</v>
      </c>
      <c r="K21" s="7" t="n">
        <v>32300</v>
      </c>
      <c r="L21" s="14" t="n">
        <v>8527781400</v>
      </c>
      <c r="M21" s="7" t="n">
        <v>495468</v>
      </c>
      <c r="N21" s="16" t="n">
        <v>3.69</v>
      </c>
      <c r="O21" s="7" t="n">
        <v>759486</v>
      </c>
      <c r="P21" s="16" t="n">
        <v>5.66</v>
      </c>
      <c r="Q21" s="2" t="inlineStr">
        <is>
          <t>20240110000262</t>
        </is>
      </c>
      <c r="R21" s="3">
        <f>HYPERLINK("https://dart.fss.or.kr/dsaf001/main.do?rcpNo=20240110000262", "공시열람")</f>
        <v/>
      </c>
    </row>
    <row r="22">
      <c r="A22" s="2" t="inlineStr">
        <is>
          <t>2024-01-05</t>
        </is>
      </c>
      <c r="B22" s="4" t="inlineStr">
        <is>
          <t>에이디테크놀로지</t>
        </is>
      </c>
      <c r="C22" s="2" t="inlineStr">
        <is>
          <t>200710</t>
        </is>
      </c>
      <c r="D22" s="2" t="inlineStr">
        <is>
          <t>대량보유</t>
        </is>
      </c>
      <c r="E22" s="2" t="inlineStr"/>
      <c r="F22" s="2" t="inlineStr"/>
      <c r="G22" s="4" t="inlineStr">
        <is>
          <t>김준석</t>
        </is>
      </c>
      <c r="H22" s="4" t="inlineStr">
        <is>
          <t>최대주주</t>
        </is>
      </c>
      <c r="I22" s="4" t="inlineStr">
        <is>
          <t>최대주주 주식담보 기간 연장 및 담보유지비율 변경</t>
        </is>
      </c>
      <c r="J22" s="7" t="inlineStr"/>
      <c r="K22" s="7" t="inlineStr"/>
      <c r="L22" s="7" t="inlineStr"/>
      <c r="M22" s="7" t="n">
        <v>2466303</v>
      </c>
      <c r="N22" s="16" t="n">
        <v>18.37</v>
      </c>
      <c r="O22" s="7" t="n">
        <v>2466303</v>
      </c>
      <c r="P22" s="16" t="n">
        <v>18.37</v>
      </c>
      <c r="Q22" s="2" t="inlineStr">
        <is>
          <t>20240105000098</t>
        </is>
      </c>
      <c r="R22" s="3">
        <f>HYPERLINK("https://dart.fss.or.kr/dsaf001/main.do?rcpNo=20240105000098", "공시열람")</f>
        <v/>
      </c>
    </row>
    <row r="23">
      <c r="A23" s="2" t="inlineStr">
        <is>
          <t>2023-10-10</t>
        </is>
      </c>
      <c r="B23" s="4" t="inlineStr">
        <is>
          <t>에이디테크놀로지</t>
        </is>
      </c>
      <c r="C23" s="2" t="inlineStr">
        <is>
          <t>200710</t>
        </is>
      </c>
      <c r="D23" s="2" t="inlineStr">
        <is>
          <t>대량보유</t>
        </is>
      </c>
      <c r="E23" s="2" t="inlineStr"/>
      <c r="F23" s="2" t="inlineStr"/>
      <c r="G23" s="4" t="inlineStr">
        <is>
          <t>김준석</t>
        </is>
      </c>
      <c r="H23" s="4" t="inlineStr">
        <is>
          <t>최대주주</t>
        </is>
      </c>
      <c r="I23" s="4" t="inlineStr">
        <is>
          <t>최대주주 주식담보 기간 연장 및 이율변경</t>
        </is>
      </c>
      <c r="J23" s="7" t="inlineStr"/>
      <c r="K23" s="7" t="inlineStr"/>
      <c r="L23" s="7" t="inlineStr"/>
      <c r="M23" s="7" t="n">
        <v>2466303</v>
      </c>
      <c r="N23" s="16" t="n">
        <v>18.37</v>
      </c>
      <c r="O23" s="7" t="n">
        <v>2466303</v>
      </c>
      <c r="P23" s="16" t="n">
        <v>18.37</v>
      </c>
      <c r="Q23" s="2" t="inlineStr">
        <is>
          <t>20231010000179</t>
        </is>
      </c>
      <c r="R23" s="3">
        <f>HYPERLINK("https://dart.fss.or.kr/dsaf001/main.do?rcpNo=20231010000179", "공시열람")</f>
        <v/>
      </c>
    </row>
    <row r="24">
      <c r="A24" s="2" t="inlineStr">
        <is>
          <t>2023-07-06</t>
        </is>
      </c>
      <c r="B24" s="4" t="inlineStr">
        <is>
          <t>에이디테크놀로지</t>
        </is>
      </c>
      <c r="C24" s="2" t="inlineStr">
        <is>
          <t>200710</t>
        </is>
      </c>
      <c r="D24" s="2" t="inlineStr">
        <is>
          <t>대량보유</t>
        </is>
      </c>
      <c r="E24" s="2" t="inlineStr"/>
      <c r="F24" s="2" t="inlineStr"/>
      <c r="G24" s="4" t="inlineStr">
        <is>
          <t>김준석</t>
        </is>
      </c>
      <c r="H24" s="4" t="inlineStr">
        <is>
          <t>최대주주</t>
        </is>
      </c>
      <c r="I24" s="4" t="inlineStr">
        <is>
          <t>최대주주 주식담보 기간 연장 및 이율변경</t>
        </is>
      </c>
      <c r="J24" s="7" t="inlineStr"/>
      <c r="K24" s="7" t="inlineStr"/>
      <c r="L24" s="7" t="inlineStr"/>
      <c r="M24" s="7" t="n">
        <v>2466303</v>
      </c>
      <c r="N24" s="16" t="n">
        <v>18.37</v>
      </c>
      <c r="O24" s="7" t="n">
        <v>2466303</v>
      </c>
      <c r="P24" s="16" t="n">
        <v>18.37</v>
      </c>
      <c r="Q24" s="2" t="inlineStr">
        <is>
          <t>20230706000229</t>
        </is>
      </c>
      <c r="R24" s="3">
        <f>HYPERLINK("https://dart.fss.or.kr/dsaf001/main.do?rcpNo=20230706000229", "공시열람")</f>
        <v/>
      </c>
    </row>
    <row r="25">
      <c r="A25" s="2" t="inlineStr">
        <is>
          <t>2023-04-05</t>
        </is>
      </c>
      <c r="B25" s="4" t="inlineStr">
        <is>
          <t>에이디테크놀로지</t>
        </is>
      </c>
      <c r="C25" s="2" t="inlineStr">
        <is>
          <t>200710</t>
        </is>
      </c>
      <c r="D25" s="2" t="inlineStr">
        <is>
          <t>대량보유</t>
        </is>
      </c>
      <c r="E25" s="2" t="inlineStr"/>
      <c r="F25" s="2" t="inlineStr"/>
      <c r="G25" s="4" t="inlineStr">
        <is>
          <t>김준석</t>
        </is>
      </c>
      <c r="H25" s="4" t="inlineStr">
        <is>
          <t>최대주주</t>
        </is>
      </c>
      <c r="I25" s="4" t="inlineStr">
        <is>
          <t>최대주주 주식담보 기간 연장 및 이율변경</t>
        </is>
      </c>
      <c r="J25" s="7" t="inlineStr"/>
      <c r="K25" s="7" t="inlineStr"/>
      <c r="L25" s="7" t="inlineStr"/>
      <c r="M25" s="7" t="n">
        <v>2466303</v>
      </c>
      <c r="N25" s="16" t="n">
        <v>18.5</v>
      </c>
      <c r="O25" s="7" t="n">
        <v>2466303</v>
      </c>
      <c r="P25" s="16" t="n">
        <v>18.37</v>
      </c>
      <c r="Q25" s="2" t="inlineStr">
        <is>
          <t>20230405003213</t>
        </is>
      </c>
      <c r="R25" s="3">
        <f>HYPERLINK("https://dart.fss.or.kr/dsaf001/main.do?rcpNo=20230405003213", "공시열람")</f>
        <v/>
      </c>
    </row>
    <row r="26">
      <c r="A26" s="2" t="inlineStr">
        <is>
          <t>2023-01-12</t>
        </is>
      </c>
      <c r="B26" s="4" t="inlineStr">
        <is>
          <t>에이디테크놀로지</t>
        </is>
      </c>
      <c r="C26" s="2" t="inlineStr">
        <is>
          <t>200710</t>
        </is>
      </c>
      <c r="D26" s="2" t="inlineStr">
        <is>
          <t>대량보유</t>
        </is>
      </c>
      <c r="E26" s="2" t="inlineStr"/>
      <c r="F26" s="2" t="inlineStr"/>
      <c r="G26" s="4" t="inlineStr">
        <is>
          <t>김준석</t>
        </is>
      </c>
      <c r="H26" s="4" t="inlineStr">
        <is>
          <t>최대주주</t>
        </is>
      </c>
      <c r="I26" s="4" t="inlineStr">
        <is>
          <t>최대주주 주식담보대출금액 및 담보주식수 변경</t>
        </is>
      </c>
      <c r="J26" s="7" t="inlineStr"/>
      <c r="K26" s="7" t="inlineStr"/>
      <c r="L26" s="7" t="inlineStr"/>
      <c r="M26" s="7" t="n">
        <v>2466303</v>
      </c>
      <c r="N26" s="16" t="n">
        <v>18.5</v>
      </c>
      <c r="O26" s="7" t="n">
        <v>2466303</v>
      </c>
      <c r="P26" s="16" t="n">
        <v>18.5</v>
      </c>
      <c r="Q26" s="2" t="inlineStr">
        <is>
          <t>20230112000231</t>
        </is>
      </c>
      <c r="R26" s="3">
        <f>HYPERLINK("https://dart.fss.or.kr/dsaf001/main.do?rcpNo=20230112000231", "공시열람")</f>
        <v/>
      </c>
    </row>
    <row r="27">
      <c r="A27" s="2" t="inlineStr">
        <is>
          <t>2023-01-06</t>
        </is>
      </c>
      <c r="B27" s="4" t="inlineStr">
        <is>
          <t>에이디테크놀로지</t>
        </is>
      </c>
      <c r="C27" s="2" t="inlineStr">
        <is>
          <t>200710</t>
        </is>
      </c>
      <c r="D27" s="2" t="inlineStr">
        <is>
          <t>대량보유</t>
        </is>
      </c>
      <c r="E27" s="2" t="inlineStr"/>
      <c r="F27" s="2" t="inlineStr"/>
      <c r="G27" s="4" t="inlineStr">
        <is>
          <t>김준석</t>
        </is>
      </c>
      <c r="H27" s="4" t="inlineStr">
        <is>
          <t>최대주주</t>
        </is>
      </c>
      <c r="I27" s="4" t="inlineStr">
        <is>
          <t>최대주주 주식담보대출 기간 연장 등</t>
        </is>
      </c>
      <c r="J27" s="7" t="inlineStr"/>
      <c r="K27" s="7" t="inlineStr"/>
      <c r="L27" s="7" t="inlineStr"/>
      <c r="M27" s="7" t="n">
        <v>2466303</v>
      </c>
      <c r="N27" s="16" t="n">
        <v>18.5</v>
      </c>
      <c r="O27" s="7" t="n">
        <v>2466303</v>
      </c>
      <c r="P27" s="16" t="n">
        <v>18.5</v>
      </c>
      <c r="Q27" s="2" t="inlineStr">
        <is>
          <t>20230106000616</t>
        </is>
      </c>
      <c r="R27" s="3">
        <f>HYPERLINK("https://dart.fss.or.kr/dsaf001/main.do?rcpNo=20230106000616", "공시열람")</f>
        <v/>
      </c>
    </row>
    <row r="28">
      <c r="A28" s="2" t="inlineStr">
        <is>
          <t>2022-10-05</t>
        </is>
      </c>
      <c r="B28" s="4" t="inlineStr">
        <is>
          <t>에이디테크놀로지</t>
        </is>
      </c>
      <c r="C28" s="2" t="inlineStr">
        <is>
          <t>200710</t>
        </is>
      </c>
      <c r="D28" s="2" t="inlineStr">
        <is>
          <t>대량보유</t>
        </is>
      </c>
      <c r="E28" s="2" t="inlineStr">
        <is>
          <t>2021-04-05</t>
        </is>
      </c>
      <c r="F28" s="2" t="inlineStr">
        <is>
          <t>2021-04-05</t>
        </is>
      </c>
      <c r="G28" s="4" t="inlineStr">
        <is>
          <t>박준규</t>
        </is>
      </c>
      <c r="H28" s="4" t="inlineStr">
        <is>
          <t>특별관계자</t>
        </is>
      </c>
      <c r="I28" s="4" t="inlineStr">
        <is>
          <t>주식매수선택권부여(+)</t>
        </is>
      </c>
      <c r="J28" s="14" t="n">
        <v>76</v>
      </c>
      <c r="K28" s="7" t="n">
        <v>26700</v>
      </c>
      <c r="L28" s="14" t="n">
        <v>2029200</v>
      </c>
      <c r="M28" s="7" t="n">
        <v>2466227</v>
      </c>
      <c r="N28" s="16" t="n">
        <v>18.5</v>
      </c>
      <c r="O28" s="7" t="n">
        <v>78328</v>
      </c>
      <c r="P28" s="16" t="n">
        <v>18.5</v>
      </c>
      <c r="Q28" s="2" t="inlineStr">
        <is>
          <t>20221005000066</t>
        </is>
      </c>
      <c r="R28" s="3">
        <f>HYPERLINK("https://dart.fss.or.kr/dsaf001/main.do?rcpNo=20221005000066", "공시열람")</f>
        <v/>
      </c>
    </row>
    <row r="29">
      <c r="A29" s="2" t="inlineStr">
        <is>
          <t>2022-07-07</t>
        </is>
      </c>
      <c r="B29" s="4" t="inlineStr">
        <is>
          <t>에이디테크놀로지</t>
        </is>
      </c>
      <c r="C29" s="2" t="inlineStr">
        <is>
          <t>200710</t>
        </is>
      </c>
      <c r="D29" s="2" t="inlineStr">
        <is>
          <t>대량보유</t>
        </is>
      </c>
      <c r="E29" s="2" t="inlineStr"/>
      <c r="F29" s="2" t="inlineStr"/>
      <c r="G29" s="4" t="inlineStr">
        <is>
          <t>김준석</t>
        </is>
      </c>
      <c r="H29" s="4" t="inlineStr">
        <is>
          <t>최대주주</t>
        </is>
      </c>
      <c r="I29" s="4" t="inlineStr">
        <is>
          <t>최대주주 주식담보대출 기간 연장</t>
        </is>
      </c>
      <c r="J29" s="7" t="inlineStr"/>
      <c r="K29" s="7" t="inlineStr"/>
      <c r="L29" s="7" t="inlineStr"/>
      <c r="M29" s="7" t="n">
        <v>2466227</v>
      </c>
      <c r="N29" s="16" t="n">
        <v>18.39</v>
      </c>
      <c r="O29" s="7" t="n">
        <v>2466227</v>
      </c>
      <c r="P29" s="16" t="n">
        <v>18.39</v>
      </c>
      <c r="Q29" s="2" t="inlineStr">
        <is>
          <t>20220707000547</t>
        </is>
      </c>
      <c r="R29" s="3">
        <f>HYPERLINK("https://dart.fss.or.kr/dsaf001/main.do?rcpNo=20220707000547", "공시열람")</f>
        <v/>
      </c>
    </row>
    <row r="30">
      <c r="A30" s="2" t="inlineStr">
        <is>
          <t>2022-04-04</t>
        </is>
      </c>
      <c r="B30" s="4" t="inlineStr">
        <is>
          <t>에이디테크놀로지</t>
        </is>
      </c>
      <c r="C30" s="2" t="inlineStr">
        <is>
          <t>200710</t>
        </is>
      </c>
      <c r="D30" s="2" t="inlineStr">
        <is>
          <t>대량보유</t>
        </is>
      </c>
      <c r="E30" s="2" t="inlineStr"/>
      <c r="F30" s="2" t="inlineStr"/>
      <c r="G30" s="4" t="inlineStr">
        <is>
          <t>김준석</t>
        </is>
      </c>
      <c r="H30" s="4" t="inlineStr">
        <is>
          <t>최대주주</t>
        </is>
      </c>
      <c r="I30" s="4" t="inlineStr">
        <is>
          <t>최대주주 주식담보대출 기간 연장</t>
        </is>
      </c>
      <c r="J30" s="7" t="inlineStr"/>
      <c r="K30" s="7" t="inlineStr"/>
      <c r="L30" s="7" t="inlineStr"/>
      <c r="M30" s="7" t="n">
        <v>2466227</v>
      </c>
      <c r="N30" s="16" t="n">
        <v>18.39</v>
      </c>
      <c r="O30" s="7" t="n">
        <v>2466227</v>
      </c>
      <c r="P30" s="16" t="n">
        <v>18.39</v>
      </c>
      <c r="Q30" s="2" t="inlineStr">
        <is>
          <t>20220404002572</t>
        </is>
      </c>
      <c r="R30" s="3">
        <f>HYPERLINK("https://dart.fss.or.kr/dsaf001/main.do?rcpNo=20220404002572", "공시열람")</f>
        <v/>
      </c>
    </row>
    <row r="31">
      <c r="A31" s="2" t="inlineStr">
        <is>
          <t>2021-10-05</t>
        </is>
      </c>
      <c r="B31" s="4" t="inlineStr">
        <is>
          <t>에이디테크놀로지</t>
        </is>
      </c>
      <c r="C31" s="2" t="inlineStr">
        <is>
          <t>200710</t>
        </is>
      </c>
      <c r="D31" s="2" t="inlineStr">
        <is>
          <t>대량보유</t>
        </is>
      </c>
      <c r="E31" s="2" t="inlineStr"/>
      <c r="F31" s="2" t="inlineStr"/>
      <c r="G31" s="4" t="inlineStr">
        <is>
          <t>김준석</t>
        </is>
      </c>
      <c r="H31" s="4" t="inlineStr">
        <is>
          <t>최대주주</t>
        </is>
      </c>
      <c r="I31" s="4" t="inlineStr">
        <is>
          <t>최대주주 주식담보대출 상환 및 신규</t>
        </is>
      </c>
      <c r="J31" s="7" t="inlineStr"/>
      <c r="K31" s="7" t="inlineStr"/>
      <c r="L31" s="7" t="inlineStr"/>
      <c r="M31" s="7" t="n">
        <v>2466227</v>
      </c>
      <c r="N31" s="16" t="n">
        <v>18.39</v>
      </c>
      <c r="O31" s="7" t="n">
        <v>2466227</v>
      </c>
      <c r="P31" s="16" t="n">
        <v>18.39</v>
      </c>
      <c r="Q31" s="2" t="inlineStr">
        <is>
          <t>20211005000071</t>
        </is>
      </c>
      <c r="R31" s="3">
        <f>HYPERLINK("https://dart.fss.or.kr/dsaf001/main.do?rcpNo=20211005000071", "공시열람")</f>
        <v/>
      </c>
    </row>
    <row r="32">
      <c r="A32" s="2" t="inlineStr">
        <is>
          <t>2021-07-05</t>
        </is>
      </c>
      <c r="B32" s="4" t="inlineStr">
        <is>
          <t>에이디테크놀로지</t>
        </is>
      </c>
      <c r="C32" s="2" t="inlineStr">
        <is>
          <t>200710</t>
        </is>
      </c>
      <c r="D32" s="2" t="inlineStr">
        <is>
          <t>대량보유</t>
        </is>
      </c>
      <c r="E32" s="2" t="inlineStr"/>
      <c r="F32" s="2" t="inlineStr"/>
      <c r="G32" s="4" t="inlineStr">
        <is>
          <t>김준석</t>
        </is>
      </c>
      <c r="H32" s="4" t="inlineStr">
        <is>
          <t>최대주주</t>
        </is>
      </c>
      <c r="I32" s="4" t="inlineStr">
        <is>
          <t>최대주주 주식담보대출 기간 연장</t>
        </is>
      </c>
      <c r="J32" s="7" t="inlineStr"/>
      <c r="K32" s="7" t="inlineStr"/>
      <c r="L32" s="7" t="inlineStr"/>
      <c r="M32" s="7" t="n">
        <v>2466227</v>
      </c>
      <c r="N32" s="16" t="n">
        <v>18.55</v>
      </c>
      <c r="O32" s="7" t="n">
        <v>2466227</v>
      </c>
      <c r="P32" s="16" t="n">
        <v>18.39</v>
      </c>
      <c r="Q32" s="2" t="inlineStr">
        <is>
          <t>20210705000086</t>
        </is>
      </c>
      <c r="R32" s="3">
        <f>HYPERLINK("https://dart.fss.or.kr/dsaf001/main.do?rcpNo=20210705000086", "공시열람")</f>
        <v/>
      </c>
    </row>
    <row r="33">
      <c r="A33" s="2" t="inlineStr">
        <is>
          <t>2021-04-27</t>
        </is>
      </c>
      <c r="B33" s="4" t="inlineStr">
        <is>
          <t>에이디테크놀로지</t>
        </is>
      </c>
      <c r="C33" s="2" t="inlineStr">
        <is>
          <t>200710</t>
        </is>
      </c>
      <c r="D33" s="2" t="inlineStr">
        <is>
          <t>임원보고</t>
        </is>
      </c>
      <c r="E33" s="2" t="inlineStr">
        <is>
          <t>2021-04-05</t>
        </is>
      </c>
      <c r="F33" s="2" t="inlineStr">
        <is>
          <t>2021-04-07</t>
        </is>
      </c>
      <c r="G33" s="4" t="inlineStr">
        <is>
          <t>이은주</t>
        </is>
      </c>
      <c r="H33" s="4" t="inlineStr">
        <is>
          <t>비등기임원 상무</t>
        </is>
      </c>
      <c r="I33" s="4" t="inlineStr">
        <is>
          <t>장내매도(-)</t>
        </is>
      </c>
      <c r="J33" s="17" t="n">
        <v>-5025</v>
      </c>
      <c r="K33" s="7" t="n">
        <v>26685</v>
      </c>
      <c r="L33" s="17" t="n">
        <v>-134092125</v>
      </c>
      <c r="M33" s="7" t="inlineStr"/>
      <c r="N33" s="15" t="inlineStr"/>
      <c r="O33" s="7" t="n">
        <v>25959</v>
      </c>
      <c r="P33" s="16" t="n">
        <v>0.19</v>
      </c>
      <c r="Q33" s="2" t="inlineStr">
        <is>
          <t>20210427000095</t>
        </is>
      </c>
      <c r="R33" s="3">
        <f>HYPERLINK("https://dart.fss.or.kr/dsaf001/main.do?rcpNo=20210427000095", "공시열람")</f>
        <v/>
      </c>
    </row>
    <row r="34">
      <c r="A34" s="2" t="inlineStr">
        <is>
          <t>2021-04-05</t>
        </is>
      </c>
      <c r="B34" s="4" t="inlineStr">
        <is>
          <t>에이디테크놀로지</t>
        </is>
      </c>
      <c r="C34" s="2" t="inlineStr">
        <is>
          <t>200710</t>
        </is>
      </c>
      <c r="D34" s="2" t="inlineStr">
        <is>
          <t>임원보고</t>
        </is>
      </c>
      <c r="E34" s="2" t="inlineStr">
        <is>
          <t>2021-03-29</t>
        </is>
      </c>
      <c r="F34" s="2" t="inlineStr">
        <is>
          <t>2021-03-29</t>
        </is>
      </c>
      <c r="G34" s="4" t="inlineStr">
        <is>
          <t>문갑주</t>
        </is>
      </c>
      <c r="H34" s="4" t="inlineStr">
        <is>
          <t>등기임원 전무</t>
        </is>
      </c>
      <c r="I34" s="4" t="inlineStr">
        <is>
          <t>임원퇴임(-)</t>
        </is>
      </c>
      <c r="J34" s="17" t="n">
        <v>-20500</v>
      </c>
      <c r="K34" s="7" t="n">
        <v>25700</v>
      </c>
      <c r="L34" s="17" t="n">
        <v>-526850000</v>
      </c>
      <c r="M34" s="7" t="inlineStr"/>
      <c r="N34" s="15" t="inlineStr"/>
      <c r="O34" s="7" t="inlineStr"/>
      <c r="P34" s="15" t="inlineStr"/>
      <c r="Q34" s="2" t="inlineStr">
        <is>
          <t>20210405002319</t>
        </is>
      </c>
      <c r="R34" s="3">
        <f>HYPERLINK("https://dart.fss.or.kr/dsaf001/main.do?rcpNo=20210405002319", "공시열람")</f>
        <v/>
      </c>
    </row>
    <row r="35">
      <c r="A35" s="2" t="inlineStr">
        <is>
          <t>2021-04-05</t>
        </is>
      </c>
      <c r="B35" s="4" t="inlineStr">
        <is>
          <t>에이디테크놀로지</t>
        </is>
      </c>
      <c r="C35" s="2" t="inlineStr">
        <is>
          <t>200710</t>
        </is>
      </c>
      <c r="D35" s="2" t="inlineStr">
        <is>
          <t>대량보유</t>
        </is>
      </c>
      <c r="E35" s="2" t="inlineStr"/>
      <c r="F35" s="2" t="inlineStr"/>
      <c r="G35" s="4" t="inlineStr">
        <is>
          <t>김준석</t>
        </is>
      </c>
      <c r="H35" s="4" t="inlineStr">
        <is>
          <t>최대주주</t>
        </is>
      </c>
      <c r="I35" s="4" t="inlineStr">
        <is>
          <t>특별관계인 퇴직으로 인한 변동</t>
        </is>
      </c>
      <c r="J35" s="7" t="inlineStr"/>
      <c r="K35" s="7" t="inlineStr"/>
      <c r="L35" s="7" t="inlineStr"/>
      <c r="M35" s="7" t="n">
        <v>2508475</v>
      </c>
      <c r="N35" s="16" t="n">
        <v>18.9</v>
      </c>
      <c r="O35" s="7" t="n">
        <v>2466227</v>
      </c>
      <c r="P35" s="16" t="n">
        <v>18.55</v>
      </c>
      <c r="Q35" s="2" t="inlineStr">
        <is>
          <t>20210405002438</t>
        </is>
      </c>
      <c r="R35" s="3">
        <f>HYPERLINK("https://dart.fss.or.kr/dsaf001/main.do?rcpNo=20210405002438", "공시열람")</f>
        <v/>
      </c>
    </row>
    <row r="36">
      <c r="A36" s="2" t="inlineStr">
        <is>
          <t>2021-01-28</t>
        </is>
      </c>
      <c r="B36" s="4" t="inlineStr">
        <is>
          <t>에이디테크놀로지</t>
        </is>
      </c>
      <c r="C36" s="2" t="inlineStr">
        <is>
          <t>200710</t>
        </is>
      </c>
      <c r="D36" s="2" t="inlineStr">
        <is>
          <t>대량보유</t>
        </is>
      </c>
      <c r="E36" s="2" t="inlineStr"/>
      <c r="F36" s="2" t="inlineStr"/>
      <c r="G36" s="4" t="inlineStr">
        <is>
          <t>김준석</t>
        </is>
      </c>
      <c r="H36" s="4" t="inlineStr">
        <is>
          <t>최대주주</t>
        </is>
      </c>
      <c r="I36" s="4" t="inlineStr">
        <is>
          <t>특별관계인 퇴직으로 인한 변동</t>
        </is>
      </c>
      <c r="J36" s="7" t="inlineStr"/>
      <c r="K36" s="7" t="inlineStr"/>
      <c r="L36" s="7" t="inlineStr"/>
      <c r="M36" s="7" t="n">
        <v>2542975</v>
      </c>
      <c r="N36" s="16" t="n">
        <v>19.26</v>
      </c>
      <c r="O36" s="7" t="n">
        <v>2508475</v>
      </c>
      <c r="P36" s="16" t="n">
        <v>18.9</v>
      </c>
      <c r="Q36" s="2" t="inlineStr">
        <is>
          <t>20210128000465</t>
        </is>
      </c>
      <c r="R36" s="3">
        <f>HYPERLINK("https://dart.fss.or.kr/dsaf001/main.do?rcpNo=20210128000465", "공시열람")</f>
        <v/>
      </c>
    </row>
    <row r="37">
      <c r="A37" s="2" t="inlineStr">
        <is>
          <t>2021-01-08</t>
        </is>
      </c>
      <c r="B37" s="4" t="inlineStr">
        <is>
          <t>에이디테크놀로지</t>
        </is>
      </c>
      <c r="C37" s="2" t="inlineStr">
        <is>
          <t>200710</t>
        </is>
      </c>
      <c r="D37" s="2" t="inlineStr">
        <is>
          <t>임원보고</t>
        </is>
      </c>
      <c r="E37" s="2" t="inlineStr">
        <is>
          <t>2020-12-31</t>
        </is>
      </c>
      <c r="F37" s="2" t="inlineStr">
        <is>
          <t>2020-12-31</t>
        </is>
      </c>
      <c r="G37" s="4" t="inlineStr">
        <is>
          <t>강종민</t>
        </is>
      </c>
      <c r="H37" s="4" t="inlineStr">
        <is>
          <t>비등기임원 상무</t>
        </is>
      </c>
      <c r="I37" s="4" t="inlineStr">
        <is>
          <t>임원퇴임(-)</t>
        </is>
      </c>
      <c r="J37" s="17" t="n">
        <v>-41800</v>
      </c>
      <c r="K37" s="7" t="inlineStr"/>
      <c r="L37" s="7" t="inlineStr"/>
      <c r="M37" s="7" t="inlineStr"/>
      <c r="N37" s="15" t="inlineStr"/>
      <c r="O37" s="7" t="inlineStr"/>
      <c r="P37" s="15" t="inlineStr"/>
      <c r="Q37" s="2" t="inlineStr">
        <is>
          <t>20210108000811</t>
        </is>
      </c>
      <c r="R37" s="3">
        <f>HYPERLINK("https://dart.fss.or.kr/dsaf001/main.do?rcpNo=20210108000811", "공시열람")</f>
        <v/>
      </c>
    </row>
    <row r="38">
      <c r="A38" s="2" t="inlineStr">
        <is>
          <t>2021-01-08</t>
        </is>
      </c>
      <c r="B38" s="4" t="inlineStr">
        <is>
          <t>에이디테크놀로지</t>
        </is>
      </c>
      <c r="C38" s="2" t="inlineStr">
        <is>
          <t>200710</t>
        </is>
      </c>
      <c r="D38" s="2" t="inlineStr">
        <is>
          <t>임원보고</t>
        </is>
      </c>
      <c r="E38" s="2" t="inlineStr">
        <is>
          <t>2020-01-08</t>
        </is>
      </c>
      <c r="F38" s="2" t="inlineStr">
        <is>
          <t>2020-01-08</t>
        </is>
      </c>
      <c r="G38" s="4" t="inlineStr">
        <is>
          <t>이현석</t>
        </is>
      </c>
      <c r="H38" s="4" t="inlineStr">
        <is>
          <t>비등기임원 CTO</t>
        </is>
      </c>
      <c r="I38" s="4" t="inlineStr">
        <is>
          <t>임원퇴임(-)</t>
        </is>
      </c>
      <c r="J38" s="17" t="n">
        <v>-10600</v>
      </c>
      <c r="K38" s="7" t="n">
        <v>17884</v>
      </c>
      <c r="L38" s="17" t="n">
        <v>-189570400</v>
      </c>
      <c r="M38" s="7" t="inlineStr"/>
      <c r="N38" s="15" t="inlineStr"/>
      <c r="O38" s="7" t="inlineStr"/>
      <c r="P38" s="15" t="inlineStr"/>
      <c r="Q38" s="2" t="inlineStr">
        <is>
          <t>20210108000844</t>
        </is>
      </c>
      <c r="R38" s="3">
        <f>HYPERLINK("https://dart.fss.or.kr/dsaf001/main.do?rcpNo=20210108000844", "공시열람")</f>
        <v/>
      </c>
    </row>
    <row r="39">
      <c r="A39" s="2" t="inlineStr">
        <is>
          <t>2021-01-08</t>
        </is>
      </c>
      <c r="B39" s="4" t="inlineStr">
        <is>
          <t>에이디테크놀로지</t>
        </is>
      </c>
      <c r="C39" s="2" t="inlineStr">
        <is>
          <t>200710</t>
        </is>
      </c>
      <c r="D39" s="2" t="inlineStr">
        <is>
          <t>임원보고</t>
        </is>
      </c>
      <c r="E39" s="2" t="inlineStr">
        <is>
          <t>2021-01-08</t>
        </is>
      </c>
      <c r="F39" s="2" t="inlineStr">
        <is>
          <t>2021-01-08</t>
        </is>
      </c>
      <c r="G39" s="4" t="inlineStr">
        <is>
          <t>이강렬</t>
        </is>
      </c>
      <c r="H39" s="4" t="inlineStr">
        <is>
          <t>등기임원 상무</t>
        </is>
      </c>
      <c r="I39" s="4" t="inlineStr">
        <is>
          <t>임원퇴임(-)</t>
        </is>
      </c>
      <c r="J39" s="17" t="n">
        <v>-24500</v>
      </c>
      <c r="K39" s="7" t="n">
        <v>30050</v>
      </c>
      <c r="L39" s="17" t="n">
        <v>-736225000</v>
      </c>
      <c r="M39" s="7" t="inlineStr"/>
      <c r="N39" s="15" t="inlineStr"/>
      <c r="O39" s="7" t="inlineStr"/>
      <c r="P39" s="15" t="inlineStr"/>
      <c r="Q39" s="2" t="inlineStr">
        <is>
          <t>20210108000861</t>
        </is>
      </c>
      <c r="R39" s="3">
        <f>HYPERLINK("https://dart.fss.or.kr/dsaf001/main.do?rcpNo=20210108000861", "공시열람")</f>
        <v/>
      </c>
    </row>
    <row r="40">
      <c r="A40" s="2" t="inlineStr">
        <is>
          <t>2021-01-08</t>
        </is>
      </c>
      <c r="B40" s="4" t="inlineStr">
        <is>
          <t>에이디테크놀로지</t>
        </is>
      </c>
      <c r="C40" s="2" t="inlineStr">
        <is>
          <t>200710</t>
        </is>
      </c>
      <c r="D40" s="2" t="inlineStr">
        <is>
          <t>대량보유</t>
        </is>
      </c>
      <c r="E40" s="2" t="inlineStr"/>
      <c r="F40" s="2" t="inlineStr"/>
      <c r="G40" s="4" t="inlineStr">
        <is>
          <t>김준석</t>
        </is>
      </c>
      <c r="H40" s="4" t="inlineStr">
        <is>
          <t>최대주주</t>
        </is>
      </c>
      <c r="I40" s="4" t="inlineStr">
        <is>
          <t>특별관계인 퇴직으로 인한 변동</t>
        </is>
      </c>
      <c r="J40" s="7" t="inlineStr"/>
      <c r="K40" s="7" t="inlineStr"/>
      <c r="L40" s="7" t="inlineStr"/>
      <c r="M40" s="7" t="n">
        <v>2542975</v>
      </c>
      <c r="N40" s="16" t="n">
        <v>19.26</v>
      </c>
      <c r="O40" s="7" t="n">
        <v>2508475</v>
      </c>
      <c r="P40" s="16" t="n">
        <v>18.9</v>
      </c>
      <c r="Q40" s="2" t="inlineStr">
        <is>
          <t>20210108000870</t>
        </is>
      </c>
      <c r="R40" s="3">
        <f>HYPERLINK("https://dart.fss.or.kr/dsaf001/main.do?rcpNo=20210108000870", "공시열람")</f>
        <v/>
      </c>
    </row>
    <row r="41">
      <c r="A41" s="2" t="inlineStr">
        <is>
          <t>2020-10-07</t>
        </is>
      </c>
      <c r="B41" s="4" t="inlineStr">
        <is>
          <t>에이디테크놀로지</t>
        </is>
      </c>
      <c r="C41" s="2" t="inlineStr">
        <is>
          <t>200710</t>
        </is>
      </c>
      <c r="D41" s="2" t="inlineStr">
        <is>
          <t>임원보고</t>
        </is>
      </c>
      <c r="E41" s="2" t="inlineStr">
        <is>
          <t>2020-09-28</t>
        </is>
      </c>
      <c r="F41" s="2" t="inlineStr">
        <is>
          <t>2020-09-28</t>
        </is>
      </c>
      <c r="G41" s="4" t="inlineStr">
        <is>
          <t>김준석</t>
        </is>
      </c>
      <c r="H41" s="4" t="inlineStr">
        <is>
          <t>등기임원 대표이사, 10%이상주주</t>
        </is>
      </c>
      <c r="I41" s="4" t="inlineStr">
        <is>
          <t>CB인수(+)</t>
        </is>
      </c>
      <c r="J41" s="14" t="n">
        <v>185839</v>
      </c>
      <c r="K41" s="7" t="n">
        <v>16143</v>
      </c>
      <c r="L41" s="14" t="n">
        <v>2999998977</v>
      </c>
      <c r="M41" s="7" t="inlineStr"/>
      <c r="N41" s="15" t="inlineStr"/>
      <c r="O41" s="7" t="n">
        <v>2387975</v>
      </c>
      <c r="P41" s="16" t="n">
        <v>18.09</v>
      </c>
      <c r="Q41" s="2" t="inlineStr">
        <is>
          <t>20201007000109</t>
        </is>
      </c>
      <c r="R41" s="3">
        <f>HYPERLINK("https://dart.fss.or.kr/dsaf001/main.do?rcpNo=20201007000109", "공시열람")</f>
        <v/>
      </c>
    </row>
    <row r="42">
      <c r="A42" s="2" t="inlineStr">
        <is>
          <t>2020-10-07</t>
        </is>
      </c>
      <c r="B42" s="4" t="inlineStr">
        <is>
          <t>에이디테크놀로지</t>
        </is>
      </c>
      <c r="C42" s="2" t="inlineStr">
        <is>
          <t>200710</t>
        </is>
      </c>
      <c r="D42" s="2" t="inlineStr">
        <is>
          <t>대량보유</t>
        </is>
      </c>
      <c r="E42" s="2" t="inlineStr"/>
      <c r="F42" s="2" t="inlineStr"/>
      <c r="G42" s="4" t="inlineStr">
        <is>
          <t>김준석</t>
        </is>
      </c>
      <c r="H42" s="4" t="inlineStr">
        <is>
          <t>최대주주</t>
        </is>
      </c>
      <c r="I42" s="4" t="inlineStr">
        <is>
          <t>전환사채권 취득 및 전환청구권 행사</t>
        </is>
      </c>
      <c r="J42" s="7" t="inlineStr"/>
      <c r="K42" s="7" t="inlineStr"/>
      <c r="L42" s="7" t="inlineStr"/>
      <c r="M42" s="7" t="n">
        <v>2365136</v>
      </c>
      <c r="N42" s="16" t="n">
        <v>18.96</v>
      </c>
      <c r="O42" s="7" t="n">
        <v>2542975</v>
      </c>
      <c r="P42" s="16" t="n">
        <v>19.26</v>
      </c>
      <c r="Q42" s="2" t="inlineStr">
        <is>
          <t>20201007000104</t>
        </is>
      </c>
      <c r="R42" s="3">
        <f>HYPERLINK("https://dart.fss.or.kr/dsaf001/main.do?rcpNo=20201007000104", "공시열람")</f>
        <v/>
      </c>
    </row>
    <row r="43">
      <c r="A43" s="2" t="inlineStr">
        <is>
          <t>2020-10-07</t>
        </is>
      </c>
      <c r="B43" s="4" t="inlineStr">
        <is>
          <t>에이디테크놀로지</t>
        </is>
      </c>
      <c r="C43" s="2" t="inlineStr">
        <is>
          <t>200710</t>
        </is>
      </c>
      <c r="D43" s="2" t="inlineStr">
        <is>
          <t>임원보고</t>
        </is>
      </c>
      <c r="E43" s="2" t="inlineStr">
        <is>
          <t>2020-10-05</t>
        </is>
      </c>
      <c r="F43" s="2" t="inlineStr">
        <is>
          <t>2020-10-05</t>
        </is>
      </c>
      <c r="G43" s="4" t="inlineStr">
        <is>
          <t>김준석</t>
        </is>
      </c>
      <c r="H43" s="4" t="inlineStr">
        <is>
          <t>등기임원 대표이사, 10%이상주주</t>
        </is>
      </c>
      <c r="I43" s="4" t="inlineStr">
        <is>
          <t>전환사채의권리행사(+)</t>
        </is>
      </c>
      <c r="J43" s="14" t="n">
        <v>185839</v>
      </c>
      <c r="K43" s="7" t="n">
        <v>24900</v>
      </c>
      <c r="L43" s="14" t="n">
        <v>4627391100</v>
      </c>
      <c r="M43" s="7" t="inlineStr"/>
      <c r="N43" s="15" t="inlineStr"/>
      <c r="O43" s="7" t="n">
        <v>2387975</v>
      </c>
      <c r="P43" s="16" t="n">
        <v>18.09</v>
      </c>
      <c r="Q43" s="2" t="inlineStr">
        <is>
          <t>20201007000109</t>
        </is>
      </c>
      <c r="R43" s="3">
        <f>HYPERLINK("https://dart.fss.or.kr/dsaf001/main.do?rcpNo=20201007000109", "공시열람")</f>
        <v/>
      </c>
    </row>
    <row r="44">
      <c r="A44" s="2" t="inlineStr">
        <is>
          <t>2020-10-07</t>
        </is>
      </c>
      <c r="B44" s="4" t="inlineStr">
        <is>
          <t>에이디테크놀로지</t>
        </is>
      </c>
      <c r="C44" s="2" t="inlineStr">
        <is>
          <t>200710</t>
        </is>
      </c>
      <c r="D44" s="2" t="inlineStr">
        <is>
          <t>임원보고</t>
        </is>
      </c>
      <c r="E44" s="2" t="inlineStr">
        <is>
          <t>2020-09-29</t>
        </is>
      </c>
      <c r="F44" s="2" t="inlineStr">
        <is>
          <t>2020-09-29</t>
        </is>
      </c>
      <c r="G44" s="4" t="inlineStr">
        <is>
          <t>김준석</t>
        </is>
      </c>
      <c r="H44" s="4" t="inlineStr">
        <is>
          <t>등기임원 대표이사, 10%이상주주</t>
        </is>
      </c>
      <c r="I44" s="4" t="inlineStr">
        <is>
          <t>전환등(-)</t>
        </is>
      </c>
      <c r="J44" s="17" t="n">
        <v>-185839</v>
      </c>
      <c r="K44" s="7" t="n">
        <v>25000</v>
      </c>
      <c r="L44" s="17" t="n">
        <v>-4645975000</v>
      </c>
      <c r="M44" s="7" t="inlineStr"/>
      <c r="N44" s="15" t="inlineStr"/>
      <c r="O44" s="7" t="n">
        <v>2202136</v>
      </c>
      <c r="P44" s="16" t="n">
        <v>18.09</v>
      </c>
      <c r="Q44" s="2" t="inlineStr">
        <is>
          <t>20201007000109</t>
        </is>
      </c>
      <c r="R44" s="3">
        <f>HYPERLINK("https://dart.fss.or.kr/dsaf001/main.do?rcpNo=20201007000109", "공시열람")</f>
        <v/>
      </c>
    </row>
    <row r="45">
      <c r="A45" s="2" t="inlineStr">
        <is>
          <t>2020-07-28</t>
        </is>
      </c>
      <c r="B45" s="4" t="inlineStr">
        <is>
          <t>에이디테크놀로지</t>
        </is>
      </c>
      <c r="C45" s="2" t="inlineStr">
        <is>
          <t>200710</t>
        </is>
      </c>
      <c r="D45" s="2" t="inlineStr">
        <is>
          <t>임원보고</t>
        </is>
      </c>
      <c r="E45" s="2" t="inlineStr">
        <is>
          <t>2020-07-24</t>
        </is>
      </c>
      <c r="F45" s="2" t="inlineStr">
        <is>
          <t>2020-07-24</t>
        </is>
      </c>
      <c r="G45" s="4" t="inlineStr">
        <is>
          <t>문갑주</t>
        </is>
      </c>
      <c r="H45" s="4" t="inlineStr">
        <is>
          <t>등기임원 전무</t>
        </is>
      </c>
      <c r="I45" s="4" t="inlineStr">
        <is>
          <t>장내매도(-)</t>
        </is>
      </c>
      <c r="J45" s="17" t="n">
        <v>-8000</v>
      </c>
      <c r="K45" s="7" t="n">
        <v>28962</v>
      </c>
      <c r="L45" s="17" t="n">
        <v>-231696000</v>
      </c>
      <c r="M45" s="7" t="inlineStr"/>
      <c r="N45" s="15" t="inlineStr"/>
      <c r="O45" s="7" t="n">
        <v>20500</v>
      </c>
      <c r="P45" s="16" t="n">
        <v>0.16</v>
      </c>
      <c r="Q45" s="2" t="inlineStr">
        <is>
          <t>20200728000137</t>
        </is>
      </c>
      <c r="R45" s="3">
        <f>HYPERLINK("https://dart.fss.or.kr/dsaf001/main.do?rcpNo=20200728000137", "공시열람")</f>
        <v/>
      </c>
    </row>
    <row r="46">
      <c r="A46" s="2" t="inlineStr">
        <is>
          <t>2020-07-22</t>
        </is>
      </c>
      <c r="B46" s="4" t="inlineStr">
        <is>
          <t>에이디테크놀로지</t>
        </is>
      </c>
      <c r="C46" s="2" t="inlineStr">
        <is>
          <t>200710</t>
        </is>
      </c>
      <c r="D46" s="2" t="inlineStr">
        <is>
          <t>대량보유</t>
        </is>
      </c>
      <c r="E46" s="2" t="inlineStr"/>
      <c r="F46" s="2" t="inlineStr"/>
      <c r="G46" s="4" t="inlineStr">
        <is>
          <t>김준석</t>
        </is>
      </c>
      <c r="H46" s="4" t="inlineStr">
        <is>
          <t>최대주주</t>
        </is>
      </c>
      <c r="I46" s="4" t="inlineStr">
        <is>
          <t>지분변동</t>
        </is>
      </c>
      <c r="J46" s="7" t="inlineStr"/>
      <c r="K46" s="7" t="inlineStr"/>
      <c r="L46" s="7" t="inlineStr"/>
      <c r="M46" s="7" t="n">
        <v>2365136</v>
      </c>
      <c r="N46" s="16" t="n">
        <v>25.51</v>
      </c>
      <c r="O46" s="7" t="n">
        <v>2365136</v>
      </c>
      <c r="P46" s="16" t="n">
        <v>18.96</v>
      </c>
      <c r="Q46" s="2" t="inlineStr">
        <is>
          <t>20200722000230</t>
        </is>
      </c>
      <c r="R46" s="3">
        <f>HYPERLINK("https://dart.fss.or.kr/dsaf001/main.do?rcpNo=20200722000230", "공시열람")</f>
        <v/>
      </c>
    </row>
    <row r="47">
      <c r="A47" s="2" t="inlineStr">
        <is>
          <t>2020-07-22</t>
        </is>
      </c>
      <c r="B47" s="4" t="inlineStr">
        <is>
          <t>에이디테크놀로지</t>
        </is>
      </c>
      <c r="C47" s="2" t="inlineStr">
        <is>
          <t>200710</t>
        </is>
      </c>
      <c r="D47" s="2" t="inlineStr">
        <is>
          <t>임원보고</t>
        </is>
      </c>
      <c r="E47" s="2" t="inlineStr">
        <is>
          <t>2020-07-15</t>
        </is>
      </c>
      <c r="F47" s="2" t="inlineStr">
        <is>
          <t>2020-07-15</t>
        </is>
      </c>
      <c r="G47" s="4" t="inlineStr">
        <is>
          <t>김준석</t>
        </is>
      </c>
      <c r="H47" s="4" t="inlineStr">
        <is>
          <t>등기임원 대표이사, 10%이상주주</t>
        </is>
      </c>
      <c r="I47" s="4" t="inlineStr">
        <is>
          <t>유상신주취득(+)</t>
        </is>
      </c>
      <c r="J47" s="14" t="n">
        <v>328505</v>
      </c>
      <c r="K47" s="7" t="n">
        <v>21050</v>
      </c>
      <c r="L47" s="14" t="n">
        <v>6915030250</v>
      </c>
      <c r="M47" s="7" t="inlineStr"/>
      <c r="N47" s="15" t="inlineStr"/>
      <c r="O47" s="7" t="n">
        <v>2202136</v>
      </c>
      <c r="P47" s="16" t="n">
        <v>17.66</v>
      </c>
      <c r="Q47" s="2" t="inlineStr">
        <is>
          <t>20200722000240</t>
        </is>
      </c>
      <c r="R47" s="3">
        <f>HYPERLINK("https://dart.fss.or.kr/dsaf001/main.do?rcpNo=20200722000240", "공시열람")</f>
        <v/>
      </c>
    </row>
    <row r="48">
      <c r="A48" s="2" t="inlineStr">
        <is>
          <t>2020-07-22</t>
        </is>
      </c>
      <c r="B48" s="4" t="inlineStr">
        <is>
          <t>에이디테크놀로지</t>
        </is>
      </c>
      <c r="C48" s="2" t="inlineStr">
        <is>
          <t>200710</t>
        </is>
      </c>
      <c r="D48" s="2" t="inlineStr">
        <is>
          <t>임원보고</t>
        </is>
      </c>
      <c r="E48" s="2" t="inlineStr">
        <is>
          <t>2020-07-15</t>
        </is>
      </c>
      <c r="F48" s="2" t="inlineStr">
        <is>
          <t>2020-07-15</t>
        </is>
      </c>
      <c r="G48" s="4" t="inlineStr">
        <is>
          <t>김준석</t>
        </is>
      </c>
      <c r="H48" s="4" t="inlineStr">
        <is>
          <t>등기임원 대표이사, 10%이상주주</t>
        </is>
      </c>
      <c r="I48" s="4" t="inlineStr">
        <is>
          <t>기타(-)</t>
        </is>
      </c>
      <c r="J48" s="17" t="n">
        <v>-328505</v>
      </c>
      <c r="K48" s="7" t="n">
        <v>28300</v>
      </c>
      <c r="L48" s="17" t="n">
        <v>-9296691500</v>
      </c>
      <c r="M48" s="7" t="inlineStr"/>
      <c r="N48" s="15" t="inlineStr"/>
      <c r="O48" s="7" t="n">
        <v>1873631</v>
      </c>
      <c r="P48" s="16" t="n">
        <v>17.66</v>
      </c>
      <c r="Q48" s="2" t="inlineStr">
        <is>
          <t>20200722000240</t>
        </is>
      </c>
      <c r="R48" s="3">
        <f>HYPERLINK("https://dart.fss.or.kr/dsaf001/main.do?rcpNo=20200722000240", "공시열람")</f>
        <v/>
      </c>
    </row>
    <row r="49">
      <c r="A49" s="2" t="inlineStr">
        <is>
          <t>2020-07-22</t>
        </is>
      </c>
      <c r="B49" s="4" t="inlineStr">
        <is>
          <t>에이디테크놀로지</t>
        </is>
      </c>
      <c r="C49" s="2" t="inlineStr">
        <is>
          <t>200710</t>
        </is>
      </c>
      <c r="D49" s="2" t="inlineStr">
        <is>
          <t>임원보고</t>
        </is>
      </c>
      <c r="E49" s="2" t="inlineStr">
        <is>
          <t>2020-07-15</t>
        </is>
      </c>
      <c r="F49" s="2" t="inlineStr">
        <is>
          <t>2020-07-15</t>
        </is>
      </c>
      <c r="G49" s="4" t="inlineStr">
        <is>
          <t>박영선</t>
        </is>
      </c>
      <c r="H49" s="4" t="inlineStr">
        <is>
          <t>비등기임원 상무</t>
        </is>
      </c>
      <c r="I49" s="4" t="inlineStr">
        <is>
          <t>유상신주취득(+)</t>
        </is>
      </c>
      <c r="J49" s="14" t="n">
        <v>1470</v>
      </c>
      <c r="K49" s="7" t="n">
        <v>21050</v>
      </c>
      <c r="L49" s="14" t="n">
        <v>30943500</v>
      </c>
      <c r="M49" s="7" t="inlineStr"/>
      <c r="N49" s="15" t="inlineStr"/>
      <c r="O49" s="7" t="n">
        <v>5470</v>
      </c>
      <c r="P49" s="16" t="n">
        <v>0.04</v>
      </c>
      <c r="Q49" s="2" t="inlineStr">
        <is>
          <t>20200722000243</t>
        </is>
      </c>
      <c r="R49" s="3">
        <f>HYPERLINK("https://dart.fss.or.kr/dsaf001/main.do?rcpNo=20200722000243", "공시열람")</f>
        <v/>
      </c>
    </row>
    <row r="50">
      <c r="A50" s="2" t="inlineStr">
        <is>
          <t>2020-07-22</t>
        </is>
      </c>
      <c r="B50" s="4" t="inlineStr">
        <is>
          <t>에이디테크놀로지</t>
        </is>
      </c>
      <c r="C50" s="2" t="inlineStr">
        <is>
          <t>200710</t>
        </is>
      </c>
      <c r="D50" s="2" t="inlineStr">
        <is>
          <t>임원보고</t>
        </is>
      </c>
      <c r="E50" s="2" t="inlineStr">
        <is>
          <t>2020-07-15</t>
        </is>
      </c>
      <c r="F50" s="2" t="inlineStr">
        <is>
          <t>2020-07-15</t>
        </is>
      </c>
      <c r="G50" s="4" t="inlineStr">
        <is>
          <t>박영선</t>
        </is>
      </c>
      <c r="H50" s="4" t="inlineStr">
        <is>
          <t>비등기임원 상무</t>
        </is>
      </c>
      <c r="I50" s="4" t="inlineStr">
        <is>
          <t>기타(-)</t>
        </is>
      </c>
      <c r="J50" s="17" t="n">
        <v>-1470</v>
      </c>
      <c r="K50" s="7" t="n">
        <v>28300</v>
      </c>
      <c r="L50" s="17" t="n">
        <v>-41601000</v>
      </c>
      <c r="M50" s="7" t="inlineStr"/>
      <c r="N50" s="15" t="inlineStr"/>
      <c r="O50" s="7" t="n">
        <v>4000</v>
      </c>
      <c r="P50" s="16" t="n">
        <v>0.04</v>
      </c>
      <c r="Q50" s="2" t="inlineStr">
        <is>
          <t>20200722000243</t>
        </is>
      </c>
      <c r="R50" s="3">
        <f>HYPERLINK("https://dart.fss.or.kr/dsaf001/main.do?rcpNo=20200722000243", "공시열람")</f>
        <v/>
      </c>
    </row>
    <row r="51">
      <c r="A51" s="2" t="inlineStr">
        <is>
          <t>2020-07-22</t>
        </is>
      </c>
      <c r="B51" s="4" t="inlineStr">
        <is>
          <t>에이디테크놀로지</t>
        </is>
      </c>
      <c r="C51" s="2" t="inlineStr">
        <is>
          <t>200710</t>
        </is>
      </c>
      <c r="D51" s="2" t="inlineStr">
        <is>
          <t>임원보고</t>
        </is>
      </c>
      <c r="E51" s="2" t="inlineStr">
        <is>
          <t>2020-07-15</t>
        </is>
      </c>
      <c r="F51" s="2" t="inlineStr">
        <is>
          <t>2020-07-15</t>
        </is>
      </c>
      <c r="G51" s="4" t="inlineStr">
        <is>
          <t>박영선</t>
        </is>
      </c>
      <c r="H51" s="4" t="inlineStr">
        <is>
          <t>비등기임원 상무</t>
        </is>
      </c>
      <c r="I51" s="4" t="inlineStr">
        <is>
          <t>기타(+)</t>
        </is>
      </c>
      <c r="J51" s="14" t="n">
        <v>68</v>
      </c>
      <c r="K51" s="7" t="n">
        <v>28300</v>
      </c>
      <c r="L51" s="14" t="n">
        <v>1924400</v>
      </c>
      <c r="M51" s="7" t="inlineStr"/>
      <c r="N51" s="15" t="inlineStr"/>
      <c r="O51" s="7" t="n">
        <v>5470</v>
      </c>
      <c r="P51" s="16" t="n">
        <v>0.04</v>
      </c>
      <c r="Q51" s="2" t="inlineStr">
        <is>
          <t>20200722000243</t>
        </is>
      </c>
      <c r="R51" s="3">
        <f>HYPERLINK("https://dart.fss.or.kr/dsaf001/main.do?rcpNo=20200722000243", "공시열람")</f>
        <v/>
      </c>
    </row>
    <row r="52">
      <c r="A52" s="2" t="inlineStr">
        <is>
          <t>2020-07-22</t>
        </is>
      </c>
      <c r="B52" s="4" t="inlineStr">
        <is>
          <t>에이디테크놀로지</t>
        </is>
      </c>
      <c r="C52" s="2" t="inlineStr">
        <is>
          <t>200710</t>
        </is>
      </c>
      <c r="D52" s="2" t="inlineStr">
        <is>
          <t>임원보고</t>
        </is>
      </c>
      <c r="E52" s="2" t="inlineStr">
        <is>
          <t>2020-07-15</t>
        </is>
      </c>
      <c r="F52" s="2" t="inlineStr">
        <is>
          <t>2020-07-15</t>
        </is>
      </c>
      <c r="G52" s="4" t="inlineStr">
        <is>
          <t>이강렬</t>
        </is>
      </c>
      <c r="H52" s="4" t="inlineStr">
        <is>
          <t>등기임원 상무</t>
        </is>
      </c>
      <c r="I52" s="4" t="inlineStr">
        <is>
          <t>유상신주취득(+)</t>
        </is>
      </c>
      <c r="J52" s="14" t="n">
        <v>4500</v>
      </c>
      <c r="K52" s="7" t="n">
        <v>21050</v>
      </c>
      <c r="L52" s="14" t="n">
        <v>94725000</v>
      </c>
      <c r="M52" s="7" t="inlineStr"/>
      <c r="N52" s="15" t="inlineStr"/>
      <c r="O52" s="7" t="n">
        <v>24500</v>
      </c>
      <c r="P52" s="16" t="n">
        <v>0.19</v>
      </c>
      <c r="Q52" s="2" t="inlineStr">
        <is>
          <t>20200722000251</t>
        </is>
      </c>
      <c r="R52" s="3">
        <f>HYPERLINK("https://dart.fss.or.kr/dsaf001/main.do?rcpNo=20200722000251", "공시열람")</f>
        <v/>
      </c>
    </row>
    <row r="53">
      <c r="A53" s="2" t="inlineStr">
        <is>
          <t>2020-07-22</t>
        </is>
      </c>
      <c r="B53" s="4" t="inlineStr">
        <is>
          <t>에이디테크놀로지</t>
        </is>
      </c>
      <c r="C53" s="2" t="inlineStr">
        <is>
          <t>200710</t>
        </is>
      </c>
      <c r="D53" s="2" t="inlineStr">
        <is>
          <t>임원보고</t>
        </is>
      </c>
      <c r="E53" s="2" t="inlineStr">
        <is>
          <t>2020-07-15</t>
        </is>
      </c>
      <c r="F53" s="2" t="inlineStr">
        <is>
          <t>2020-07-15</t>
        </is>
      </c>
      <c r="G53" s="4" t="inlineStr">
        <is>
          <t>이강렬</t>
        </is>
      </c>
      <c r="H53" s="4" t="inlineStr">
        <is>
          <t>등기임원 상무</t>
        </is>
      </c>
      <c r="I53" s="4" t="inlineStr">
        <is>
          <t>기타(-)</t>
        </is>
      </c>
      <c r="J53" s="17" t="n">
        <v>-4500</v>
      </c>
      <c r="K53" s="7" t="n">
        <v>28300</v>
      </c>
      <c r="L53" s="17" t="n">
        <v>-127350000</v>
      </c>
      <c r="M53" s="7" t="inlineStr"/>
      <c r="N53" s="15" t="inlineStr"/>
      <c r="O53" s="7" t="n">
        <v>20000</v>
      </c>
      <c r="P53" s="16" t="n">
        <v>0.19</v>
      </c>
      <c r="Q53" s="2" t="inlineStr">
        <is>
          <t>20200722000251</t>
        </is>
      </c>
      <c r="R53" s="3">
        <f>HYPERLINK("https://dart.fss.or.kr/dsaf001/main.do?rcpNo=20200722000251", "공시열람")</f>
        <v/>
      </c>
    </row>
    <row r="54">
      <c r="A54" s="2" t="inlineStr">
        <is>
          <t>2020-07-22</t>
        </is>
      </c>
      <c r="B54" s="4" t="inlineStr">
        <is>
          <t>에이디테크놀로지</t>
        </is>
      </c>
      <c r="C54" s="2" t="inlineStr">
        <is>
          <t>200710</t>
        </is>
      </c>
      <c r="D54" s="2" t="inlineStr">
        <is>
          <t>임원보고</t>
        </is>
      </c>
      <c r="E54" s="2" t="inlineStr">
        <is>
          <t>2020-07-15</t>
        </is>
      </c>
      <c r="F54" s="2" t="inlineStr">
        <is>
          <t>2020-07-15</t>
        </is>
      </c>
      <c r="G54" s="4" t="inlineStr">
        <is>
          <t>이은주</t>
        </is>
      </c>
      <c r="H54" s="4" t="inlineStr">
        <is>
          <t>비등기임원 상무</t>
        </is>
      </c>
      <c r="I54" s="4" t="inlineStr">
        <is>
          <t>유상신주취득(+)</t>
        </is>
      </c>
      <c r="J54" s="14" t="n">
        <v>8044</v>
      </c>
      <c r="K54" s="7" t="n">
        <v>21050</v>
      </c>
      <c r="L54" s="14" t="n">
        <v>169326200</v>
      </c>
      <c r="M54" s="7" t="inlineStr"/>
      <c r="N54" s="15" t="inlineStr"/>
      <c r="O54" s="7" t="n">
        <v>30984</v>
      </c>
      <c r="P54" s="16" t="n">
        <v>0.24</v>
      </c>
      <c r="Q54" s="2" t="inlineStr">
        <is>
          <t>20200722000252</t>
        </is>
      </c>
      <c r="R54" s="3">
        <f>HYPERLINK("https://dart.fss.or.kr/dsaf001/main.do?rcpNo=20200722000252", "공시열람")</f>
        <v/>
      </c>
    </row>
    <row r="55">
      <c r="A55" s="2" t="inlineStr">
        <is>
          <t>2020-07-22</t>
        </is>
      </c>
      <c r="B55" s="4" t="inlineStr">
        <is>
          <t>에이디테크놀로지</t>
        </is>
      </c>
      <c r="C55" s="2" t="inlineStr">
        <is>
          <t>200710</t>
        </is>
      </c>
      <c r="D55" s="2" t="inlineStr">
        <is>
          <t>임원보고</t>
        </is>
      </c>
      <c r="E55" s="2" t="inlineStr">
        <is>
          <t>2020-07-15</t>
        </is>
      </c>
      <c r="F55" s="2" t="inlineStr">
        <is>
          <t>2020-07-15</t>
        </is>
      </c>
      <c r="G55" s="4" t="inlineStr">
        <is>
          <t>이은주</t>
        </is>
      </c>
      <c r="H55" s="4" t="inlineStr">
        <is>
          <t>비등기임원 상무</t>
        </is>
      </c>
      <c r="I55" s="4" t="inlineStr">
        <is>
          <t>기타(-)</t>
        </is>
      </c>
      <c r="J55" s="17" t="n">
        <v>-8044</v>
      </c>
      <c r="K55" s="7" t="n">
        <v>28300</v>
      </c>
      <c r="L55" s="17" t="n">
        <v>-227645200</v>
      </c>
      <c r="M55" s="7" t="inlineStr"/>
      <c r="N55" s="15" t="inlineStr"/>
      <c r="O55" s="7" t="n">
        <v>22940</v>
      </c>
      <c r="P55" s="16" t="n">
        <v>0.24</v>
      </c>
      <c r="Q55" s="2" t="inlineStr">
        <is>
          <t>20200722000252</t>
        </is>
      </c>
      <c r="R55" s="3">
        <f>HYPERLINK("https://dart.fss.or.kr/dsaf001/main.do?rcpNo=20200722000252", "공시열람")</f>
        <v/>
      </c>
    </row>
    <row r="56">
      <c r="A56" s="2" t="inlineStr">
        <is>
          <t>2020-07-08</t>
        </is>
      </c>
      <c r="B56" s="4" t="inlineStr">
        <is>
          <t>에이디테크놀로지</t>
        </is>
      </c>
      <c r="C56" s="2" t="inlineStr">
        <is>
          <t>200710</t>
        </is>
      </c>
      <c r="D56" s="2" t="inlineStr">
        <is>
          <t>대량보유</t>
        </is>
      </c>
      <c r="E56" s="2" t="inlineStr"/>
      <c r="F56" s="2" t="inlineStr"/>
      <c r="G56" s="4" t="inlineStr">
        <is>
          <t>김준석</t>
        </is>
      </c>
      <c r="H56" s="4" t="inlineStr">
        <is>
          <t>최대주주</t>
        </is>
      </c>
      <c r="I56" s="4" t="inlineStr">
        <is>
          <t>발행회사의 유상증자에 따라 신주인수권증서 배정 및 일부 매도</t>
        </is>
      </c>
      <c r="J56" s="7" t="inlineStr"/>
      <c r="K56" s="7" t="inlineStr"/>
      <c r="L56" s="7" t="inlineStr"/>
      <c r="M56" s="7" t="n">
        <v>2032131</v>
      </c>
      <c r="N56" s="16" t="n">
        <v>21.68</v>
      </c>
      <c r="O56" s="7" t="n">
        <v>2365136</v>
      </c>
      <c r="P56" s="16" t="n">
        <v>25.51</v>
      </c>
      <c r="Q56" s="2" t="inlineStr">
        <is>
          <t>20200708000327</t>
        </is>
      </c>
      <c r="R56" s="3">
        <f>HYPERLINK("https://dart.fss.or.kr/dsaf001/main.do?rcpNo=20200708000327", "공시열람")</f>
        <v/>
      </c>
    </row>
    <row r="57">
      <c r="A57" s="2" t="inlineStr">
        <is>
          <t>2020-06-23</t>
        </is>
      </c>
      <c r="B57" s="4" t="inlineStr">
        <is>
          <t>에이디테크놀로지</t>
        </is>
      </c>
      <c r="C57" s="2" t="inlineStr">
        <is>
          <t>200710</t>
        </is>
      </c>
      <c r="D57" s="2" t="inlineStr">
        <is>
          <t>임원보고</t>
        </is>
      </c>
      <c r="E57" s="2" t="inlineStr">
        <is>
          <t>2020-06-15</t>
        </is>
      </c>
      <c r="F57" s="2" t="inlineStr">
        <is>
          <t>2020-06-15</t>
        </is>
      </c>
      <c r="G57" s="4" t="inlineStr">
        <is>
          <t>이은주</t>
        </is>
      </c>
      <c r="H57" s="4" t="inlineStr">
        <is>
          <t>비등기임원 상무</t>
        </is>
      </c>
      <c r="I57" s="4" t="inlineStr">
        <is>
          <t>기타(+)</t>
        </is>
      </c>
      <c r="J57" s="14" t="n">
        <v>8044</v>
      </c>
      <c r="K57" s="7" t="n">
        <v>25600</v>
      </c>
      <c r="L57" s="14" t="n">
        <v>205926400</v>
      </c>
      <c r="M57" s="7" t="inlineStr"/>
      <c r="N57" s="15" t="inlineStr"/>
      <c r="O57" s="7" t="n">
        <v>30984</v>
      </c>
      <c r="P57" s="16" t="n">
        <v>0.33</v>
      </c>
      <c r="Q57" s="2" t="inlineStr">
        <is>
          <t>20200623000273</t>
        </is>
      </c>
      <c r="R57" s="3">
        <f>HYPERLINK("https://dart.fss.or.kr/dsaf001/main.do?rcpNo=20200623000273", "공시열람")</f>
        <v/>
      </c>
    </row>
    <row r="58">
      <c r="A58" s="2" t="inlineStr">
        <is>
          <t>2020-06-23</t>
        </is>
      </c>
      <c r="B58" s="4" t="inlineStr">
        <is>
          <t>에이디테크놀로지</t>
        </is>
      </c>
      <c r="C58" s="2" t="inlineStr">
        <is>
          <t>200710</t>
        </is>
      </c>
      <c r="D58" s="2" t="inlineStr">
        <is>
          <t>임원보고</t>
        </is>
      </c>
      <c r="E58" s="2" t="inlineStr">
        <is>
          <t>2020-06-15</t>
        </is>
      </c>
      <c r="F58" s="2" t="inlineStr">
        <is>
          <t>2020-06-15</t>
        </is>
      </c>
      <c r="G58" s="4" t="inlineStr">
        <is>
          <t>박영선</t>
        </is>
      </c>
      <c r="H58" s="4" t="inlineStr">
        <is>
          <t>비등기임원 상무</t>
        </is>
      </c>
      <c r="I58" s="4" t="inlineStr">
        <is>
          <t>기타(+)</t>
        </is>
      </c>
      <c r="J58" s="14" t="n">
        <v>1402</v>
      </c>
      <c r="K58" s="7" t="n">
        <v>25600</v>
      </c>
      <c r="L58" s="14" t="n">
        <v>35891200</v>
      </c>
      <c r="M58" s="7" t="inlineStr"/>
      <c r="N58" s="15" t="inlineStr"/>
      <c r="O58" s="7" t="n">
        <v>5402</v>
      </c>
      <c r="P58" s="16" t="n">
        <v>0.06</v>
      </c>
      <c r="Q58" s="2" t="inlineStr">
        <is>
          <t>20200622000352</t>
        </is>
      </c>
      <c r="R58" s="3">
        <f>HYPERLINK("https://dart.fss.or.kr/dsaf001/main.do?rcpNo=20200622000352", "공시열람")</f>
        <v/>
      </c>
    </row>
    <row r="59">
      <c r="A59" s="2" t="inlineStr">
        <is>
          <t>2020-06-22</t>
        </is>
      </c>
      <c r="B59" s="4" t="inlineStr">
        <is>
          <t>에이디테크놀로지</t>
        </is>
      </c>
      <c r="C59" s="2" t="inlineStr">
        <is>
          <t>200710</t>
        </is>
      </c>
      <c r="D59" s="2" t="inlineStr">
        <is>
          <t>임원보고</t>
        </is>
      </c>
      <c r="E59" s="2" t="inlineStr">
        <is>
          <t>2020-06-15</t>
        </is>
      </c>
      <c r="F59" s="2" t="inlineStr">
        <is>
          <t>2020-06-15</t>
        </is>
      </c>
      <c r="G59" s="4" t="inlineStr">
        <is>
          <t>김준석</t>
        </is>
      </c>
      <c r="H59" s="4" t="inlineStr">
        <is>
          <t>등기임원 대표이사, 10%이상주주</t>
        </is>
      </c>
      <c r="I59" s="4" t="inlineStr">
        <is>
          <t>기타(+)</t>
        </is>
      </c>
      <c r="J59" s="14" t="n">
        <v>657010</v>
      </c>
      <c r="K59" s="7" t="n">
        <v>25600</v>
      </c>
      <c r="L59" s="14" t="n">
        <v>16819456000</v>
      </c>
      <c r="M59" s="7" t="inlineStr"/>
      <c r="N59" s="15" t="inlineStr"/>
      <c r="O59" s="7" t="n">
        <v>2530641</v>
      </c>
      <c r="P59" s="16" t="n">
        <v>23.76</v>
      </c>
      <c r="Q59" s="2" t="inlineStr">
        <is>
          <t>20200622000337</t>
        </is>
      </c>
      <c r="R59" s="3">
        <f>HYPERLINK("https://dart.fss.or.kr/dsaf001/main.do?rcpNo=20200622000337", "공시열람")</f>
        <v/>
      </c>
    </row>
    <row r="60">
      <c r="A60" s="2" t="inlineStr">
        <is>
          <t>2020-06-22</t>
        </is>
      </c>
      <c r="B60" s="4" t="inlineStr">
        <is>
          <t>에이디테크놀로지</t>
        </is>
      </c>
      <c r="C60" s="2" t="inlineStr">
        <is>
          <t>200710</t>
        </is>
      </c>
      <c r="D60" s="2" t="inlineStr">
        <is>
          <t>임원보고</t>
        </is>
      </c>
      <c r="E60" s="2" t="inlineStr">
        <is>
          <t>2020-06-19</t>
        </is>
      </c>
      <c r="F60" s="2" t="inlineStr">
        <is>
          <t>2020-06-19</t>
        </is>
      </c>
      <c r="G60" s="4" t="inlineStr">
        <is>
          <t>김준석</t>
        </is>
      </c>
      <c r="H60" s="4" t="inlineStr">
        <is>
          <t>등기임원 대표이사, 10%이상주주</t>
        </is>
      </c>
      <c r="I60" s="4" t="inlineStr">
        <is>
          <t>기타(-)</t>
        </is>
      </c>
      <c r="J60" s="17" t="n">
        <v>-328505</v>
      </c>
      <c r="K60" s="7" t="n">
        <v>27850</v>
      </c>
      <c r="L60" s="17" t="n">
        <v>-9148864250</v>
      </c>
      <c r="M60" s="7" t="inlineStr"/>
      <c r="N60" s="15" t="inlineStr"/>
      <c r="O60" s="7" t="n">
        <v>2202136</v>
      </c>
      <c r="P60" s="16" t="n">
        <v>23.76</v>
      </c>
      <c r="Q60" s="2" t="inlineStr">
        <is>
          <t>20200622000337</t>
        </is>
      </c>
      <c r="R60" s="3">
        <f>HYPERLINK("https://dart.fss.or.kr/dsaf001/main.do?rcpNo=20200622000337", "공시열람")</f>
        <v/>
      </c>
    </row>
    <row r="61">
      <c r="A61" s="2" t="inlineStr">
        <is>
          <t>2020-06-22</t>
        </is>
      </c>
      <c r="B61" s="4" t="inlineStr">
        <is>
          <t>에이디테크놀로지</t>
        </is>
      </c>
      <c r="C61" s="2" t="inlineStr">
        <is>
          <t>200710</t>
        </is>
      </c>
      <c r="D61" s="2" t="inlineStr">
        <is>
          <t>임원보고</t>
        </is>
      </c>
      <c r="E61" s="2" t="inlineStr">
        <is>
          <t>2020-06-22</t>
        </is>
      </c>
      <c r="F61" s="2" t="inlineStr">
        <is>
          <t>2020-06-22</t>
        </is>
      </c>
      <c r="G61" s="4" t="inlineStr">
        <is>
          <t>문갑주</t>
        </is>
      </c>
      <c r="H61" s="4" t="inlineStr">
        <is>
          <t>등기임원 전무</t>
        </is>
      </c>
      <c r="I61" s="4" t="inlineStr">
        <is>
          <t>장내매도(-)</t>
        </is>
      </c>
      <c r="J61" s="17" t="n">
        <v>-1993</v>
      </c>
      <c r="K61" s="7" t="n">
        <v>4237</v>
      </c>
      <c r="L61" s="17" t="n">
        <v>-8444341</v>
      </c>
      <c r="M61" s="7" t="inlineStr"/>
      <c r="N61" s="15" t="inlineStr"/>
      <c r="O61" s="7" t="n">
        <v>28500</v>
      </c>
      <c r="P61" s="16" t="n">
        <v>0.31</v>
      </c>
      <c r="Q61" s="2" t="inlineStr">
        <is>
          <t>20200622000342</t>
        </is>
      </c>
      <c r="R61" s="3">
        <f>HYPERLINK("https://dart.fss.or.kr/dsaf001/main.do?rcpNo=20200622000342", "공시열람")</f>
        <v/>
      </c>
    </row>
    <row r="62">
      <c r="A62" s="2" t="inlineStr">
        <is>
          <t>2020-06-22</t>
        </is>
      </c>
      <c r="B62" s="4" t="inlineStr">
        <is>
          <t>에이디테크놀로지</t>
        </is>
      </c>
      <c r="C62" s="2" t="inlineStr">
        <is>
          <t>200710</t>
        </is>
      </c>
      <c r="D62" s="2" t="inlineStr">
        <is>
          <t>임원보고</t>
        </is>
      </c>
      <c r="E62" s="2" t="inlineStr">
        <is>
          <t>2020-06-19</t>
        </is>
      </c>
      <c r="F62" s="2" t="inlineStr">
        <is>
          <t>2020-06-19</t>
        </is>
      </c>
      <c r="G62" s="4" t="inlineStr">
        <is>
          <t>문갑주</t>
        </is>
      </c>
      <c r="H62" s="4" t="inlineStr">
        <is>
          <t>등기임원 전무</t>
        </is>
      </c>
      <c r="I62" s="4" t="inlineStr">
        <is>
          <t>기타(-)</t>
        </is>
      </c>
      <c r="J62" s="17" t="n">
        <v>-8000</v>
      </c>
      <c r="K62" s="7" t="n">
        <v>27850</v>
      </c>
      <c r="L62" s="17" t="n">
        <v>-222800000</v>
      </c>
      <c r="M62" s="7" t="inlineStr"/>
      <c r="N62" s="15" t="inlineStr"/>
      <c r="O62" s="7" t="n">
        <v>30493</v>
      </c>
      <c r="P62" s="16" t="n">
        <v>0.31</v>
      </c>
      <c r="Q62" s="2" t="inlineStr">
        <is>
          <t>20200622000342</t>
        </is>
      </c>
      <c r="R62" s="3">
        <f>HYPERLINK("https://dart.fss.or.kr/dsaf001/main.do?rcpNo=20200622000342", "공시열람")</f>
        <v/>
      </c>
    </row>
    <row r="63">
      <c r="A63" s="2" t="inlineStr">
        <is>
          <t>2020-06-22</t>
        </is>
      </c>
      <c r="B63" s="4" t="inlineStr">
        <is>
          <t>에이디테크놀로지</t>
        </is>
      </c>
      <c r="C63" s="2" t="inlineStr">
        <is>
          <t>200710</t>
        </is>
      </c>
      <c r="D63" s="2" t="inlineStr">
        <is>
          <t>임원보고</t>
        </is>
      </c>
      <c r="E63" s="2" t="inlineStr">
        <is>
          <t>2020-06-15</t>
        </is>
      </c>
      <c r="F63" s="2" t="inlineStr">
        <is>
          <t>2020-06-15</t>
        </is>
      </c>
      <c r="G63" s="4" t="inlineStr">
        <is>
          <t>문갑주</t>
        </is>
      </c>
      <c r="H63" s="4" t="inlineStr">
        <is>
          <t>등기임원 전무</t>
        </is>
      </c>
      <c r="I63" s="4" t="inlineStr">
        <is>
          <t>기타(+)</t>
        </is>
      </c>
      <c r="J63" s="14" t="n">
        <v>9993</v>
      </c>
      <c r="K63" s="7" t="n">
        <v>25600</v>
      </c>
      <c r="L63" s="14" t="n">
        <v>255820800</v>
      </c>
      <c r="M63" s="7" t="inlineStr"/>
      <c r="N63" s="15" t="inlineStr"/>
      <c r="O63" s="7" t="n">
        <v>38493</v>
      </c>
      <c r="P63" s="16" t="n">
        <v>0.31</v>
      </c>
      <c r="Q63" s="2" t="inlineStr">
        <is>
          <t>20200622000342</t>
        </is>
      </c>
      <c r="R63" s="3">
        <f>HYPERLINK("https://dart.fss.or.kr/dsaf001/main.do?rcpNo=20200622000342", "공시열람")</f>
        <v/>
      </c>
    </row>
    <row r="64">
      <c r="A64" s="2" t="inlineStr">
        <is>
          <t>2020-06-22</t>
        </is>
      </c>
      <c r="B64" s="4" t="inlineStr">
        <is>
          <t>에이디테크놀로지</t>
        </is>
      </c>
      <c r="C64" s="2" t="inlineStr">
        <is>
          <t>200710</t>
        </is>
      </c>
      <c r="D64" s="2" t="inlineStr">
        <is>
          <t>임원보고</t>
        </is>
      </c>
      <c r="E64" s="2" t="inlineStr">
        <is>
          <t>2020-06-19</t>
        </is>
      </c>
      <c r="F64" s="2" t="inlineStr">
        <is>
          <t>2020-06-19</t>
        </is>
      </c>
      <c r="G64" s="4" t="inlineStr">
        <is>
          <t>이강렬</t>
        </is>
      </c>
      <c r="H64" s="4" t="inlineStr">
        <is>
          <t>등기임원 상무</t>
        </is>
      </c>
      <c r="I64" s="4" t="inlineStr">
        <is>
          <t>기타(-)</t>
        </is>
      </c>
      <c r="J64" s="17" t="n">
        <v>-2513</v>
      </c>
      <c r="K64" s="7" t="n">
        <v>27850</v>
      </c>
      <c r="L64" s="17" t="n">
        <v>-69987050</v>
      </c>
      <c r="M64" s="7" t="inlineStr"/>
      <c r="N64" s="15" t="inlineStr"/>
      <c r="O64" s="7" t="n">
        <v>24500</v>
      </c>
      <c r="P64" s="16" t="n">
        <v>0.26</v>
      </c>
      <c r="Q64" s="2" t="inlineStr">
        <is>
          <t>20200622000344</t>
        </is>
      </c>
      <c r="R64" s="3">
        <f>HYPERLINK("https://dart.fss.or.kr/dsaf001/main.do?rcpNo=20200622000344", "공시열람")</f>
        <v/>
      </c>
    </row>
    <row r="65">
      <c r="A65" s="2" t="inlineStr">
        <is>
          <t>2020-06-22</t>
        </is>
      </c>
      <c r="B65" s="4" t="inlineStr">
        <is>
          <t>에이디테크놀로지</t>
        </is>
      </c>
      <c r="C65" s="2" t="inlineStr">
        <is>
          <t>200710</t>
        </is>
      </c>
      <c r="D65" s="2" t="inlineStr">
        <is>
          <t>임원보고</t>
        </is>
      </c>
      <c r="E65" s="2" t="inlineStr">
        <is>
          <t>2016-11-14</t>
        </is>
      </c>
      <c r="F65" s="2" t="inlineStr">
        <is>
          <t>2016-11-14</t>
        </is>
      </c>
      <c r="G65" s="4" t="inlineStr">
        <is>
          <t>이강렬</t>
        </is>
      </c>
      <c r="H65" s="4" t="inlineStr">
        <is>
          <t>등기임원 상무</t>
        </is>
      </c>
      <c r="I65" s="4" t="inlineStr">
        <is>
          <t>기타(+)</t>
        </is>
      </c>
      <c r="J65" s="14" t="n">
        <v>7013</v>
      </c>
      <c r="K65" s="7" t="n">
        <v>5411</v>
      </c>
      <c r="L65" s="14" t="n">
        <v>37947343</v>
      </c>
      <c r="M65" s="7" t="inlineStr"/>
      <c r="N65" s="15" t="inlineStr"/>
      <c r="O65" s="7" t="n">
        <v>27013</v>
      </c>
      <c r="P65" s="16" t="n">
        <v>0.26</v>
      </c>
      <c r="Q65" s="2" t="inlineStr">
        <is>
          <t>20200622000344</t>
        </is>
      </c>
      <c r="R65" s="3">
        <f>HYPERLINK("https://dart.fss.or.kr/dsaf001/main.do?rcpNo=20200622000344", "공시열람")</f>
        <v/>
      </c>
    </row>
    <row r="66">
      <c r="A66" s="2" t="inlineStr">
        <is>
          <t>2020-06-22</t>
        </is>
      </c>
      <c r="B66" s="4" t="inlineStr">
        <is>
          <t>에이디테크놀로지</t>
        </is>
      </c>
      <c r="C66" s="2" t="inlineStr">
        <is>
          <t>200710</t>
        </is>
      </c>
      <c r="D66" s="2" t="inlineStr">
        <is>
          <t>임원보고</t>
        </is>
      </c>
      <c r="E66" s="2" t="inlineStr">
        <is>
          <t>2020-06-19</t>
        </is>
      </c>
      <c r="F66" s="2" t="inlineStr">
        <is>
          <t>2020-06-19</t>
        </is>
      </c>
      <c r="G66" s="4" t="inlineStr">
        <is>
          <t>이현석</t>
        </is>
      </c>
      <c r="H66" s="4" t="inlineStr">
        <is>
          <t>비등기임원 CTO</t>
        </is>
      </c>
      <c r="I66" s="4" t="inlineStr">
        <is>
          <t>기타(-)</t>
        </is>
      </c>
      <c r="J66" s="17" t="n">
        <v>-3717</v>
      </c>
      <c r="K66" s="7" t="n">
        <v>27850</v>
      </c>
      <c r="L66" s="17" t="n">
        <v>-103518450</v>
      </c>
      <c r="M66" s="7" t="inlineStr"/>
      <c r="N66" s="15" t="inlineStr"/>
      <c r="O66" s="7" t="n">
        <v>10600</v>
      </c>
      <c r="P66" s="16" t="n">
        <v>0.11</v>
      </c>
      <c r="Q66" s="2" t="inlineStr">
        <is>
          <t>20200622000347</t>
        </is>
      </c>
      <c r="R66" s="3">
        <f>HYPERLINK("https://dart.fss.or.kr/dsaf001/main.do?rcpNo=20200622000347", "공시열람")</f>
        <v/>
      </c>
    </row>
    <row r="67">
      <c r="A67" s="2" t="inlineStr">
        <is>
          <t>2020-06-22</t>
        </is>
      </c>
      <c r="B67" s="4" t="inlineStr">
        <is>
          <t>에이디테크놀로지</t>
        </is>
      </c>
      <c r="C67" s="2" t="inlineStr">
        <is>
          <t>200710</t>
        </is>
      </c>
      <c r="D67" s="2" t="inlineStr">
        <is>
          <t>임원보고</t>
        </is>
      </c>
      <c r="E67" s="2" t="inlineStr">
        <is>
          <t>2020-06-15</t>
        </is>
      </c>
      <c r="F67" s="2" t="inlineStr">
        <is>
          <t>2020-06-15</t>
        </is>
      </c>
      <c r="G67" s="4" t="inlineStr">
        <is>
          <t>이현석</t>
        </is>
      </c>
      <c r="H67" s="4" t="inlineStr">
        <is>
          <t>비등기임원 CTO</t>
        </is>
      </c>
      <c r="I67" s="4" t="inlineStr">
        <is>
          <t>기타(+)</t>
        </is>
      </c>
      <c r="J67" s="14" t="n">
        <v>3717</v>
      </c>
      <c r="K67" s="7" t="n">
        <v>25600</v>
      </c>
      <c r="L67" s="14" t="n">
        <v>95155200</v>
      </c>
      <c r="M67" s="7" t="inlineStr"/>
      <c r="N67" s="15" t="inlineStr"/>
      <c r="O67" s="7" t="n">
        <v>14317</v>
      </c>
      <c r="P67" s="16" t="n">
        <v>0.11</v>
      </c>
      <c r="Q67" s="2" t="inlineStr">
        <is>
          <t>20200622000347</t>
        </is>
      </c>
      <c r="R67" s="3">
        <f>HYPERLINK("https://dart.fss.or.kr/dsaf001/main.do?rcpNo=20200622000347", "공시열람")</f>
        <v/>
      </c>
    </row>
    <row r="68">
      <c r="A68" s="2" t="inlineStr">
        <is>
          <t>2020-06-22</t>
        </is>
      </c>
      <c r="B68" s="4" t="inlineStr">
        <is>
          <t>에이디테크놀로지</t>
        </is>
      </c>
      <c r="C68" s="2" t="inlineStr">
        <is>
          <t>200710</t>
        </is>
      </c>
      <c r="D68" s="2" t="inlineStr">
        <is>
          <t>임원보고</t>
        </is>
      </c>
      <c r="E68" s="2" t="inlineStr">
        <is>
          <t>2020-06-19</t>
        </is>
      </c>
      <c r="F68" s="2" t="inlineStr">
        <is>
          <t>2020-06-19</t>
        </is>
      </c>
      <c r="G68" s="4" t="inlineStr">
        <is>
          <t>강종민</t>
        </is>
      </c>
      <c r="H68" s="4" t="inlineStr">
        <is>
          <t>비등기임원 상무</t>
        </is>
      </c>
      <c r="I68" s="4" t="inlineStr">
        <is>
          <t>기타(-)</t>
        </is>
      </c>
      <c r="J68" s="17" t="n">
        <v>-14657</v>
      </c>
      <c r="K68" s="7" t="n">
        <v>27850</v>
      </c>
      <c r="L68" s="17" t="n">
        <v>-408197450</v>
      </c>
      <c r="M68" s="7" t="inlineStr"/>
      <c r="N68" s="15" t="inlineStr"/>
      <c r="O68" s="7" t="n">
        <v>41800</v>
      </c>
      <c r="P68" s="16" t="n">
        <v>0.45</v>
      </c>
      <c r="Q68" s="2" t="inlineStr">
        <is>
          <t>20200622000349</t>
        </is>
      </c>
      <c r="R68" s="3">
        <f>HYPERLINK("https://dart.fss.or.kr/dsaf001/main.do?rcpNo=20200622000349", "공시열람")</f>
        <v/>
      </c>
    </row>
    <row r="69">
      <c r="A69" s="2" t="inlineStr">
        <is>
          <t>2020-06-22</t>
        </is>
      </c>
      <c r="B69" s="4" t="inlineStr">
        <is>
          <t>에이디테크놀로지</t>
        </is>
      </c>
      <c r="C69" s="2" t="inlineStr">
        <is>
          <t>200710</t>
        </is>
      </c>
      <c r="D69" s="2" t="inlineStr">
        <is>
          <t>임원보고</t>
        </is>
      </c>
      <c r="E69" s="2" t="inlineStr">
        <is>
          <t>2020-06-15</t>
        </is>
      </c>
      <c r="F69" s="2" t="inlineStr">
        <is>
          <t>2020-06-15</t>
        </is>
      </c>
      <c r="G69" s="4" t="inlineStr">
        <is>
          <t>강종민</t>
        </is>
      </c>
      <c r="H69" s="4" t="inlineStr">
        <is>
          <t>비등기임원 상무</t>
        </is>
      </c>
      <c r="I69" s="4" t="inlineStr">
        <is>
          <t>기타(+)</t>
        </is>
      </c>
      <c r="J69" s="14" t="n">
        <v>14657</v>
      </c>
      <c r="K69" s="7" t="n">
        <v>25600</v>
      </c>
      <c r="L69" s="14" t="n">
        <v>375219200</v>
      </c>
      <c r="M69" s="7" t="inlineStr"/>
      <c r="N69" s="15" t="inlineStr"/>
      <c r="O69" s="7" t="n">
        <v>56457</v>
      </c>
      <c r="P69" s="16" t="n">
        <v>0.45</v>
      </c>
      <c r="Q69" s="2" t="inlineStr">
        <is>
          <t>20200622000349</t>
        </is>
      </c>
      <c r="R69" s="3">
        <f>HYPERLINK("https://dart.fss.or.kr/dsaf001/main.do?rcpNo=20200622000349", "공시열람")</f>
        <v/>
      </c>
    </row>
    <row r="70">
      <c r="A70" s="2" t="inlineStr">
        <is>
          <t>2020-04-10</t>
        </is>
      </c>
      <c r="B70" s="4" t="inlineStr">
        <is>
          <t>에이디테크놀로지</t>
        </is>
      </c>
      <c r="C70" s="2" t="inlineStr">
        <is>
          <t>200710</t>
        </is>
      </c>
      <c r="D70" s="2" t="inlineStr">
        <is>
          <t>대량보유</t>
        </is>
      </c>
      <c r="E70" s="2" t="inlineStr"/>
      <c r="F70" s="2" t="inlineStr"/>
      <c r="G70" s="4" t="inlineStr">
        <is>
          <t>한국증권금융(주)</t>
        </is>
      </c>
      <c r="H70" s="4" t="inlineStr">
        <is>
          <t>주주</t>
        </is>
      </c>
      <c r="I70" s="4" t="inlineStr">
        <is>
          <t>신용공여에 따른 담보권 변동</t>
        </is>
      </c>
      <c r="J70" s="7" t="inlineStr"/>
      <c r="K70" s="7" t="inlineStr"/>
      <c r="L70" s="7" t="inlineStr"/>
      <c r="M70" s="7" t="n">
        <v>583550</v>
      </c>
      <c r="N70" s="16" t="n">
        <v>6.3</v>
      </c>
      <c r="O70" s="7" t="n">
        <v>377634</v>
      </c>
      <c r="P70" s="16" t="n">
        <v>4.08</v>
      </c>
      <c r="Q70" s="2" t="inlineStr">
        <is>
          <t>20200410002428</t>
        </is>
      </c>
      <c r="R70" s="3">
        <f>HYPERLINK("https://dart.fss.or.kr/dsaf001/main.do?rcpNo=20200410002428", "공시열람")</f>
        <v/>
      </c>
    </row>
    <row r="71">
      <c r="A71" s="2" t="inlineStr">
        <is>
          <t>2020-04-03</t>
        </is>
      </c>
      <c r="B71" s="4" t="inlineStr">
        <is>
          <t>에이디테크놀로지</t>
        </is>
      </c>
      <c r="C71" s="2" t="inlineStr">
        <is>
          <t>200710</t>
        </is>
      </c>
      <c r="D71" s="2" t="inlineStr">
        <is>
          <t>대량보유</t>
        </is>
      </c>
      <c r="E71" s="2" t="inlineStr"/>
      <c r="F71" s="2" t="inlineStr"/>
      <c r="G71" s="4" t="inlineStr">
        <is>
          <t>김준석</t>
        </is>
      </c>
      <c r="H71" s="4" t="inlineStr">
        <is>
          <t>최대주주</t>
        </is>
      </c>
      <c r="I71" s="4" t="inlineStr">
        <is>
          <t>임원퇴임 및 신규선임, 주식매수선택권 부여에 따른 주식 수 변동</t>
        </is>
      </c>
      <c r="J71" s="7" t="inlineStr"/>
      <c r="K71" s="7" t="inlineStr"/>
      <c r="L71" s="7" t="inlineStr"/>
      <c r="M71" s="7" t="n">
        <v>1912731</v>
      </c>
      <c r="N71" s="16" t="n">
        <v>20.65</v>
      </c>
      <c r="O71" s="7" t="n">
        <v>2032131</v>
      </c>
      <c r="P71" s="16" t="n">
        <v>21.68</v>
      </c>
      <c r="Q71" s="2" t="inlineStr">
        <is>
          <t>20200403002139</t>
        </is>
      </c>
      <c r="R71" s="3">
        <f>HYPERLINK("https://dart.fss.or.kr/dsaf001/main.do?rcpNo=20200403002139", "공시열람")</f>
        <v/>
      </c>
    </row>
    <row r="72">
      <c r="A72" s="2" t="inlineStr">
        <is>
          <t>2020-01-10</t>
        </is>
      </c>
      <c r="B72" s="4" t="inlineStr">
        <is>
          <t>에이디테크놀로지</t>
        </is>
      </c>
      <c r="C72" s="2" t="inlineStr">
        <is>
          <t>200710</t>
        </is>
      </c>
      <c r="D72" s="2" t="inlineStr">
        <is>
          <t>대량보유</t>
        </is>
      </c>
      <c r="E72" s="2" t="inlineStr"/>
      <c r="F72" s="2" t="inlineStr"/>
      <c r="G72" s="4" t="inlineStr">
        <is>
          <t>한국증권금융(주)</t>
        </is>
      </c>
      <c r="H72" s="4" t="inlineStr">
        <is>
          <t>주주</t>
        </is>
      </c>
      <c r="I72" s="4" t="inlineStr">
        <is>
          <t>신용공여에 따른 담보권 신규취득 및 변동</t>
        </is>
      </c>
      <c r="J72" s="7" t="inlineStr"/>
      <c r="K72" s="7" t="inlineStr"/>
      <c r="L72" s="7" t="inlineStr"/>
      <c r="M72" s="7" t="n">
        <v>447613</v>
      </c>
      <c r="N72" s="16" t="n">
        <v>4.83</v>
      </c>
      <c r="O72" s="7" t="n">
        <v>583550</v>
      </c>
      <c r="P72" s="16" t="n">
        <v>6.3</v>
      </c>
      <c r="Q72" s="2" t="inlineStr">
        <is>
          <t>20200110000660</t>
        </is>
      </c>
      <c r="R72" s="3">
        <f>HYPERLINK("https://dart.fss.or.kr/dsaf001/main.do?rcpNo=20200110000660", "공시열람")</f>
        <v/>
      </c>
    </row>
    <row r="73">
      <c r="A73" s="2" t="inlineStr">
        <is>
          <t>2019-12-31</t>
        </is>
      </c>
      <c r="B73" s="4" t="inlineStr">
        <is>
          <t>에이디테크놀로지</t>
        </is>
      </c>
      <c r="C73" s="2" t="inlineStr">
        <is>
          <t>200710</t>
        </is>
      </c>
      <c r="D73" s="2" t="inlineStr">
        <is>
          <t>임원보고</t>
        </is>
      </c>
      <c r="E73" s="2" t="inlineStr">
        <is>
          <t>2019-12-24</t>
        </is>
      </c>
      <c r="F73" s="2" t="inlineStr">
        <is>
          <t>2019-12-24</t>
        </is>
      </c>
      <c r="G73" s="4" t="inlineStr">
        <is>
          <t>강종민</t>
        </is>
      </c>
      <c r="H73" s="4" t="inlineStr">
        <is>
          <t>비등기임원 상무</t>
        </is>
      </c>
      <c r="I73" s="4" t="inlineStr">
        <is>
          <t>장내매도(-)</t>
        </is>
      </c>
      <c r="J73" s="17" t="n">
        <v>-13800</v>
      </c>
      <c r="K73" s="7" t="n">
        <v>17469</v>
      </c>
      <c r="L73" s="17" t="n">
        <v>-241072200</v>
      </c>
      <c r="M73" s="7" t="inlineStr"/>
      <c r="N73" s="15" t="inlineStr"/>
      <c r="O73" s="7" t="n">
        <v>41800</v>
      </c>
      <c r="P73" s="16" t="n">
        <v>0.45</v>
      </c>
      <c r="Q73" s="2" t="inlineStr">
        <is>
          <t>20191231000135</t>
        </is>
      </c>
      <c r="R73" s="3">
        <f>HYPERLINK("https://dart.fss.or.kr/dsaf001/main.do?rcpNo=20191231000135", "공시열람")</f>
        <v/>
      </c>
    </row>
    <row r="74">
      <c r="A74" s="2" t="inlineStr">
        <is>
          <t>2019-11-18</t>
        </is>
      </c>
      <c r="B74" s="4" t="inlineStr">
        <is>
          <t>에이디테크놀로지</t>
        </is>
      </c>
      <c r="C74" s="2" t="inlineStr">
        <is>
          <t>200710</t>
        </is>
      </c>
      <c r="D74" s="2" t="inlineStr">
        <is>
          <t>대량보유</t>
        </is>
      </c>
      <c r="E74" s="2" t="inlineStr"/>
      <c r="F74" s="2" t="inlineStr"/>
      <c r="G74" s="4" t="inlineStr">
        <is>
          <t>김준석</t>
        </is>
      </c>
      <c r="H74" s="4" t="inlineStr">
        <is>
          <t>최대주주</t>
        </is>
      </c>
      <c r="I74" s="4" t="inlineStr">
        <is>
          <t>특별관계자의 지분 매각</t>
        </is>
      </c>
      <c r="J74" s="7" t="inlineStr"/>
      <c r="K74" s="7" t="inlineStr"/>
      <c r="L74" s="7" t="inlineStr"/>
      <c r="M74" s="7" t="n">
        <v>2239611</v>
      </c>
      <c r="N74" s="16" t="n">
        <v>24.2</v>
      </c>
      <c r="O74" s="7" t="n">
        <v>1912731</v>
      </c>
      <c r="P74" s="16" t="n">
        <v>20.65</v>
      </c>
      <c r="Q74" s="2" t="inlineStr">
        <is>
          <t>20191118000182</t>
        </is>
      </c>
      <c r="R74" s="3">
        <f>HYPERLINK("https://dart.fss.or.kr/dsaf001/main.do?rcpNo=20191118000182", "공시열람")</f>
        <v/>
      </c>
    </row>
    <row r="75">
      <c r="A75" s="2" t="inlineStr">
        <is>
          <t>2019-11-18</t>
        </is>
      </c>
      <c r="B75" s="4" t="inlineStr">
        <is>
          <t>에이디테크놀로지</t>
        </is>
      </c>
      <c r="C75" s="2" t="inlineStr">
        <is>
          <t>200710</t>
        </is>
      </c>
      <c r="D75" s="2" t="inlineStr">
        <is>
          <t>임원보고</t>
        </is>
      </c>
      <c r="E75" s="2" t="inlineStr">
        <is>
          <t>2019-11-18</t>
        </is>
      </c>
      <c r="F75" s="2" t="inlineStr">
        <is>
          <t>2019-11-18</t>
        </is>
      </c>
      <c r="G75" s="4" t="inlineStr">
        <is>
          <t>이현석</t>
        </is>
      </c>
      <c r="H75" s="4" t="inlineStr">
        <is>
          <t>등기임원 CTO</t>
        </is>
      </c>
      <c r="I75" s="4" t="inlineStr">
        <is>
          <t>시간외매매(-)</t>
        </is>
      </c>
      <c r="J75" s="17" t="n">
        <v>-65000</v>
      </c>
      <c r="K75" s="7" t="n">
        <v>14411</v>
      </c>
      <c r="L75" s="17" t="n">
        <v>-936715000</v>
      </c>
      <c r="M75" s="7" t="inlineStr"/>
      <c r="N75" s="15" t="inlineStr"/>
      <c r="O75" s="7" t="n">
        <v>10600</v>
      </c>
      <c r="P75" s="16" t="n">
        <v>0.11</v>
      </c>
      <c r="Q75" s="2" t="inlineStr">
        <is>
          <t>20191118000174</t>
        </is>
      </c>
      <c r="R75" s="3">
        <f>HYPERLINK("https://dart.fss.or.kr/dsaf001/main.do?rcpNo=20191118000174", "공시열람")</f>
        <v/>
      </c>
    </row>
    <row r="76">
      <c r="A76" s="2" t="inlineStr">
        <is>
          <t>2019-03-21</t>
        </is>
      </c>
      <c r="B76" s="4" t="inlineStr">
        <is>
          <t>에이디테크놀로지</t>
        </is>
      </c>
      <c r="C76" s="2" t="inlineStr">
        <is>
          <t>200710</t>
        </is>
      </c>
      <c r="D76" s="2" t="inlineStr">
        <is>
          <t>임원보고</t>
        </is>
      </c>
      <c r="E76" s="2" t="inlineStr">
        <is>
          <t>2019-03-11</t>
        </is>
      </c>
      <c r="F76" s="2" t="inlineStr">
        <is>
          <t>2019-03-12</t>
        </is>
      </c>
      <c r="G76" s="4" t="inlineStr">
        <is>
          <t>박영선</t>
        </is>
      </c>
      <c r="H76" s="4" t="inlineStr">
        <is>
          <t>비등기임원 상무</t>
        </is>
      </c>
      <c r="I76" s="4" t="inlineStr">
        <is>
          <t>장내매도(-)</t>
        </is>
      </c>
      <c r="J76" s="17" t="n">
        <v>-6000</v>
      </c>
      <c r="K76" s="7" t="n">
        <v>16830</v>
      </c>
      <c r="L76" s="17" t="n">
        <v>-100980000</v>
      </c>
      <c r="M76" s="7" t="inlineStr"/>
      <c r="N76" s="15" t="inlineStr"/>
      <c r="O76" s="7" t="n">
        <v>4000</v>
      </c>
      <c r="P76" s="16" t="n">
        <v>0.04</v>
      </c>
      <c r="Q76" s="2" t="inlineStr">
        <is>
          <t>20190321000152</t>
        </is>
      </c>
      <c r="R76" s="3">
        <f>HYPERLINK("https://dart.fss.or.kr/dsaf001/main.do?rcpNo=20190321000152", "공시열람")</f>
        <v/>
      </c>
    </row>
    <row r="77">
      <c r="A77" s="2" t="inlineStr">
        <is>
          <t>2018-11-28</t>
        </is>
      </c>
      <c r="B77" s="4" t="inlineStr">
        <is>
          <t>에이디테크놀로지</t>
        </is>
      </c>
      <c r="C77" s="2" t="inlineStr">
        <is>
          <t>200710</t>
        </is>
      </c>
      <c r="D77" s="2" t="inlineStr">
        <is>
          <t>대량보유</t>
        </is>
      </c>
      <c r="E77" s="2" t="inlineStr"/>
      <c r="F77" s="2" t="inlineStr"/>
      <c r="G77" s="4" t="inlineStr">
        <is>
          <t>김준석</t>
        </is>
      </c>
      <c r="H77" s="4" t="inlineStr">
        <is>
          <t>최대주주</t>
        </is>
      </c>
      <c r="I77" s="4" t="inlineStr">
        <is>
          <t>주식담보계약 해지에 따른 변경보고</t>
        </is>
      </c>
      <c r="J77" s="7" t="inlineStr"/>
      <c r="K77" s="7" t="inlineStr"/>
      <c r="L77" s="7" t="inlineStr"/>
      <c r="M77" s="7" t="n">
        <v>2239611</v>
      </c>
      <c r="N77" s="16" t="n">
        <v>24.2</v>
      </c>
      <c r="O77" s="7" t="n">
        <v>2239611</v>
      </c>
      <c r="P77" s="16" t="n">
        <v>24.2</v>
      </c>
      <c r="Q77" s="2" t="inlineStr">
        <is>
          <t>20181128000122</t>
        </is>
      </c>
      <c r="R77" s="3">
        <f>HYPERLINK("https://dart.fss.or.kr/dsaf001/main.do?rcpNo=20181128000122", "공시열람")</f>
        <v/>
      </c>
    </row>
    <row r="78">
      <c r="A78" s="2" t="inlineStr">
        <is>
          <t>2018-11-22</t>
        </is>
      </c>
      <c r="B78" s="4" t="inlineStr">
        <is>
          <t>에이디테크놀로지</t>
        </is>
      </c>
      <c r="C78" s="2" t="inlineStr">
        <is>
          <t>200710</t>
        </is>
      </c>
      <c r="D78" s="2" t="inlineStr">
        <is>
          <t>임원보고</t>
        </is>
      </c>
      <c r="E78" s="2" t="inlineStr">
        <is>
          <t>2018-11-22</t>
        </is>
      </c>
      <c r="F78" s="2" t="inlineStr">
        <is>
          <t>2018-11-22</t>
        </is>
      </c>
      <c r="G78" s="4" t="inlineStr">
        <is>
          <t>김준석</t>
        </is>
      </c>
      <c r="H78" s="4" t="inlineStr">
        <is>
          <t>등기임원 대표이사, 10%이상주주</t>
        </is>
      </c>
      <c r="I78" s="4" t="inlineStr">
        <is>
          <t>시간외매매(-)</t>
        </is>
      </c>
      <c r="J78" s="17" t="n">
        <v>-240000</v>
      </c>
      <c r="K78" s="7" t="n">
        <v>13000</v>
      </c>
      <c r="L78" s="17" t="n">
        <v>-3120000000</v>
      </c>
      <c r="M78" s="7" t="inlineStr"/>
      <c r="N78" s="15" t="inlineStr"/>
      <c r="O78" s="7" t="n">
        <v>1873631</v>
      </c>
      <c r="P78" s="16" t="n">
        <v>20.24</v>
      </c>
      <c r="Q78" s="2" t="inlineStr">
        <is>
          <t>20181122000002</t>
        </is>
      </c>
      <c r="R78" s="3">
        <f>HYPERLINK("https://dart.fss.or.kr/dsaf001/main.do?rcpNo=20181122000002", "공시열람")</f>
        <v/>
      </c>
    </row>
    <row r="79">
      <c r="A79" s="2" t="inlineStr">
        <is>
          <t>2018-11-22</t>
        </is>
      </c>
      <c r="B79" s="4" t="inlineStr">
        <is>
          <t>에이디테크놀로지</t>
        </is>
      </c>
      <c r="C79" s="2" t="inlineStr">
        <is>
          <t>200710</t>
        </is>
      </c>
      <c r="D79" s="2" t="inlineStr">
        <is>
          <t>대량보유</t>
        </is>
      </c>
      <c r="E79" s="2" t="inlineStr"/>
      <c r="F79" s="2" t="inlineStr"/>
      <c r="G79" s="4" t="inlineStr">
        <is>
          <t>김준석</t>
        </is>
      </c>
      <c r="H79" s="4" t="inlineStr">
        <is>
          <t>최대주주</t>
        </is>
      </c>
      <c r="I79" s="4" t="inlineStr">
        <is>
          <t>대출 상환</t>
        </is>
      </c>
      <c r="J79" s="7" t="inlineStr"/>
      <c r="K79" s="7" t="inlineStr"/>
      <c r="L79" s="7" t="inlineStr"/>
      <c r="M79" s="7" t="n">
        <v>2479611</v>
      </c>
      <c r="N79" s="16" t="n">
        <v>26.82</v>
      </c>
      <c r="O79" s="7" t="n">
        <v>2239611</v>
      </c>
      <c r="P79" s="16" t="n">
        <v>24.2</v>
      </c>
      <c r="Q79" s="2" t="inlineStr">
        <is>
          <t>20181122000003</t>
        </is>
      </c>
      <c r="R79" s="3">
        <f>HYPERLINK("https://dart.fss.or.kr/dsaf001/main.do?rcpNo=20181122000003", "공시열람")</f>
        <v/>
      </c>
    </row>
    <row r="80">
      <c r="A80" s="2" t="inlineStr">
        <is>
          <t>2018-03-07</t>
        </is>
      </c>
      <c r="B80" s="4" t="inlineStr">
        <is>
          <t>에이디테크놀로지</t>
        </is>
      </c>
      <c r="C80" s="2" t="inlineStr">
        <is>
          <t>200710</t>
        </is>
      </c>
      <c r="D80" s="2" t="inlineStr">
        <is>
          <t>임원보고</t>
        </is>
      </c>
      <c r="E80" s="2" t="inlineStr">
        <is>
          <t>2018-02-28</t>
        </is>
      </c>
      <c r="F80" s="2" t="inlineStr">
        <is>
          <t>2018-02-28</t>
        </is>
      </c>
      <c r="G80" s="4" t="inlineStr">
        <is>
          <t>김준석</t>
        </is>
      </c>
      <c r="H80" s="4" t="inlineStr">
        <is>
          <t>등기임원 대표이사, 10%이상주주</t>
        </is>
      </c>
      <c r="I80" s="4" t="inlineStr">
        <is>
          <t>전환등(-)</t>
        </is>
      </c>
      <c r="J80" s="17" t="n">
        <v>-240831</v>
      </c>
      <c r="K80" s="7" t="n">
        <v>5481</v>
      </c>
      <c r="L80" s="17" t="n">
        <v>-1319994711</v>
      </c>
      <c r="M80" s="7" t="inlineStr"/>
      <c r="N80" s="15" t="inlineStr"/>
      <c r="O80" s="7" t="inlineStr"/>
      <c r="P80" s="16" t="n">
        <v>22.86</v>
      </c>
      <c r="Q80" s="2" t="inlineStr">
        <is>
          <t>20180307000315</t>
        </is>
      </c>
      <c r="R80" s="3">
        <f>HYPERLINK("https://dart.fss.or.kr/dsaf001/main.do?rcpNo=20180307000315", "공시열람")</f>
        <v/>
      </c>
    </row>
    <row r="81">
      <c r="A81" s="2" t="inlineStr">
        <is>
          <t>2018-03-07</t>
        </is>
      </c>
      <c r="B81" s="4" t="inlineStr">
        <is>
          <t>에이디테크놀로지</t>
        </is>
      </c>
      <c r="C81" s="2" t="inlineStr">
        <is>
          <t>200710</t>
        </is>
      </c>
      <c r="D81" s="2" t="inlineStr">
        <is>
          <t>임원보고</t>
        </is>
      </c>
      <c r="E81" s="2" t="inlineStr">
        <is>
          <t>2018-02-28</t>
        </is>
      </c>
      <c r="F81" s="2" t="inlineStr">
        <is>
          <t>2018-02-28</t>
        </is>
      </c>
      <c r="G81" s="4" t="inlineStr">
        <is>
          <t>김준석</t>
        </is>
      </c>
      <c r="H81" s="4" t="inlineStr">
        <is>
          <t>등기임원 대표이사, 10%이상주주</t>
        </is>
      </c>
      <c r="I81" s="4" t="inlineStr">
        <is>
          <t>전환사채의권리행사(+)</t>
        </is>
      </c>
      <c r="J81" s="14" t="n">
        <v>240831</v>
      </c>
      <c r="K81" s="7" t="n">
        <v>5481</v>
      </c>
      <c r="L81" s="14" t="n">
        <v>1319994711</v>
      </c>
      <c r="M81" s="7" t="inlineStr"/>
      <c r="N81" s="15" t="inlineStr"/>
      <c r="O81" s="7" t="n">
        <v>2113631</v>
      </c>
      <c r="P81" s="16" t="n">
        <v>22.86</v>
      </c>
      <c r="Q81" s="2" t="inlineStr">
        <is>
          <t>20180307000315</t>
        </is>
      </c>
      <c r="R81" s="3">
        <f>HYPERLINK("https://dart.fss.or.kr/dsaf001/main.do?rcpNo=20180307000315", "공시열람")</f>
        <v/>
      </c>
    </row>
    <row r="82">
      <c r="A82" s="2" t="inlineStr">
        <is>
          <t>2018-03-07</t>
        </is>
      </c>
      <c r="B82" s="4" t="inlineStr">
        <is>
          <t>에이디테크놀로지</t>
        </is>
      </c>
      <c r="C82" s="2" t="inlineStr">
        <is>
          <t>200710</t>
        </is>
      </c>
      <c r="D82" s="2" t="inlineStr">
        <is>
          <t>대량보유</t>
        </is>
      </c>
      <c r="E82" s="2" t="inlineStr"/>
      <c r="F82" s="2" t="inlineStr"/>
      <c r="G82" s="4" t="inlineStr">
        <is>
          <t>김준석</t>
        </is>
      </c>
      <c r="H82" s="4" t="inlineStr">
        <is>
          <t>최대주주</t>
        </is>
      </c>
      <c r="I82" s="4" t="inlineStr">
        <is>
          <t>전환사채권 전환청구</t>
        </is>
      </c>
      <c r="J82" s="7" t="inlineStr"/>
      <c r="K82" s="7" t="inlineStr"/>
      <c r="L82" s="7" t="inlineStr"/>
      <c r="M82" s="7" t="n">
        <v>2479611</v>
      </c>
      <c r="N82" s="16" t="n">
        <v>26.82</v>
      </c>
      <c r="O82" s="7" t="n">
        <v>2479611</v>
      </c>
      <c r="P82" s="16" t="n">
        <v>26.82</v>
      </c>
      <c r="Q82" s="2" t="inlineStr">
        <is>
          <t>20180307000321</t>
        </is>
      </c>
      <c r="R82" s="3">
        <f>HYPERLINK("https://dart.fss.or.kr/dsaf001/main.do?rcpNo=20180307000321", "공시열람")</f>
        <v/>
      </c>
    </row>
    <row r="83">
      <c r="A83" s="2" t="inlineStr">
        <is>
          <t>2018-02-02</t>
        </is>
      </c>
      <c r="B83" s="4" t="inlineStr">
        <is>
          <t>에이디테크놀로지</t>
        </is>
      </c>
      <c r="C83" s="2" t="inlineStr">
        <is>
          <t>200710</t>
        </is>
      </c>
      <c r="D83" s="2" t="inlineStr">
        <is>
          <t>임원보고</t>
        </is>
      </c>
      <c r="E83" s="2" t="inlineStr">
        <is>
          <t>2018-01-29</t>
        </is>
      </c>
      <c r="F83" s="2" t="inlineStr">
        <is>
          <t>2018-01-29</t>
        </is>
      </c>
      <c r="G83" s="4" t="inlineStr">
        <is>
          <t>김준석</t>
        </is>
      </c>
      <c r="H83" s="4" t="inlineStr">
        <is>
          <t>등기임원 대표이사, 10%이상주주</t>
        </is>
      </c>
      <c r="I83" s="4" t="inlineStr">
        <is>
          <t>CB인수(+)</t>
        </is>
      </c>
      <c r="J83" s="14" t="n">
        <v>240831</v>
      </c>
      <c r="K83" s="7" t="n">
        <v>5481</v>
      </c>
      <c r="L83" s="14" t="n">
        <v>1319994711</v>
      </c>
      <c r="M83" s="7" t="inlineStr"/>
      <c r="N83" s="15" t="inlineStr"/>
      <c r="O83" s="7" t="n">
        <v>2113631</v>
      </c>
      <c r="P83" s="16" t="n">
        <v>22.86</v>
      </c>
      <c r="Q83" s="2" t="inlineStr">
        <is>
          <t>20180202000332</t>
        </is>
      </c>
      <c r="R83" s="3">
        <f>HYPERLINK("https://dart.fss.or.kr/dsaf001/main.do?rcpNo=20180202000332", "공시열람")</f>
        <v/>
      </c>
    </row>
    <row r="84">
      <c r="A84" s="2" t="inlineStr">
        <is>
          <t>2018-02-02</t>
        </is>
      </c>
      <c r="B84" s="4" t="inlineStr">
        <is>
          <t>에이디테크놀로지</t>
        </is>
      </c>
      <c r="C84" s="2" t="inlineStr">
        <is>
          <t>200710</t>
        </is>
      </c>
      <c r="D84" s="2" t="inlineStr">
        <is>
          <t>대량보유</t>
        </is>
      </c>
      <c r="E84" s="2" t="inlineStr"/>
      <c r="F84" s="2" t="inlineStr"/>
      <c r="G84" s="4" t="inlineStr">
        <is>
          <t>김준석</t>
        </is>
      </c>
      <c r="H84" s="4" t="inlineStr">
        <is>
          <t>최대주주</t>
        </is>
      </c>
      <c r="I84" s="4" t="inlineStr">
        <is>
          <t>전환사채권 취득</t>
        </is>
      </c>
      <c r="J84" s="7" t="inlineStr"/>
      <c r="K84" s="7" t="inlineStr"/>
      <c r="L84" s="7" t="inlineStr"/>
      <c r="M84" s="7" t="n">
        <v>1119390</v>
      </c>
      <c r="N84" s="16" t="n">
        <v>27.27</v>
      </c>
      <c r="O84" s="7" t="n">
        <v>2479611</v>
      </c>
      <c r="P84" s="16" t="n">
        <v>26.82</v>
      </c>
      <c r="Q84" s="2" t="inlineStr">
        <is>
          <t>20180202000438</t>
        </is>
      </c>
      <c r="R84" s="3">
        <f>HYPERLINK("https://dart.fss.or.kr/dsaf001/main.do?rcpNo=20180202000438", "공시열람")</f>
        <v/>
      </c>
    </row>
    <row r="85">
      <c r="A85" s="2" t="inlineStr">
        <is>
          <t>2018-01-04</t>
        </is>
      </c>
      <c r="B85" s="4" t="inlineStr">
        <is>
          <t>에이디테크놀로지</t>
        </is>
      </c>
      <c r="C85" s="2" t="inlineStr">
        <is>
          <t>200710</t>
        </is>
      </c>
      <c r="D85" s="2" t="inlineStr">
        <is>
          <t>대량보유</t>
        </is>
      </c>
      <c r="E85" s="2" t="inlineStr"/>
      <c r="F85" s="2" t="inlineStr"/>
      <c r="G85" s="4" t="inlineStr">
        <is>
          <t>한국투자신탁운용</t>
        </is>
      </c>
      <c r="H85" s="4" t="inlineStr">
        <is>
          <t>주주</t>
        </is>
      </c>
      <c r="I85" s="4" t="inlineStr">
        <is>
          <t>단순 투자목적의 주식매도</t>
        </is>
      </c>
      <c r="J85" s="7" t="inlineStr"/>
      <c r="K85" s="7" t="inlineStr"/>
      <c r="L85" s="7" t="inlineStr"/>
      <c r="M85" s="7" t="n">
        <v>598430</v>
      </c>
      <c r="N85" s="16" t="n">
        <v>6.65</v>
      </c>
      <c r="O85" s="7" t="n">
        <v>9004497</v>
      </c>
      <c r="P85" s="15" t="inlineStr"/>
      <c r="Q85" s="2" t="inlineStr">
        <is>
          <t>20180104000260</t>
        </is>
      </c>
      <c r="R85" s="3">
        <f>HYPERLINK("https://dart.fss.or.kr/dsaf001/main.do?rcpNo=20180104000260", "공시열람")</f>
        <v/>
      </c>
    </row>
    <row r="86">
      <c r="A86" s="2" t="inlineStr">
        <is>
          <t>2017-12-20</t>
        </is>
      </c>
      <c r="B86" s="4" t="inlineStr">
        <is>
          <t>에이디테크놀로지</t>
        </is>
      </c>
      <c r="C86" s="2" t="inlineStr">
        <is>
          <t>200710</t>
        </is>
      </c>
      <c r="D86" s="2" t="inlineStr">
        <is>
          <t>대량보유</t>
        </is>
      </c>
      <c r="E86" s="2" t="inlineStr"/>
      <c r="F86" s="2" t="inlineStr"/>
      <c r="G86" s="4" t="inlineStr">
        <is>
          <t>한국투자신탁운용</t>
        </is>
      </c>
      <c r="H86" s="4" t="inlineStr">
        <is>
          <t>주주</t>
        </is>
      </c>
      <c r="I86" s="4" t="inlineStr">
        <is>
          <t>전환사채 주식전환으로 대량보유보고 사유발생</t>
        </is>
      </c>
      <c r="J86" s="7" t="inlineStr"/>
      <c r="K86" s="7" t="inlineStr"/>
      <c r="L86" s="7" t="inlineStr"/>
      <c r="M86" s="7" t="n">
        <v>9004497</v>
      </c>
      <c r="N86" s="15" t="inlineStr"/>
      <c r="O86" s="7" t="n">
        <v>598430</v>
      </c>
      <c r="P86" s="16" t="n">
        <v>6.65</v>
      </c>
      <c r="Q86" s="2" t="inlineStr">
        <is>
          <t>20171220000356</t>
        </is>
      </c>
      <c r="R86" s="3">
        <f>HYPERLINK("https://dart.fss.or.kr/dsaf001/main.do?rcpNo=20171220000356", "공시열람")</f>
        <v/>
      </c>
    </row>
    <row r="87">
      <c r="A87" s="2" t="inlineStr">
        <is>
          <t>2017-04-19</t>
        </is>
      </c>
      <c r="B87" s="4" t="inlineStr">
        <is>
          <t>에이디테크놀로지</t>
        </is>
      </c>
      <c r="C87" s="2" t="inlineStr">
        <is>
          <t>200710</t>
        </is>
      </c>
      <c r="D87" s="2" t="inlineStr">
        <is>
          <t>임원보고</t>
        </is>
      </c>
      <c r="E87" s="2" t="inlineStr">
        <is>
          <t>2017-04-14</t>
        </is>
      </c>
      <c r="F87" s="2" t="inlineStr">
        <is>
          <t>2017-04-14</t>
        </is>
      </c>
      <c r="G87" s="4" t="inlineStr">
        <is>
          <t>이은주</t>
        </is>
      </c>
      <c r="H87" s="4" t="inlineStr">
        <is>
          <t>비등기임원 상무</t>
        </is>
      </c>
      <c r="I87" s="4" t="inlineStr">
        <is>
          <t>주식매수선택권(+)</t>
        </is>
      </c>
      <c r="J87" s="14" t="n">
        <v>3940</v>
      </c>
      <c r="K87" s="7" t="n">
        <v>1269</v>
      </c>
      <c r="L87" s="14" t="n">
        <v>4999860</v>
      </c>
      <c r="M87" s="7" t="inlineStr"/>
      <c r="N87" s="15" t="inlineStr"/>
      <c r="O87" s="7" t="n">
        <v>22940</v>
      </c>
      <c r="P87" s="16" t="n">
        <v>0.28</v>
      </c>
      <c r="Q87" s="2" t="inlineStr">
        <is>
          <t>20170419000035</t>
        </is>
      </c>
      <c r="R87" s="3">
        <f>HYPERLINK("https://dart.fss.or.kr/dsaf001/main.do?rcpNo=20170419000035", "공시열람")</f>
        <v/>
      </c>
    </row>
    <row r="88">
      <c r="A88" s="2" t="inlineStr">
        <is>
          <t>2017-01-10</t>
        </is>
      </c>
      <c r="B88" s="4" t="inlineStr">
        <is>
          <t>에이디테크놀로지</t>
        </is>
      </c>
      <c r="C88" s="2" t="inlineStr">
        <is>
          <t>200710</t>
        </is>
      </c>
      <c r="D88" s="2" t="inlineStr">
        <is>
          <t>대량보유</t>
        </is>
      </c>
      <c r="E88" s="2" t="inlineStr"/>
      <c r="F88" s="2" t="inlineStr"/>
      <c r="G88" s="4" t="inlineStr">
        <is>
          <t>한국증권금융(주)</t>
        </is>
      </c>
      <c r="H88" s="4" t="inlineStr">
        <is>
          <t>주주</t>
        </is>
      </c>
      <c r="I88" s="4" t="inlineStr">
        <is>
          <t>신용공여에 따른 담보권 신규취득</t>
        </is>
      </c>
      <c r="J88" s="7" t="inlineStr"/>
      <c r="K88" s="7" t="inlineStr"/>
      <c r="L88" s="7" t="inlineStr"/>
      <c r="M88" s="7" t="n">
        <v>203918</v>
      </c>
      <c r="N88" s="16" t="n">
        <v>4.93</v>
      </c>
      <c r="O88" s="7" t="n">
        <v>208387</v>
      </c>
      <c r="P88" s="16" t="n">
        <v>5.04</v>
      </c>
      <c r="Q88" s="2" t="inlineStr">
        <is>
          <t>20170110000646</t>
        </is>
      </c>
      <c r="R88" s="3">
        <f>HYPERLINK("https://dart.fss.or.kr/dsaf001/main.do?rcpNo=20170110000646", "공시열람")</f>
        <v/>
      </c>
    </row>
    <row r="89">
      <c r="A89" s="2" t="inlineStr">
        <is>
          <t>2016-12-09</t>
        </is>
      </c>
      <c r="B89" s="4" t="inlineStr">
        <is>
          <t>에이디테크놀로지</t>
        </is>
      </c>
      <c r="C89" s="2" t="inlineStr">
        <is>
          <t>200710</t>
        </is>
      </c>
      <c r="D89" s="2" t="inlineStr">
        <is>
          <t>임원보고</t>
        </is>
      </c>
      <c r="E89" s="2" t="inlineStr">
        <is>
          <t>2016-03-18</t>
        </is>
      </c>
      <c r="F89" s="2" t="inlineStr">
        <is>
          <t>2016-03-18</t>
        </is>
      </c>
      <c r="G89" s="4" t="inlineStr">
        <is>
          <t>강종민</t>
        </is>
      </c>
      <c r="H89" s="4" t="inlineStr">
        <is>
          <t>비등기임원 상무</t>
        </is>
      </c>
      <c r="I89" s="4" t="inlineStr">
        <is>
          <t>주식매수선택권(+)</t>
        </is>
      </c>
      <c r="J89" s="14" t="n">
        <v>6000</v>
      </c>
      <c r="K89" s="7" t="n">
        <v>20002500</v>
      </c>
      <c r="L89" s="14" t="n">
        <v>120015000000</v>
      </c>
      <c r="M89" s="7" t="inlineStr"/>
      <c r="N89" s="15" t="inlineStr"/>
      <c r="O89" s="7" t="n">
        <v>27800</v>
      </c>
      <c r="P89" s="16" t="n">
        <v>0.68</v>
      </c>
      <c r="Q89" s="2" t="inlineStr">
        <is>
          <t>20161209000255</t>
        </is>
      </c>
      <c r="R89" s="3">
        <f>HYPERLINK("https://dart.fss.or.kr/dsaf001/main.do?rcpNo=20161209000255", "공시열람")</f>
        <v/>
      </c>
    </row>
    <row r="90">
      <c r="A90" s="2" t="inlineStr">
        <is>
          <t>2016-12-09</t>
        </is>
      </c>
      <c r="B90" s="4" t="inlineStr">
        <is>
          <t>에이디테크놀로지</t>
        </is>
      </c>
      <c r="C90" s="2" t="inlineStr">
        <is>
          <t>200710</t>
        </is>
      </c>
      <c r="D90" s="2" t="inlineStr">
        <is>
          <t>임원보고</t>
        </is>
      </c>
      <c r="E90" s="2" t="inlineStr">
        <is>
          <t>2016-11-14</t>
        </is>
      </c>
      <c r="F90" s="2" t="inlineStr">
        <is>
          <t>2016-11-14</t>
        </is>
      </c>
      <c r="G90" s="4" t="inlineStr">
        <is>
          <t>이은주</t>
        </is>
      </c>
      <c r="H90" s="4" t="inlineStr">
        <is>
          <t>비등기임원 상무</t>
        </is>
      </c>
      <c r="I90" s="4" t="inlineStr">
        <is>
          <t>무상신주취득(+)</t>
        </is>
      </c>
      <c r="J90" s="14" t="n">
        <v>9500</v>
      </c>
      <c r="K90" s="7" t="n">
        <v>5411</v>
      </c>
      <c r="L90" s="14" t="n">
        <v>51404500</v>
      </c>
      <c r="M90" s="7" t="inlineStr"/>
      <c r="N90" s="15" t="inlineStr"/>
      <c r="O90" s="7" t="n">
        <v>19000</v>
      </c>
      <c r="P90" s="16" t="n">
        <v>0.23</v>
      </c>
      <c r="Q90" s="2" t="inlineStr">
        <is>
          <t>20161209000261</t>
        </is>
      </c>
      <c r="R90" s="3">
        <f>HYPERLINK("https://dart.fss.or.kr/dsaf001/main.do?rcpNo=20161209000261", "공시열람")</f>
        <v/>
      </c>
    </row>
    <row r="91">
      <c r="A91" s="2" t="inlineStr">
        <is>
          <t>2016-12-09</t>
        </is>
      </c>
      <c r="B91" s="4" t="inlineStr">
        <is>
          <t>에이디테크놀로지</t>
        </is>
      </c>
      <c r="C91" s="2" t="inlineStr">
        <is>
          <t>200710</t>
        </is>
      </c>
      <c r="D91" s="2" t="inlineStr">
        <is>
          <t>임원보고</t>
        </is>
      </c>
      <c r="E91" s="2" t="inlineStr">
        <is>
          <t>2016-11-14</t>
        </is>
      </c>
      <c r="F91" s="2" t="inlineStr">
        <is>
          <t>2016-11-14</t>
        </is>
      </c>
      <c r="G91" s="4" t="inlineStr">
        <is>
          <t>이강렬</t>
        </is>
      </c>
      <c r="H91" s="4" t="inlineStr">
        <is>
          <t>비등기임원 상무</t>
        </is>
      </c>
      <c r="I91" s="4" t="inlineStr">
        <is>
          <t>무상신주취득(+)</t>
        </is>
      </c>
      <c r="J91" s="14" t="n">
        <v>10000</v>
      </c>
      <c r="K91" s="7" t="n">
        <v>5411</v>
      </c>
      <c r="L91" s="14" t="n">
        <v>54110000</v>
      </c>
      <c r="M91" s="7" t="inlineStr"/>
      <c r="N91" s="15" t="inlineStr"/>
      <c r="O91" s="7" t="n">
        <v>20000</v>
      </c>
      <c r="P91" s="16" t="n">
        <v>0.24</v>
      </c>
      <c r="Q91" s="2" t="inlineStr">
        <is>
          <t>20161209000259</t>
        </is>
      </c>
      <c r="R91" s="3">
        <f>HYPERLINK("https://dart.fss.or.kr/dsaf001/main.do?rcpNo=20161209000259", "공시열람")</f>
        <v/>
      </c>
    </row>
    <row r="92">
      <c r="A92" s="2" t="inlineStr">
        <is>
          <t>2016-12-09</t>
        </is>
      </c>
      <c r="B92" s="4" t="inlineStr">
        <is>
          <t>에이디테크놀로지</t>
        </is>
      </c>
      <c r="C92" s="2" t="inlineStr">
        <is>
          <t>200710</t>
        </is>
      </c>
      <c r="D92" s="2" t="inlineStr">
        <is>
          <t>임원보고</t>
        </is>
      </c>
      <c r="E92" s="2" t="inlineStr">
        <is>
          <t>2016-11-14</t>
        </is>
      </c>
      <c r="F92" s="2" t="inlineStr">
        <is>
          <t>2016-11-14</t>
        </is>
      </c>
      <c r="G92" s="4" t="inlineStr">
        <is>
          <t>박영선</t>
        </is>
      </c>
      <c r="H92" s="4" t="inlineStr">
        <is>
          <t>비등기임원 상무</t>
        </is>
      </c>
      <c r="I92" s="4" t="inlineStr">
        <is>
          <t>무상신주취득(+)</t>
        </is>
      </c>
      <c r="J92" s="14" t="n">
        <v>5000</v>
      </c>
      <c r="K92" s="7" t="n">
        <v>5411</v>
      </c>
      <c r="L92" s="14" t="n">
        <v>27055000</v>
      </c>
      <c r="M92" s="7" t="inlineStr"/>
      <c r="N92" s="15" t="inlineStr"/>
      <c r="O92" s="7" t="n">
        <v>10000</v>
      </c>
      <c r="P92" s="16" t="n">
        <v>0.12</v>
      </c>
      <c r="Q92" s="2" t="inlineStr">
        <is>
          <t>20161209000256</t>
        </is>
      </c>
      <c r="R92" s="3">
        <f>HYPERLINK("https://dart.fss.or.kr/dsaf001/main.do?rcpNo=20161209000256", "공시열람")</f>
        <v/>
      </c>
    </row>
    <row r="93">
      <c r="A93" s="2" t="inlineStr">
        <is>
          <t>2016-12-09</t>
        </is>
      </c>
      <c r="B93" s="4" t="inlineStr">
        <is>
          <t>에이디테크놀로지</t>
        </is>
      </c>
      <c r="C93" s="2" t="inlineStr">
        <is>
          <t>200710</t>
        </is>
      </c>
      <c r="D93" s="2" t="inlineStr">
        <is>
          <t>임원보고</t>
        </is>
      </c>
      <c r="E93" s="2" t="inlineStr">
        <is>
          <t>2016-11-14</t>
        </is>
      </c>
      <c r="F93" s="2" t="inlineStr">
        <is>
          <t>2016-11-14</t>
        </is>
      </c>
      <c r="G93" s="4" t="inlineStr">
        <is>
          <t>문갑주</t>
        </is>
      </c>
      <c r="H93" s="4" t="inlineStr">
        <is>
          <t>등기임원 전무</t>
        </is>
      </c>
      <c r="I93" s="4" t="inlineStr">
        <is>
          <t>무상신주취득(+)</t>
        </is>
      </c>
      <c r="J93" s="14" t="n">
        <v>14250</v>
      </c>
      <c r="K93" s="7" t="n">
        <v>5411</v>
      </c>
      <c r="L93" s="14" t="n">
        <v>77106750</v>
      </c>
      <c r="M93" s="7" t="inlineStr"/>
      <c r="N93" s="15" t="inlineStr"/>
      <c r="O93" s="7" t="n">
        <v>28500</v>
      </c>
      <c r="P93" s="16" t="n">
        <v>0.35</v>
      </c>
      <c r="Q93" s="2" t="inlineStr">
        <is>
          <t>20161209000252</t>
        </is>
      </c>
      <c r="R93" s="3">
        <f>HYPERLINK("https://dart.fss.or.kr/dsaf001/main.do?rcpNo=20161209000252", "공시열람")</f>
        <v/>
      </c>
    </row>
    <row r="94">
      <c r="A94" s="2" t="inlineStr">
        <is>
          <t>2016-12-09</t>
        </is>
      </c>
      <c r="B94" s="4" t="inlineStr">
        <is>
          <t>에이디테크놀로지</t>
        </is>
      </c>
      <c r="C94" s="2" t="inlineStr">
        <is>
          <t>200710</t>
        </is>
      </c>
      <c r="D94" s="2" t="inlineStr">
        <is>
          <t>임원보고</t>
        </is>
      </c>
      <c r="E94" s="2" t="inlineStr">
        <is>
          <t>2016-11-14</t>
        </is>
      </c>
      <c r="F94" s="2" t="inlineStr">
        <is>
          <t>2016-11-14</t>
        </is>
      </c>
      <c r="G94" s="4" t="inlineStr">
        <is>
          <t>강종민</t>
        </is>
      </c>
      <c r="H94" s="4" t="inlineStr">
        <is>
          <t>비등기임원 상무</t>
        </is>
      </c>
      <c r="I94" s="4" t="inlineStr">
        <is>
          <t>무상신주취득(+)</t>
        </is>
      </c>
      <c r="J94" s="14" t="n">
        <v>27800</v>
      </c>
      <c r="K94" s="7" t="n">
        <v>5411</v>
      </c>
      <c r="L94" s="14" t="n">
        <v>150425800</v>
      </c>
      <c r="M94" s="7" t="inlineStr"/>
      <c r="N94" s="15" t="inlineStr"/>
      <c r="O94" s="7" t="n">
        <v>55600</v>
      </c>
      <c r="P94" s="16" t="n">
        <v>0.68</v>
      </c>
      <c r="Q94" s="2" t="inlineStr">
        <is>
          <t>20161209000255</t>
        </is>
      </c>
      <c r="R94" s="3">
        <f>HYPERLINK("https://dart.fss.or.kr/dsaf001/main.do?rcpNo=20161209000255", "공시열람")</f>
        <v/>
      </c>
    </row>
    <row r="95">
      <c r="A95" s="2" t="inlineStr">
        <is>
          <t>2016-12-09</t>
        </is>
      </c>
      <c r="B95" s="4" t="inlineStr">
        <is>
          <t>에이디테크놀로지</t>
        </is>
      </c>
      <c r="C95" s="2" t="inlineStr">
        <is>
          <t>200710</t>
        </is>
      </c>
      <c r="D95" s="2" t="inlineStr">
        <is>
          <t>임원보고</t>
        </is>
      </c>
      <c r="E95" s="2" t="inlineStr">
        <is>
          <t>2016-11-14</t>
        </is>
      </c>
      <c r="F95" s="2" t="inlineStr">
        <is>
          <t>2016-11-14</t>
        </is>
      </c>
      <c r="G95" s="4" t="inlineStr">
        <is>
          <t>김준석</t>
        </is>
      </c>
      <c r="H95" s="4" t="inlineStr">
        <is>
          <t>등기임원 대표이사, 10%이상주주</t>
        </is>
      </c>
      <c r="I95" s="4" t="inlineStr">
        <is>
          <t>무상신주취득(+)</t>
        </is>
      </c>
      <c r="J95" s="14" t="n">
        <v>936400</v>
      </c>
      <c r="K95" s="7" t="n">
        <v>5411</v>
      </c>
      <c r="L95" s="14" t="n">
        <v>5066860400</v>
      </c>
      <c r="M95" s="7" t="inlineStr"/>
      <c r="N95" s="15" t="inlineStr"/>
      <c r="O95" s="7" t="n">
        <v>1872800</v>
      </c>
      <c r="P95" s="16" t="n">
        <v>22.98</v>
      </c>
      <c r="Q95" s="2" t="inlineStr">
        <is>
          <t>20161209000249</t>
        </is>
      </c>
      <c r="R95" s="3">
        <f>HYPERLINK("https://dart.fss.or.kr/dsaf001/main.do?rcpNo=20161209000249", "공시열람")</f>
        <v/>
      </c>
    </row>
    <row r="96">
      <c r="A96" s="2" t="inlineStr">
        <is>
          <t>2016-12-09</t>
        </is>
      </c>
      <c r="B96" s="4" t="inlineStr">
        <is>
          <t>에이디테크놀로지</t>
        </is>
      </c>
      <c r="C96" s="2" t="inlineStr">
        <is>
          <t>200710</t>
        </is>
      </c>
      <c r="D96" s="2" t="inlineStr">
        <is>
          <t>임원보고</t>
        </is>
      </c>
      <c r="E96" s="2" t="inlineStr">
        <is>
          <t>2016-11-14</t>
        </is>
      </c>
      <c r="F96" s="2" t="inlineStr">
        <is>
          <t>2016-11-14</t>
        </is>
      </c>
      <c r="G96" s="4" t="inlineStr">
        <is>
          <t>이현석</t>
        </is>
      </c>
      <c r="H96" s="4" t="inlineStr">
        <is>
          <t>등기임원 전무</t>
        </is>
      </c>
      <c r="I96" s="4" t="inlineStr">
        <is>
          <t>무상신주취득(+)</t>
        </is>
      </c>
      <c r="J96" s="14" t="n">
        <v>37800</v>
      </c>
      <c r="K96" s="7" t="n">
        <v>5411</v>
      </c>
      <c r="L96" s="14" t="n">
        <v>204535800</v>
      </c>
      <c r="M96" s="7" t="inlineStr"/>
      <c r="N96" s="15" t="inlineStr"/>
      <c r="O96" s="7" t="n">
        <v>75600</v>
      </c>
      <c r="P96" s="16" t="n">
        <v>0.92</v>
      </c>
      <c r="Q96" s="2" t="inlineStr">
        <is>
          <t>20161209000251</t>
        </is>
      </c>
      <c r="R96" s="3">
        <f>HYPERLINK("https://dart.fss.or.kr/dsaf001/main.do?rcpNo=20161209000251", "공시열람")</f>
        <v/>
      </c>
    </row>
    <row r="97">
      <c r="A97" s="2" t="inlineStr">
        <is>
          <t>2016-11-07</t>
        </is>
      </c>
      <c r="B97" s="4" t="inlineStr">
        <is>
          <t>에이디테크놀로지</t>
        </is>
      </c>
      <c r="C97" s="2" t="inlineStr">
        <is>
          <t>200710</t>
        </is>
      </c>
      <c r="D97" s="2" t="inlineStr">
        <is>
          <t>임원보고</t>
        </is>
      </c>
      <c r="E97" s="2" t="inlineStr">
        <is>
          <t>2016-11-01</t>
        </is>
      </c>
      <c r="F97" s="2" t="inlineStr">
        <is>
          <t>2016-11-01</t>
        </is>
      </c>
      <c r="G97" s="4" t="inlineStr">
        <is>
          <t>박영선</t>
        </is>
      </c>
      <c r="H97" s="4" t="inlineStr">
        <is>
          <t>비등기임원 상무</t>
        </is>
      </c>
      <c r="I97" s="4" t="inlineStr">
        <is>
          <t>신규선임(+)</t>
        </is>
      </c>
      <c r="J97" s="14" t="n">
        <v>5000</v>
      </c>
      <c r="K97" s="7" t="n">
        <v>5269</v>
      </c>
      <c r="L97" s="14" t="n">
        <v>26345000</v>
      </c>
      <c r="M97" s="7" t="inlineStr"/>
      <c r="N97" s="15" t="inlineStr"/>
      <c r="O97" s="7" t="n">
        <v>5000</v>
      </c>
      <c r="P97" s="16" t="n">
        <v>0.12</v>
      </c>
      <c r="Q97" s="2" t="inlineStr">
        <is>
          <t>20161107000225</t>
        </is>
      </c>
      <c r="R97" s="3">
        <f>HYPERLINK("https://dart.fss.or.kr/dsaf001/main.do?rcpNo=20161107000225", "공시열람")</f>
        <v/>
      </c>
    </row>
    <row r="98">
      <c r="A98" s="2" t="inlineStr">
        <is>
          <t>2016-11-07</t>
        </is>
      </c>
      <c r="B98" s="4" t="inlineStr">
        <is>
          <t>에이디테크놀로지</t>
        </is>
      </c>
      <c r="C98" s="2" t="inlineStr">
        <is>
          <t>200710</t>
        </is>
      </c>
      <c r="D98" s="2" t="inlineStr">
        <is>
          <t>임원보고</t>
        </is>
      </c>
      <c r="E98" s="2" t="inlineStr">
        <is>
          <t>2016-11-01</t>
        </is>
      </c>
      <c r="F98" s="2" t="inlineStr">
        <is>
          <t>2016-11-01</t>
        </is>
      </c>
      <c r="G98" s="4" t="inlineStr">
        <is>
          <t>이강렬</t>
        </is>
      </c>
      <c r="H98" s="4" t="inlineStr">
        <is>
          <t>비등기임원 상무</t>
        </is>
      </c>
      <c r="I98" s="4" t="inlineStr">
        <is>
          <t>신규선임(+)</t>
        </is>
      </c>
      <c r="J98" s="14" t="n">
        <v>10000</v>
      </c>
      <c r="K98" s="7" t="n">
        <v>5269</v>
      </c>
      <c r="L98" s="14" t="n">
        <v>52690000</v>
      </c>
      <c r="M98" s="7" t="inlineStr"/>
      <c r="N98" s="15" t="inlineStr"/>
      <c r="O98" s="7" t="n">
        <v>10000</v>
      </c>
      <c r="P98" s="16" t="n">
        <v>0.24</v>
      </c>
      <c r="Q98" s="2" t="inlineStr">
        <is>
          <t>20161107000231</t>
        </is>
      </c>
      <c r="R98" s="3">
        <f>HYPERLINK("https://dart.fss.or.kr/dsaf001/main.do?rcpNo=20161107000231", "공시열람")</f>
        <v/>
      </c>
    </row>
    <row r="99">
      <c r="A99" s="2" t="inlineStr">
        <is>
          <t>2016-11-07</t>
        </is>
      </c>
      <c r="B99" s="4" t="inlineStr">
        <is>
          <t>에이디테크놀로지</t>
        </is>
      </c>
      <c r="C99" s="2" t="inlineStr">
        <is>
          <t>200710</t>
        </is>
      </c>
      <c r="D99" s="2" t="inlineStr">
        <is>
          <t>임원보고</t>
        </is>
      </c>
      <c r="E99" s="2" t="inlineStr">
        <is>
          <t>2016-11-01</t>
        </is>
      </c>
      <c r="F99" s="2" t="inlineStr">
        <is>
          <t>2016-11-01</t>
        </is>
      </c>
      <c r="G99" s="4" t="inlineStr">
        <is>
          <t>이은주</t>
        </is>
      </c>
      <c r="H99" s="4" t="inlineStr">
        <is>
          <t>비등기임원 상무</t>
        </is>
      </c>
      <c r="I99" s="4" t="inlineStr">
        <is>
          <t>신규선임(+)</t>
        </is>
      </c>
      <c r="J99" s="14" t="n">
        <v>9500</v>
      </c>
      <c r="K99" s="7" t="n">
        <v>5269</v>
      </c>
      <c r="L99" s="14" t="n">
        <v>50055500</v>
      </c>
      <c r="M99" s="7" t="inlineStr"/>
      <c r="N99" s="15" t="inlineStr"/>
      <c r="O99" s="7" t="n">
        <v>9500</v>
      </c>
      <c r="P99" s="16" t="n">
        <v>0.23</v>
      </c>
      <c r="Q99" s="2" t="inlineStr">
        <is>
          <t>20161107000233</t>
        </is>
      </c>
      <c r="R99" s="3">
        <f>HYPERLINK("https://dart.fss.or.kr/dsaf001/main.do?rcpNo=20161107000233", "공시열람")</f>
        <v/>
      </c>
    </row>
    <row r="100">
      <c r="A100" s="2" t="inlineStr">
        <is>
          <t>2016-03-04</t>
        </is>
      </c>
      <c r="B100" s="4" t="inlineStr">
        <is>
          <t>에이디테크놀로지</t>
        </is>
      </c>
      <c r="C100" s="2" t="inlineStr">
        <is>
          <t>200710</t>
        </is>
      </c>
      <c r="D100" s="2" t="inlineStr">
        <is>
          <t>임원보고</t>
        </is>
      </c>
      <c r="E100" s="2" t="inlineStr">
        <is>
          <t>2016-02-29</t>
        </is>
      </c>
      <c r="F100" s="2" t="inlineStr">
        <is>
          <t>2016-02-29</t>
        </is>
      </c>
      <c r="G100" s="4" t="inlineStr">
        <is>
          <t>최성현</t>
        </is>
      </c>
      <c r="H100" s="4" t="inlineStr">
        <is>
          <t>등기임원 부사장</t>
        </is>
      </c>
      <c r="I100" s="4" t="inlineStr">
        <is>
          <t>임원퇴임(-)</t>
        </is>
      </c>
      <c r="J100" s="7" t="inlineStr"/>
      <c r="K100" s="7" t="inlineStr"/>
      <c r="L100" s="7" t="inlineStr"/>
      <c r="M100" s="7" t="inlineStr"/>
      <c r="N100" s="15" t="inlineStr"/>
      <c r="O100" s="7" t="n">
        <v>25000</v>
      </c>
      <c r="P100" s="16" t="n">
        <v>0.61</v>
      </c>
      <c r="Q100" s="2" t="inlineStr">
        <is>
          <t>20160304000335</t>
        </is>
      </c>
      <c r="R100" s="3">
        <f>HYPERLINK("https://dart.fss.or.kr/dsaf001/main.do?rcpNo=20160304000335", "공시열람")</f>
        <v/>
      </c>
    </row>
    <row r="101">
      <c r="A101" s="2" t="inlineStr">
        <is>
          <t>2016-03-04</t>
        </is>
      </c>
      <c r="B101" s="4" t="inlineStr">
        <is>
          <t>에이디테크놀로지</t>
        </is>
      </c>
      <c r="C101" s="2" t="inlineStr">
        <is>
          <t>200710</t>
        </is>
      </c>
      <c r="D101" s="2" t="inlineStr">
        <is>
          <t>대량보유</t>
        </is>
      </c>
      <c r="E101" s="2" t="inlineStr"/>
      <c r="F101" s="2" t="inlineStr"/>
      <c r="G101" s="4" t="inlineStr">
        <is>
          <t>김준석</t>
        </is>
      </c>
      <c r="H101" s="4" t="inlineStr">
        <is>
          <t>최대주주</t>
        </is>
      </c>
      <c r="I101" s="4" t="inlineStr">
        <is>
          <t>임원 퇴임</t>
        </is>
      </c>
      <c r="J101" s="7" t="inlineStr"/>
      <c r="K101" s="7" t="inlineStr"/>
      <c r="L101" s="7" t="inlineStr"/>
      <c r="M101" s="7" t="n">
        <v>1155390</v>
      </c>
      <c r="N101" s="16" t="n">
        <v>28.14</v>
      </c>
      <c r="O101" s="7" t="n">
        <v>1119390</v>
      </c>
      <c r="P101" s="16" t="n">
        <v>27.27</v>
      </c>
      <c r="Q101" s="2" t="inlineStr">
        <is>
          <t>20160304000351</t>
        </is>
      </c>
      <c r="R101" s="3">
        <f>HYPERLINK("https://dart.fss.or.kr/dsaf001/main.do?rcpNo=20160304000351", "공시열람")</f>
        <v/>
      </c>
    </row>
    <row r="102">
      <c r="A102" s="2" t="inlineStr">
        <is>
          <t>2015-12-23</t>
        </is>
      </c>
      <c r="B102" s="4" t="inlineStr">
        <is>
          <t>에이디테크놀로지</t>
        </is>
      </c>
      <c r="C102" s="2" t="inlineStr">
        <is>
          <t>200710</t>
        </is>
      </c>
      <c r="D102" s="2" t="inlineStr">
        <is>
          <t>대량보유</t>
        </is>
      </c>
      <c r="E102" s="2" t="inlineStr"/>
      <c r="F102" s="2" t="inlineStr"/>
      <c r="G102" s="4" t="inlineStr">
        <is>
          <t>김준석</t>
        </is>
      </c>
      <c r="H102" s="4" t="inlineStr">
        <is>
          <t>최대주주</t>
        </is>
      </c>
      <c r="I102" s="4" t="inlineStr">
        <is>
          <t>주식담보대출</t>
        </is>
      </c>
      <c r="J102" s="7" t="inlineStr"/>
      <c r="K102" s="7" t="inlineStr"/>
      <c r="L102" s="7" t="inlineStr"/>
      <c r="M102" s="7" t="n">
        <v>1155390</v>
      </c>
      <c r="N102" s="16" t="n">
        <v>28.14</v>
      </c>
      <c r="O102" s="7" t="n">
        <v>1155390</v>
      </c>
      <c r="P102" s="16" t="n">
        <v>28.14</v>
      </c>
      <c r="Q102" s="2" t="inlineStr">
        <is>
          <t>20151223000377</t>
        </is>
      </c>
      <c r="R102" s="3">
        <f>HYPERLINK("https://dart.fss.or.kr/dsaf001/main.do?rcpNo=20151223000377", "공시열람")</f>
        <v/>
      </c>
    </row>
    <row r="103">
      <c r="A103" s="2" t="inlineStr">
        <is>
          <t>2015-06-24</t>
        </is>
      </c>
      <c r="B103" s="4" t="inlineStr">
        <is>
          <t>에이디테크놀로지</t>
        </is>
      </c>
      <c r="C103" s="2" t="inlineStr">
        <is>
          <t>200710</t>
        </is>
      </c>
      <c r="D103" s="2" t="inlineStr">
        <is>
          <t>임원보고</t>
        </is>
      </c>
      <c r="E103" s="2" t="inlineStr">
        <is>
          <t>2015-06-17</t>
        </is>
      </c>
      <c r="F103" s="2" t="inlineStr">
        <is>
          <t>2015-06-17</t>
        </is>
      </c>
      <c r="G103" s="4" t="inlineStr">
        <is>
          <t>이현석</t>
        </is>
      </c>
      <c r="H103" s="4" t="inlineStr">
        <is>
          <t>등기임원 상무</t>
        </is>
      </c>
      <c r="I103" s="4" t="inlineStr">
        <is>
          <t>시간외매매(-)</t>
        </is>
      </c>
      <c r="J103" s="17" t="n">
        <v>-36000</v>
      </c>
      <c r="K103" s="7" t="n">
        <v>36190</v>
      </c>
      <c r="L103" s="17" t="n">
        <v>-1302840000</v>
      </c>
      <c r="M103" s="7" t="inlineStr"/>
      <c r="N103" s="15" t="inlineStr"/>
      <c r="O103" s="7" t="n">
        <v>37800</v>
      </c>
      <c r="P103" s="16" t="n">
        <v>0.92</v>
      </c>
      <c r="Q103" s="2" t="inlineStr">
        <is>
          <t>20150624000187</t>
        </is>
      </c>
      <c r="R103" s="3">
        <f>HYPERLINK("https://dart.fss.or.kr/dsaf001/main.do?rcpNo=20150624000187", "공시열람")</f>
        <v/>
      </c>
    </row>
    <row r="104">
      <c r="A104" s="2" t="inlineStr">
        <is>
          <t>2015-06-24</t>
        </is>
      </c>
      <c r="B104" s="4" t="inlineStr">
        <is>
          <t>에이디테크놀로지</t>
        </is>
      </c>
      <c r="C104" s="2" t="inlineStr">
        <is>
          <t>200710</t>
        </is>
      </c>
      <c r="D104" s="2" t="inlineStr">
        <is>
          <t>임원보고</t>
        </is>
      </c>
      <c r="E104" s="2" t="inlineStr">
        <is>
          <t>2015-06-17</t>
        </is>
      </c>
      <c r="F104" s="2" t="inlineStr">
        <is>
          <t>2015-06-17</t>
        </is>
      </c>
      <c r="G104" s="4" t="inlineStr">
        <is>
          <t>강종민</t>
        </is>
      </c>
      <c r="H104" s="4" t="inlineStr">
        <is>
          <t>비등기임원 상무</t>
        </is>
      </c>
      <c r="I104" s="4" t="inlineStr">
        <is>
          <t>시간외매매(-)</t>
        </is>
      </c>
      <c r="J104" s="17" t="n">
        <v>-22000</v>
      </c>
      <c r="K104" s="7" t="n">
        <v>36190</v>
      </c>
      <c r="L104" s="17" t="n">
        <v>-796180000</v>
      </c>
      <c r="M104" s="7" t="inlineStr"/>
      <c r="N104" s="15" t="inlineStr"/>
      <c r="O104" s="7" t="n">
        <v>21800</v>
      </c>
      <c r="P104" s="16" t="n">
        <v>0.53</v>
      </c>
      <c r="Q104" s="2" t="inlineStr">
        <is>
          <t>20150624000194</t>
        </is>
      </c>
      <c r="R104" s="3">
        <f>HYPERLINK("https://dart.fss.or.kr/dsaf001/main.do?rcpNo=20150624000194", "공시열람")</f>
        <v/>
      </c>
    </row>
    <row r="105">
      <c r="A105" s="2" t="inlineStr">
        <is>
          <t>2015-06-24</t>
        </is>
      </c>
      <c r="B105" s="4" t="inlineStr">
        <is>
          <t>에이디테크놀로지</t>
        </is>
      </c>
      <c r="C105" s="2" t="inlineStr">
        <is>
          <t>200710</t>
        </is>
      </c>
      <c r="D105" s="2" t="inlineStr">
        <is>
          <t>임원보고</t>
        </is>
      </c>
      <c r="E105" s="2" t="inlineStr">
        <is>
          <t>2015-06-17</t>
        </is>
      </c>
      <c r="F105" s="2" t="inlineStr">
        <is>
          <t>2015-06-17</t>
        </is>
      </c>
      <c r="G105" s="4" t="inlineStr">
        <is>
          <t>문갑주</t>
        </is>
      </c>
      <c r="H105" s="4" t="inlineStr">
        <is>
          <t>등기임원 상무</t>
        </is>
      </c>
      <c r="I105" s="4" t="inlineStr">
        <is>
          <t>시간외매매(-)</t>
        </is>
      </c>
      <c r="J105" s="17" t="n">
        <v>-13000</v>
      </c>
      <c r="K105" s="7" t="n">
        <v>36190</v>
      </c>
      <c r="L105" s="17" t="n">
        <v>-470470000</v>
      </c>
      <c r="M105" s="7" t="inlineStr"/>
      <c r="N105" s="15" t="inlineStr"/>
      <c r="O105" s="7" t="n">
        <v>14250</v>
      </c>
      <c r="P105" s="16" t="n">
        <v>0.35</v>
      </c>
      <c r="Q105" s="2" t="inlineStr">
        <is>
          <t>20150624000191</t>
        </is>
      </c>
      <c r="R105" s="3">
        <f>HYPERLINK("https://dart.fss.or.kr/dsaf001/main.do?rcpNo=20150624000191", "공시열람")</f>
        <v/>
      </c>
    </row>
    <row r="106">
      <c r="A106" s="2" t="inlineStr">
        <is>
          <t>2015-06-24</t>
        </is>
      </c>
      <c r="B106" s="4" t="inlineStr">
        <is>
          <t>에이디테크놀로지</t>
        </is>
      </c>
      <c r="C106" s="2" t="inlineStr">
        <is>
          <t>200710</t>
        </is>
      </c>
      <c r="D106" s="2" t="inlineStr">
        <is>
          <t>임원보고</t>
        </is>
      </c>
      <c r="E106" s="2" t="inlineStr">
        <is>
          <t>2015-06-17</t>
        </is>
      </c>
      <c r="F106" s="2" t="inlineStr">
        <is>
          <t>2015-06-17</t>
        </is>
      </c>
      <c r="G106" s="4" t="inlineStr">
        <is>
          <t>최성현</t>
        </is>
      </c>
      <c r="H106" s="4" t="inlineStr">
        <is>
          <t>등기임원 부사장</t>
        </is>
      </c>
      <c r="I106" s="4" t="inlineStr">
        <is>
          <t>시간외매매(-)</t>
        </is>
      </c>
      <c r="J106" s="17" t="n">
        <v>-50000</v>
      </c>
      <c r="K106" s="7" t="n">
        <v>36190</v>
      </c>
      <c r="L106" s="17" t="n">
        <v>-1809500000</v>
      </c>
      <c r="M106" s="7" t="inlineStr"/>
      <c r="N106" s="15" t="inlineStr"/>
      <c r="O106" s="7" t="n">
        <v>25000</v>
      </c>
      <c r="P106" s="16" t="n">
        <v>0.61</v>
      </c>
      <c r="Q106" s="2" t="inlineStr">
        <is>
          <t>20150624000182</t>
        </is>
      </c>
      <c r="R106" s="3">
        <f>HYPERLINK("https://dart.fss.or.kr/dsaf001/main.do?rcpNo=20150624000182", "공시열람")</f>
        <v/>
      </c>
    </row>
    <row r="107">
      <c r="A107" s="2" t="inlineStr">
        <is>
          <t>2015-06-24</t>
        </is>
      </c>
      <c r="B107" s="4" t="inlineStr">
        <is>
          <t>에이디테크놀로지</t>
        </is>
      </c>
      <c r="C107" s="2" t="inlineStr">
        <is>
          <t>200710</t>
        </is>
      </c>
      <c r="D107" s="2" t="inlineStr">
        <is>
          <t>대량보유</t>
        </is>
      </c>
      <c r="E107" s="2" t="inlineStr"/>
      <c r="F107" s="2" t="inlineStr"/>
      <c r="G107" s="4" t="inlineStr">
        <is>
          <t>김준석</t>
        </is>
      </c>
      <c r="H107" s="4" t="inlineStr">
        <is>
          <t>최대주주</t>
        </is>
      </c>
      <c r="I107" s="4" t="inlineStr">
        <is>
          <t>단순처분</t>
        </is>
      </c>
      <c r="J107" s="7" t="inlineStr"/>
      <c r="K107" s="7" t="inlineStr"/>
      <c r="L107" s="7" t="inlineStr"/>
      <c r="M107" s="7" t="n">
        <v>1254390</v>
      </c>
      <c r="N107" s="16" t="n">
        <v>30.61</v>
      </c>
      <c r="O107" s="7" t="n">
        <v>1155390</v>
      </c>
      <c r="P107" s="16" t="n">
        <v>28.19</v>
      </c>
      <c r="Q107" s="2" t="inlineStr">
        <is>
          <t>20150624000171</t>
        </is>
      </c>
      <c r="R107" s="3">
        <f>HYPERLINK("https://dart.fss.or.kr/dsaf001/main.do?rcpNo=20150624000171", "공시열람")</f>
        <v/>
      </c>
    </row>
    <row r="108">
      <c r="A108" s="2" t="inlineStr">
        <is>
          <t>2015-06-05</t>
        </is>
      </c>
      <c r="B108" s="4" t="inlineStr">
        <is>
          <t>에이디테크놀로지</t>
        </is>
      </c>
      <c r="C108" s="2" t="inlineStr">
        <is>
          <t>200710</t>
        </is>
      </c>
      <c r="D108" s="2" t="inlineStr">
        <is>
          <t>임원보고</t>
        </is>
      </c>
      <c r="E108" s="2" t="inlineStr">
        <is>
          <t>2015-05-31</t>
        </is>
      </c>
      <c r="F108" s="2" t="inlineStr">
        <is>
          <t>2015-05-31</t>
        </is>
      </c>
      <c r="G108" s="4" t="inlineStr">
        <is>
          <t>박준규</t>
        </is>
      </c>
      <c r="H108" s="4" t="inlineStr">
        <is>
          <t>비등기임원 상무</t>
        </is>
      </c>
      <c r="I108" s="4" t="inlineStr">
        <is>
          <t>임원퇴임(-)</t>
        </is>
      </c>
      <c r="J108" s="7" t="inlineStr"/>
      <c r="K108" s="7" t="inlineStr"/>
      <c r="L108" s="7" t="inlineStr"/>
      <c r="M108" s="7" t="inlineStr"/>
      <c r="N108" s="15" t="inlineStr"/>
      <c r="O108" s="7" t="n">
        <v>105000</v>
      </c>
      <c r="P108" s="16" t="n">
        <v>2.56</v>
      </c>
      <c r="Q108" s="2" t="inlineStr">
        <is>
          <t>20150605000165</t>
        </is>
      </c>
      <c r="R108" s="3">
        <f>HYPERLINK("https://dart.fss.or.kr/dsaf001/main.do?rcpNo=20150605000165", "공시열람")</f>
        <v/>
      </c>
    </row>
    <row r="109">
      <c r="A109" s="2" t="inlineStr">
        <is>
          <t>2015-06-05</t>
        </is>
      </c>
      <c r="B109" s="4" t="inlineStr">
        <is>
          <t>에이디테크놀로지</t>
        </is>
      </c>
      <c r="C109" s="2" t="inlineStr">
        <is>
          <t>200710</t>
        </is>
      </c>
      <c r="D109" s="2" t="inlineStr">
        <is>
          <t>임원보고</t>
        </is>
      </c>
      <c r="E109" s="2" t="inlineStr">
        <is>
          <t>2015-05-31</t>
        </is>
      </c>
      <c r="F109" s="2" t="inlineStr">
        <is>
          <t>2015-05-31</t>
        </is>
      </c>
      <c r="G109" s="4" t="inlineStr">
        <is>
          <t>이훈모</t>
        </is>
      </c>
      <c r="H109" s="4" t="inlineStr">
        <is>
          <t>비등기임원 상무</t>
        </is>
      </c>
      <c r="I109" s="4" t="inlineStr">
        <is>
          <t>임원퇴임(-)</t>
        </is>
      </c>
      <c r="J109" s="7" t="inlineStr"/>
      <c r="K109" s="7" t="inlineStr"/>
      <c r="L109" s="7" t="inlineStr"/>
      <c r="M109" s="7" t="inlineStr"/>
      <c r="N109" s="15" t="inlineStr"/>
      <c r="O109" s="7" t="n">
        <v>74920</v>
      </c>
      <c r="P109" s="16" t="n">
        <v>1.83</v>
      </c>
      <c r="Q109" s="2" t="inlineStr">
        <is>
          <t>20150605000170</t>
        </is>
      </c>
      <c r="R109" s="3">
        <f>HYPERLINK("https://dart.fss.or.kr/dsaf001/main.do?rcpNo=20150605000170", "공시열람")</f>
        <v/>
      </c>
    </row>
    <row r="110">
      <c r="A110" s="2" t="inlineStr">
        <is>
          <t>2015-03-31</t>
        </is>
      </c>
      <c r="B110" s="4" t="inlineStr">
        <is>
          <t>에이디테크놀로지</t>
        </is>
      </c>
      <c r="C110" s="2" t="inlineStr">
        <is>
          <t>200710</t>
        </is>
      </c>
      <c r="D110" s="2" t="inlineStr">
        <is>
          <t>대량보유</t>
        </is>
      </c>
      <c r="E110" s="2" t="inlineStr"/>
      <c r="F110" s="2" t="inlineStr"/>
      <c r="G110" s="4" t="inlineStr">
        <is>
          <t>김준석</t>
        </is>
      </c>
      <c r="H110" s="4" t="inlineStr">
        <is>
          <t>최대주주</t>
        </is>
      </c>
      <c r="I110" s="4" t="inlineStr">
        <is>
          <t>특별관계자 추가로 인한 보유상황 1% 이상 변동</t>
        </is>
      </c>
      <c r="J110" s="7" t="inlineStr"/>
      <c r="K110" s="7" t="inlineStr"/>
      <c r="L110" s="7" t="inlineStr"/>
      <c r="M110" s="7" t="n">
        <v>1153340</v>
      </c>
      <c r="N110" s="16" t="n">
        <v>28.55</v>
      </c>
      <c r="O110" s="7" t="n">
        <v>1254390</v>
      </c>
      <c r="P110" s="16" t="n">
        <v>30.61</v>
      </c>
      <c r="Q110" s="2" t="inlineStr">
        <is>
          <t>20150331001367</t>
        </is>
      </c>
      <c r="R110" s="3">
        <f>HYPERLINK("https://dart.fss.or.kr/dsaf001/main.do?rcpNo=20150331001367", "공시열람")</f>
        <v/>
      </c>
    </row>
    <row r="111">
      <c r="A111" s="2" t="inlineStr">
        <is>
          <t>2015-01-22</t>
        </is>
      </c>
      <c r="B111" s="4" t="inlineStr">
        <is>
          <t>에이디테크놀로지</t>
        </is>
      </c>
      <c r="C111" s="2" t="inlineStr">
        <is>
          <t>200710</t>
        </is>
      </c>
      <c r="D111" s="2" t="inlineStr">
        <is>
          <t>임원보고</t>
        </is>
      </c>
      <c r="E111" s="2" t="inlineStr">
        <is>
          <t>2015-01-16</t>
        </is>
      </c>
      <c r="F111" s="2" t="inlineStr">
        <is>
          <t>2015-01-16</t>
        </is>
      </c>
      <c r="G111" s="4" t="inlineStr">
        <is>
          <t>강종민</t>
        </is>
      </c>
      <c r="H111" s="4" t="inlineStr">
        <is>
          <t>비등기임원 상무</t>
        </is>
      </c>
      <c r="I111" s="4" t="inlineStr">
        <is>
          <t>주식매수선택권(+)</t>
        </is>
      </c>
      <c r="J111" s="14" t="n">
        <v>2000</v>
      </c>
      <c r="K111" s="7" t="n">
        <v>2000</v>
      </c>
      <c r="L111" s="14" t="n">
        <v>4000000</v>
      </c>
      <c r="M111" s="7" t="inlineStr"/>
      <c r="N111" s="15" t="inlineStr"/>
      <c r="O111" s="7" t="n">
        <v>43800</v>
      </c>
      <c r="P111" s="16" t="n">
        <v>1.08</v>
      </c>
      <c r="Q111" s="2" t="inlineStr">
        <is>
          <t>20150122000040</t>
        </is>
      </c>
      <c r="R111" s="3">
        <f>HYPERLINK("https://dart.fss.or.kr/dsaf001/main.do?rcpNo=20150122000040", "공시열람")</f>
        <v/>
      </c>
    </row>
    <row r="112">
      <c r="A112" s="2" t="inlineStr">
        <is>
          <t>2014-12-30</t>
        </is>
      </c>
      <c r="B112" s="4" t="inlineStr">
        <is>
          <t>에이디테크놀로지</t>
        </is>
      </c>
      <c r="C112" s="2" t="inlineStr">
        <is>
          <t>200710</t>
        </is>
      </c>
      <c r="D112" s="2" t="inlineStr">
        <is>
          <t>대량보유</t>
        </is>
      </c>
      <c r="E112" s="2" t="inlineStr"/>
      <c r="F112" s="2" t="inlineStr"/>
      <c r="G112" s="4" t="inlineStr">
        <is>
          <t>현대기술투자(주)</t>
        </is>
      </c>
      <c r="H112" s="4" t="inlineStr">
        <is>
          <t>주주</t>
        </is>
      </c>
      <c r="I112" s="4" t="inlineStr">
        <is>
          <t>단순 처분</t>
        </is>
      </c>
      <c r="J112" s="7" t="inlineStr"/>
      <c r="K112" s="7" t="inlineStr"/>
      <c r="L112" s="7" t="inlineStr"/>
      <c r="M112" s="7" t="n">
        <v>249200</v>
      </c>
      <c r="N112" s="16" t="n">
        <v>6.21</v>
      </c>
      <c r="O112" s="7" t="n">
        <v>169146</v>
      </c>
      <c r="P112" s="16" t="n">
        <v>4.22</v>
      </c>
      <c r="Q112" s="2" t="inlineStr">
        <is>
          <t>20141230000678</t>
        </is>
      </c>
      <c r="R112" s="3">
        <f>HYPERLINK("https://dart.fss.or.kr/dsaf001/main.do?rcpNo=20141230000678", "공시열람")</f>
        <v/>
      </c>
    </row>
    <row r="113">
      <c r="A113" s="2" t="inlineStr">
        <is>
          <t>2014-12-24</t>
        </is>
      </c>
      <c r="B113" s="4" t="inlineStr">
        <is>
          <t>에이디테크놀로지</t>
        </is>
      </c>
      <c r="C113" s="2" t="inlineStr">
        <is>
          <t>200710</t>
        </is>
      </c>
      <c r="D113" s="2" t="inlineStr">
        <is>
          <t>임원보고</t>
        </is>
      </c>
      <c r="E113" s="2" t="inlineStr">
        <is>
          <t>2014-12-16</t>
        </is>
      </c>
      <c r="F113" s="2" t="inlineStr">
        <is>
          <t>2014-12-16</t>
        </is>
      </c>
      <c r="G113" s="4" t="inlineStr">
        <is>
          <t>이훈모</t>
        </is>
      </c>
      <c r="H113" s="4" t="inlineStr">
        <is>
          <t>비등기임원 상무</t>
        </is>
      </c>
      <c r="I113" s="4" t="inlineStr">
        <is>
          <t>신규상장(+)</t>
        </is>
      </c>
      <c r="J113" s="14" t="n">
        <v>74920</v>
      </c>
      <c r="K113" s="7" t="n">
        <v>6527</v>
      </c>
      <c r="L113" s="14" t="n">
        <v>489002840</v>
      </c>
      <c r="M113" s="7" t="inlineStr"/>
      <c r="N113" s="15" t="inlineStr"/>
      <c r="O113" s="7" t="n">
        <v>74920</v>
      </c>
      <c r="P113" s="16" t="n">
        <v>1.86</v>
      </c>
      <c r="Q113" s="2" t="inlineStr">
        <is>
          <t>20141224000117</t>
        </is>
      </c>
      <c r="R113" s="3">
        <f>HYPERLINK("https://dart.fss.or.kr/dsaf001/main.do?rcpNo=20141224000117", "공시열람")</f>
        <v/>
      </c>
    </row>
    <row r="114">
      <c r="A114" s="2" t="inlineStr">
        <is>
          <t>2014-12-24</t>
        </is>
      </c>
      <c r="B114" s="4" t="inlineStr">
        <is>
          <t>에이디테크놀로지</t>
        </is>
      </c>
      <c r="C114" s="2" t="inlineStr">
        <is>
          <t>200710</t>
        </is>
      </c>
      <c r="D114" s="2" t="inlineStr">
        <is>
          <t>임원보고</t>
        </is>
      </c>
      <c r="E114" s="2" t="inlineStr">
        <is>
          <t>2014-12-16</t>
        </is>
      </c>
      <c r="F114" s="2" t="inlineStr">
        <is>
          <t>2014-12-16</t>
        </is>
      </c>
      <c r="G114" s="4" t="inlineStr">
        <is>
          <t>최성현</t>
        </is>
      </c>
      <c r="H114" s="4" t="inlineStr">
        <is>
          <t>등기임원 부사장</t>
        </is>
      </c>
      <c r="I114" s="4" t="inlineStr">
        <is>
          <t>신규상장(+)</t>
        </is>
      </c>
      <c r="J114" s="14" t="n">
        <v>75000</v>
      </c>
      <c r="K114" s="7" t="n">
        <v>6527</v>
      </c>
      <c r="L114" s="14" t="n">
        <v>489525000</v>
      </c>
      <c r="M114" s="7" t="inlineStr"/>
      <c r="N114" s="15" t="inlineStr"/>
      <c r="O114" s="7" t="n">
        <v>75000</v>
      </c>
      <c r="P114" s="16" t="n">
        <v>1.86</v>
      </c>
      <c r="Q114" s="2" t="inlineStr">
        <is>
          <t>20141224000122</t>
        </is>
      </c>
      <c r="R114" s="3">
        <f>HYPERLINK("https://dart.fss.or.kr/dsaf001/main.do?rcpNo=20141224000122", "공시열람")</f>
        <v/>
      </c>
    </row>
    <row r="115">
      <c r="A115" s="2" t="inlineStr">
        <is>
          <t>2014-12-24</t>
        </is>
      </c>
      <c r="B115" s="4" t="inlineStr">
        <is>
          <t>에이디테크놀로지</t>
        </is>
      </c>
      <c r="C115" s="2" t="inlineStr">
        <is>
          <t>200710</t>
        </is>
      </c>
      <c r="D115" s="2" t="inlineStr">
        <is>
          <t>임원보고</t>
        </is>
      </c>
      <c r="E115" s="2" t="inlineStr">
        <is>
          <t>2014-12-16</t>
        </is>
      </c>
      <c r="F115" s="2" t="inlineStr">
        <is>
          <t>2014-12-16</t>
        </is>
      </c>
      <c r="G115" s="4" t="inlineStr">
        <is>
          <t>이현석</t>
        </is>
      </c>
      <c r="H115" s="4" t="inlineStr">
        <is>
          <t>비등기임원 상무</t>
        </is>
      </c>
      <c r="I115" s="4" t="inlineStr">
        <is>
          <t>신규상장(+)</t>
        </is>
      </c>
      <c r="J115" s="14" t="n">
        <v>73800</v>
      </c>
      <c r="K115" s="7" t="n">
        <v>6527</v>
      </c>
      <c r="L115" s="14" t="n">
        <v>481692600</v>
      </c>
      <c r="M115" s="7" t="inlineStr"/>
      <c r="N115" s="15" t="inlineStr"/>
      <c r="O115" s="7" t="n">
        <v>73800</v>
      </c>
      <c r="P115" s="16" t="n">
        <v>1.83</v>
      </c>
      <c r="Q115" s="2" t="inlineStr">
        <is>
          <t>20141224000120</t>
        </is>
      </c>
      <c r="R115" s="3">
        <f>HYPERLINK("https://dart.fss.or.kr/dsaf001/main.do?rcpNo=20141224000120", "공시열람")</f>
        <v/>
      </c>
    </row>
    <row r="116">
      <c r="A116" s="2" t="inlineStr">
        <is>
          <t>2014-12-24</t>
        </is>
      </c>
      <c r="B116" s="4" t="inlineStr">
        <is>
          <t>에이디테크놀로지</t>
        </is>
      </c>
      <c r="C116" s="2" t="inlineStr">
        <is>
          <t>200710</t>
        </is>
      </c>
      <c r="D116" s="2" t="inlineStr">
        <is>
          <t>임원보고</t>
        </is>
      </c>
      <c r="E116" s="2" t="inlineStr">
        <is>
          <t>2014-12-16</t>
        </is>
      </c>
      <c r="F116" s="2" t="inlineStr">
        <is>
          <t>2014-12-16</t>
        </is>
      </c>
      <c r="G116" s="4" t="inlineStr">
        <is>
          <t>강종민</t>
        </is>
      </c>
      <c r="H116" s="4" t="inlineStr">
        <is>
          <t>비등기임원 상무</t>
        </is>
      </c>
      <c r="I116" s="4" t="inlineStr">
        <is>
          <t>신규상장(+)</t>
        </is>
      </c>
      <c r="J116" s="14" t="n">
        <v>41800</v>
      </c>
      <c r="K116" s="7" t="n">
        <v>6527</v>
      </c>
      <c r="L116" s="14" t="n">
        <v>272828600</v>
      </c>
      <c r="M116" s="7" t="inlineStr"/>
      <c r="N116" s="15" t="inlineStr"/>
      <c r="O116" s="7" t="n">
        <v>41800</v>
      </c>
      <c r="P116" s="16" t="n">
        <v>1.04</v>
      </c>
      <c r="Q116" s="2" t="inlineStr">
        <is>
          <t>20141224000119</t>
        </is>
      </c>
      <c r="R116" s="3">
        <f>HYPERLINK("https://dart.fss.or.kr/dsaf001/main.do?rcpNo=20141224000119", "공시열람")</f>
        <v/>
      </c>
    </row>
    <row r="117">
      <c r="A117" s="2" t="inlineStr">
        <is>
          <t>2014-12-24</t>
        </is>
      </c>
      <c r="B117" s="4" t="inlineStr">
        <is>
          <t>에이디테크놀로지</t>
        </is>
      </c>
      <c r="C117" s="2" t="inlineStr">
        <is>
          <t>200710</t>
        </is>
      </c>
      <c r="D117" s="2" t="inlineStr">
        <is>
          <t>임원보고</t>
        </is>
      </c>
      <c r="E117" s="2" t="inlineStr">
        <is>
          <t>2014-12-16</t>
        </is>
      </c>
      <c r="F117" s="2" t="inlineStr">
        <is>
          <t>2014-12-16</t>
        </is>
      </c>
      <c r="G117" s="4" t="inlineStr">
        <is>
          <t>김준석</t>
        </is>
      </c>
      <c r="H117" s="4" t="inlineStr">
        <is>
          <t>등기임원 대표이사, 10%이상주주</t>
        </is>
      </c>
      <c r="I117" s="4" t="inlineStr">
        <is>
          <t>신규상장(+)</t>
        </is>
      </c>
      <c r="J117" s="14" t="n">
        <v>936400</v>
      </c>
      <c r="K117" s="7" t="n">
        <v>6527</v>
      </c>
      <c r="L117" s="14" t="n">
        <v>6111882800</v>
      </c>
      <c r="M117" s="7" t="inlineStr"/>
      <c r="N117" s="15" t="inlineStr"/>
      <c r="O117" s="7" t="n">
        <v>936400</v>
      </c>
      <c r="P117" s="16" t="n">
        <v>23.25</v>
      </c>
      <c r="Q117" s="2" t="inlineStr">
        <is>
          <t>20141224000123</t>
        </is>
      </c>
      <c r="R117" s="3">
        <f>HYPERLINK("https://dart.fss.or.kr/dsaf001/main.do?rcpNo=20141224000123", "공시열람")</f>
        <v/>
      </c>
    </row>
    <row r="118">
      <c r="A118" s="2" t="inlineStr">
        <is>
          <t>2014-12-24</t>
        </is>
      </c>
      <c r="B118" s="4" t="inlineStr">
        <is>
          <t>에이디테크놀로지</t>
        </is>
      </c>
      <c r="C118" s="2" t="inlineStr">
        <is>
          <t>200710</t>
        </is>
      </c>
      <c r="D118" s="2" t="inlineStr">
        <is>
          <t>임원보고</t>
        </is>
      </c>
      <c r="E118" s="2" t="inlineStr">
        <is>
          <t>2014-12-16</t>
        </is>
      </c>
      <c r="F118" s="2" t="inlineStr">
        <is>
          <t>2014-12-16</t>
        </is>
      </c>
      <c r="G118" s="4" t="inlineStr">
        <is>
          <t>박준규</t>
        </is>
      </c>
      <c r="H118" s="4" t="inlineStr">
        <is>
          <t>비등기임원 상무</t>
        </is>
      </c>
      <c r="I118" s="4" t="inlineStr">
        <is>
          <t>신규상장(+)</t>
        </is>
      </c>
      <c r="J118" s="14" t="n">
        <v>105000</v>
      </c>
      <c r="K118" s="7" t="n">
        <v>6527</v>
      </c>
      <c r="L118" s="14" t="n">
        <v>685335000</v>
      </c>
      <c r="M118" s="7" t="inlineStr"/>
      <c r="N118" s="15" t="inlineStr"/>
      <c r="O118" s="7" t="n">
        <v>105000</v>
      </c>
      <c r="P118" s="16" t="n">
        <v>2.61</v>
      </c>
      <c r="Q118" s="2" t="inlineStr">
        <is>
          <t>20141224000112</t>
        </is>
      </c>
      <c r="R118" s="3">
        <f>HYPERLINK("https://dart.fss.or.kr/dsaf001/main.do?rcpNo=20141224000112", "공시열람")</f>
        <v/>
      </c>
    </row>
    <row r="119">
      <c r="A119" s="2" t="inlineStr">
        <is>
          <t>2014-12-24</t>
        </is>
      </c>
      <c r="B119" s="4" t="inlineStr">
        <is>
          <t>에이디테크놀로지</t>
        </is>
      </c>
      <c r="C119" s="2" t="inlineStr">
        <is>
          <t>200710</t>
        </is>
      </c>
      <c r="D119" s="2" t="inlineStr">
        <is>
          <t>임원보고</t>
        </is>
      </c>
      <c r="E119" s="2" t="inlineStr">
        <is>
          <t>2014-12-16</t>
        </is>
      </c>
      <c r="F119" s="2" t="inlineStr">
        <is>
          <t>2014-12-16</t>
        </is>
      </c>
      <c r="G119" s="4" t="inlineStr">
        <is>
          <t>문갑주</t>
        </is>
      </c>
      <c r="H119" s="4" t="inlineStr">
        <is>
          <t>비등기임원 상무</t>
        </is>
      </c>
      <c r="I119" s="4" t="inlineStr">
        <is>
          <t>신규상장(+)</t>
        </is>
      </c>
      <c r="J119" s="14" t="n">
        <v>27250</v>
      </c>
      <c r="K119" s="7" t="n">
        <v>6527</v>
      </c>
      <c r="L119" s="14" t="n">
        <v>177860750</v>
      </c>
      <c r="M119" s="7" t="inlineStr"/>
      <c r="N119" s="15" t="inlineStr"/>
      <c r="O119" s="7" t="n">
        <v>27250</v>
      </c>
      <c r="P119" s="16" t="n">
        <v>0.68</v>
      </c>
      <c r="Q119" s="2" t="inlineStr">
        <is>
          <t>20141224000109</t>
        </is>
      </c>
      <c r="R119" s="3">
        <f>HYPERLINK("https://dart.fss.or.kr/dsaf001/main.do?rcpNo=20141224000109", "공시열람")</f>
        <v/>
      </c>
    </row>
    <row r="120">
      <c r="A120" s="2" t="inlineStr">
        <is>
          <t>2014-12-24</t>
        </is>
      </c>
      <c r="B120" s="4" t="inlineStr">
        <is>
          <t>에이디테크놀로지</t>
        </is>
      </c>
      <c r="C120" s="2" t="inlineStr">
        <is>
          <t>200710</t>
        </is>
      </c>
      <c r="D120" s="2" t="inlineStr">
        <is>
          <t>대량보유</t>
        </is>
      </c>
      <c r="E120" s="2" t="inlineStr"/>
      <c r="F120" s="2" t="inlineStr"/>
      <c r="G120" s="4" t="inlineStr">
        <is>
          <t>김준석</t>
        </is>
      </c>
      <c r="H120" s="4" t="inlineStr">
        <is>
          <t>최대주주</t>
        </is>
      </c>
      <c r="I120" s="4" t="inlineStr">
        <is>
          <t>코스닥 시장 신규상장에 따른 최초 보고</t>
        </is>
      </c>
      <c r="J120" s="7" t="inlineStr"/>
      <c r="K120" s="7" t="inlineStr"/>
      <c r="L120" s="7" t="inlineStr"/>
      <c r="M120" s="7" t="inlineStr"/>
      <c r="N120" s="15" t="inlineStr"/>
      <c r="O120" s="7" t="n">
        <v>1142340</v>
      </c>
      <c r="P120" s="16" t="n">
        <v>28.36</v>
      </c>
      <c r="Q120" s="2" t="inlineStr">
        <is>
          <t>20141223000463</t>
        </is>
      </c>
      <c r="R120" s="3">
        <f>HYPERLINK("https://dart.fss.or.kr/dsaf001/main.do?rcpNo=20141223000463", "공시열람")</f>
        <v/>
      </c>
    </row>
    <row r="121">
      <c r="A121" s="2" t="inlineStr">
        <is>
          <t>2014-12-22</t>
        </is>
      </c>
      <c r="B121" s="4" t="inlineStr">
        <is>
          <t>에이디테크놀로지</t>
        </is>
      </c>
      <c r="C121" s="2" t="inlineStr">
        <is>
          <t>200710</t>
        </is>
      </c>
      <c r="D121" s="2" t="inlineStr">
        <is>
          <t>대량보유</t>
        </is>
      </c>
      <c r="E121" s="2" t="inlineStr"/>
      <c r="F121" s="2" t="inlineStr"/>
      <c r="G121" s="4" t="inlineStr">
        <is>
          <t>현대기술투자(주)</t>
        </is>
      </c>
      <c r="H121" s="4" t="inlineStr">
        <is>
          <t>주주</t>
        </is>
      </c>
      <c r="I121" s="4" t="inlineStr">
        <is>
          <t>코스닥 시장 상장에 따른 신규보고</t>
        </is>
      </c>
      <c r="J121" s="7" t="inlineStr"/>
      <c r="K121" s="7" t="inlineStr"/>
      <c r="L121" s="7" t="inlineStr"/>
      <c r="M121" s="7" t="inlineStr"/>
      <c r="N121" s="15" t="inlineStr"/>
      <c r="O121" s="7" t="n">
        <v>249200</v>
      </c>
      <c r="P121" s="16" t="n">
        <v>6.21</v>
      </c>
      <c r="Q121" s="2" t="inlineStr">
        <is>
          <t>20141222000333</t>
        </is>
      </c>
      <c r="R121" s="3">
        <f>HYPERLINK("https://dart.fss.or.kr/dsaf001/main.do?rcpNo=20141222000333", "공시열람")</f>
        <v/>
      </c>
    </row>
  </sheetData>
  <autoFilter ref="A1:R1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6" customWidth="1" min="2" max="2"/>
    <col hidden="1" width="10" customWidth="1" min="3" max="3"/>
    <col hidden="1" width="10" customWidth="1" min="4" max="4"/>
    <col width="25" customWidth="1" min="5" max="5"/>
    <col width="11.6" customWidth="1" min="6" max="6"/>
    <col width="16.4" customWidth="1" min="7" max="7"/>
    <col width="10" customWidth="1" min="8" max="8"/>
    <col width="10.4" customWidth="1" min="9" max="9"/>
    <col width="10" customWidth="1" min="10" max="10"/>
    <col width="14" customWidth="1" min="11" max="11"/>
    <col width="14" customWidth="1" min="12" max="12"/>
    <col width="10" customWidth="1" min="13" max="13"/>
    <col width="20" customWidth="1" min="14" max="14"/>
    <col width="25" customWidth="1" min="15" max="15"/>
    <col width="18.8" customWidth="1" min="16" max="16"/>
    <col width="10" customWidth="1" min="17" max="17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시장구분</t>
        </is>
      </c>
      <c r="D1" s="1" t="inlineStr">
        <is>
          <t>종목코드</t>
        </is>
      </c>
      <c r="E1" s="1" t="inlineStr">
        <is>
          <t>공시명</t>
        </is>
      </c>
      <c r="F1" s="1" t="inlineStr">
        <is>
          <t>유형</t>
        </is>
      </c>
      <c r="G1" s="1" t="inlineStr">
        <is>
          <t>예정금액</t>
        </is>
      </c>
      <c r="H1" s="1" t="inlineStr">
        <is>
          <t>예정주식수</t>
        </is>
      </c>
      <c r="I1" s="1" t="inlineStr">
        <is>
          <t>소각비율(%)</t>
        </is>
      </c>
      <c r="J1" s="1" t="inlineStr">
        <is>
          <t>취득방법</t>
        </is>
      </c>
      <c r="K1" s="1" t="inlineStr">
        <is>
          <t>시작일</t>
        </is>
      </c>
      <c r="L1" s="1" t="inlineStr">
        <is>
          <t>종료일</t>
        </is>
      </c>
      <c r="M1" s="1" t="inlineStr">
        <is>
          <t>소각예정일</t>
        </is>
      </c>
      <c r="N1" s="1" t="inlineStr">
        <is>
          <t>위탁투자업자/수탁기관</t>
        </is>
      </c>
      <c r="O1" s="1" t="inlineStr">
        <is>
          <t>목적</t>
        </is>
      </c>
      <c r="P1" s="1" t="inlineStr">
        <is>
          <t>접수번호</t>
        </is>
      </c>
      <c r="Q1" s="1" t="inlineStr">
        <is>
          <t>DART링크</t>
        </is>
      </c>
    </row>
    <row r="2" ht="36" customHeight="1">
      <c r="A2" s="2" t="inlineStr">
        <is>
          <t>2024-07-24</t>
        </is>
      </c>
      <c r="B2" s="4" t="inlineStr">
        <is>
          <t>에이디테크놀로지</t>
        </is>
      </c>
      <c r="C2" s="2" t="inlineStr">
        <is>
          <t>코스닥</t>
        </is>
      </c>
      <c r="D2" s="2" t="inlineStr">
        <is>
          <t>200710</t>
        </is>
      </c>
      <c r="E2" s="9" t="inlineStr">
        <is>
          <t>주요사항보고서(자기주식취득신탁계약체결결정)</t>
        </is>
      </c>
      <c r="F2" s="2" t="inlineStr">
        <is>
          <t>신탁계약체결결정</t>
        </is>
      </c>
      <c r="G2" s="6" t="inlineStr"/>
      <c r="H2" s="7" t="inlineStr"/>
      <c r="I2" s="15" t="inlineStr"/>
      <c r="J2" s="4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9" t="inlineStr">
        <is>
          <t>-</t>
        </is>
      </c>
      <c r="O2" s="9" t="inlineStr">
        <is>
          <t>-</t>
        </is>
      </c>
      <c r="P2" s="2" t="inlineStr">
        <is>
          <t>20240724000110</t>
        </is>
      </c>
      <c r="Q2" s="3">
        <f>HYPERLINK("https://dart.fss.or.kr/dsaf001/main.do?rcpNo=20240724000110", "공시열람")</f>
        <v/>
      </c>
    </row>
    <row r="3" ht="36" customHeight="1">
      <c r="A3" s="2" t="inlineStr">
        <is>
          <t>2023-01-09</t>
        </is>
      </c>
      <c r="B3" s="4" t="inlineStr">
        <is>
          <t>에이디테크놀로지</t>
        </is>
      </c>
      <c r="C3" s="2" t="inlineStr">
        <is>
          <t>코스닥</t>
        </is>
      </c>
      <c r="D3" s="2" t="inlineStr">
        <is>
          <t>200710</t>
        </is>
      </c>
      <c r="E3" s="9" t="inlineStr">
        <is>
          <t>주요사항보고서(자기주식취득신탁계약체결결정)</t>
        </is>
      </c>
      <c r="F3" s="2" t="inlineStr">
        <is>
          <t>신탁계약체결결정</t>
        </is>
      </c>
      <c r="G3" s="6" t="n">
        <v>2000000000</v>
      </c>
      <c r="H3" s="7" t="inlineStr"/>
      <c r="I3" s="15" t="inlineStr"/>
      <c r="J3" s="4" t="inlineStr">
        <is>
          <t>비고</t>
        </is>
      </c>
      <c r="K3" s="2" t="inlineStr">
        <is>
          <t>2023-01-10</t>
        </is>
      </c>
      <c r="L3" s="2" t="inlineStr">
        <is>
          <t>2023-07-10</t>
        </is>
      </c>
      <c r="M3" s="2" t="inlineStr">
        <is>
          <t>-</t>
        </is>
      </c>
      <c r="N3" s="9" t="inlineStr">
        <is>
          <t>한국투자증권(Korea Investment &amp; Securities Co.,Ltd.)</t>
        </is>
      </c>
      <c r="O3" s="9" t="inlineStr">
        <is>
          <t>주가안정 및 주주가치 제고</t>
        </is>
      </c>
      <c r="P3" s="2" t="inlineStr">
        <is>
          <t>20230109000192</t>
        </is>
      </c>
      <c r="Q3" s="3">
        <f>HYPERLINK("https://dart.fss.or.kr/dsaf001/main.do?rcpNo=20230109000192", "공시열람")</f>
        <v/>
      </c>
    </row>
    <row r="4" ht="36" customHeight="1">
      <c r="A4" s="2" t="inlineStr">
        <is>
          <t>2022-07-25</t>
        </is>
      </c>
      <c r="B4" s="4" t="inlineStr">
        <is>
          <t>에이디테크놀로지</t>
        </is>
      </c>
      <c r="C4" s="2" t="inlineStr">
        <is>
          <t>코스닥</t>
        </is>
      </c>
      <c r="D4" s="2" t="inlineStr">
        <is>
          <t>200710</t>
        </is>
      </c>
      <c r="E4" s="9" t="inlineStr">
        <is>
          <t>주요사항보고서(자기주식취득신탁계약체결결정)</t>
        </is>
      </c>
      <c r="F4" s="2" t="inlineStr">
        <is>
          <t>신탁계약체결결정</t>
        </is>
      </c>
      <c r="G4" s="6" t="n">
        <v>2000000000</v>
      </c>
      <c r="H4" s="7" t="inlineStr"/>
      <c r="I4" s="15" t="inlineStr"/>
      <c r="J4" s="4" t="inlineStr">
        <is>
          <t>비고</t>
        </is>
      </c>
      <c r="K4" s="2" t="inlineStr">
        <is>
          <t>2022-07-26</t>
        </is>
      </c>
      <c r="L4" s="2" t="inlineStr">
        <is>
          <t>2023-01-25</t>
        </is>
      </c>
      <c r="M4" s="2" t="inlineStr">
        <is>
          <t>-</t>
        </is>
      </c>
      <c r="N4" s="9" t="inlineStr">
        <is>
          <t>한국투자증권</t>
        </is>
      </c>
      <c r="O4" s="9" t="inlineStr">
        <is>
          <t>주가안정 및 주주가치 제고</t>
        </is>
      </c>
      <c r="P4" s="2" t="inlineStr">
        <is>
          <t>20220725000051</t>
        </is>
      </c>
      <c r="Q4" s="3">
        <f>HYPERLINK("https://dart.fss.or.kr/dsaf001/main.do?rcpNo=20220725000051", "공시열람")</f>
        <v/>
      </c>
    </row>
    <row r="5" ht="36" customHeight="1">
      <c r="A5" s="2" t="inlineStr">
        <is>
          <t>2020-06-16</t>
        </is>
      </c>
      <c r="B5" s="4" t="inlineStr">
        <is>
          <t>에이디테크놀로지</t>
        </is>
      </c>
      <c r="C5" s="2" t="inlineStr">
        <is>
          <t>코스닥</t>
        </is>
      </c>
      <c r="D5" s="2" t="inlineStr">
        <is>
          <t>200710</t>
        </is>
      </c>
      <c r="E5" s="9" t="inlineStr">
        <is>
          <t>주요사항보고서(자기주식취득신탁계약해지결정)</t>
        </is>
      </c>
      <c r="F5" s="2" t="inlineStr">
        <is>
          <t>신탁계약체결결정</t>
        </is>
      </c>
      <c r="G5" s="6" t="n">
        <v>2000000000</v>
      </c>
      <c r="H5" s="7" t="inlineStr"/>
      <c r="I5" s="15" t="inlineStr"/>
      <c r="J5" s="4" t="inlineStr">
        <is>
          <t>비고</t>
        </is>
      </c>
      <c r="K5" s="2" t="inlineStr">
        <is>
          <t>2019-12-16</t>
        </is>
      </c>
      <c r="L5" s="2" t="inlineStr">
        <is>
          <t>2020-06-16</t>
        </is>
      </c>
      <c r="M5" s="2" t="inlineStr">
        <is>
          <t>-</t>
        </is>
      </c>
      <c r="N5" s="9" t="inlineStr">
        <is>
          <t>-</t>
        </is>
      </c>
      <c r="O5" s="9" t="inlineStr">
        <is>
          <t>신탁계약기간 만료에 따른 해지</t>
        </is>
      </c>
      <c r="P5" s="2" t="inlineStr">
        <is>
          <t>20200616000180</t>
        </is>
      </c>
      <c r="Q5" s="3">
        <f>HYPERLINK("https://dart.fss.or.kr/dsaf001/main.do?rcpNo=20200616000180", "공시열람")</f>
        <v/>
      </c>
    </row>
    <row r="6" ht="36" customHeight="1">
      <c r="A6" s="2" t="inlineStr">
        <is>
          <t>2019-12-13</t>
        </is>
      </c>
      <c r="B6" s="4" t="inlineStr">
        <is>
          <t>에이디테크놀로지</t>
        </is>
      </c>
      <c r="C6" s="2" t="inlineStr">
        <is>
          <t>코스닥</t>
        </is>
      </c>
      <c r="D6" s="2" t="inlineStr">
        <is>
          <t>200710</t>
        </is>
      </c>
      <c r="E6" s="9" t="inlineStr">
        <is>
          <t>주요사항보고서(자기주식취득신탁계약체결결정)</t>
        </is>
      </c>
      <c r="F6" s="2" t="inlineStr">
        <is>
          <t>신탁계약체결결정</t>
        </is>
      </c>
      <c r="G6" s="6" t="n">
        <v>2000000000</v>
      </c>
      <c r="H6" s="7" t="inlineStr"/>
      <c r="I6" s="15" t="inlineStr"/>
      <c r="J6" s="4" t="inlineStr">
        <is>
          <t>비고</t>
        </is>
      </c>
      <c r="K6" s="2" t="inlineStr">
        <is>
          <t>2019-12-16</t>
        </is>
      </c>
      <c r="L6" s="2" t="inlineStr">
        <is>
          <t>2020-06-16</t>
        </is>
      </c>
      <c r="M6" s="2" t="inlineStr">
        <is>
          <t>-</t>
        </is>
      </c>
      <c r="N6" s="9" t="inlineStr">
        <is>
          <t>한국투자증권</t>
        </is>
      </c>
      <c r="O6" s="9" t="inlineStr">
        <is>
          <t>주가안정 및 주주가치 제고</t>
        </is>
      </c>
      <c r="P6" s="2" t="inlineStr">
        <is>
          <t>20191213000342</t>
        </is>
      </c>
      <c r="Q6" s="3">
        <f>HYPERLINK("https://dart.fss.or.kr/dsaf001/main.do?rcpNo=20191213000342", "공시열람")</f>
        <v/>
      </c>
    </row>
    <row r="7" ht="36" customHeight="1">
      <c r="A7" s="2" t="inlineStr">
        <is>
          <t>2016-02-23</t>
        </is>
      </c>
      <c r="B7" s="4" t="inlineStr">
        <is>
          <t>에이디테크놀로지</t>
        </is>
      </c>
      <c r="C7" s="2" t="inlineStr">
        <is>
          <t>코스닥</t>
        </is>
      </c>
      <c r="D7" s="2" t="inlineStr">
        <is>
          <t>200710</t>
        </is>
      </c>
      <c r="E7" s="9" t="inlineStr">
        <is>
          <t>주요사항보고서(자기주식취득신탁계약해지결정)</t>
        </is>
      </c>
      <c r="F7" s="2" t="inlineStr">
        <is>
          <t>신탁계약체결결정</t>
        </is>
      </c>
      <c r="G7" s="6" t="n">
        <v>2000000000</v>
      </c>
      <c r="H7" s="7" t="inlineStr"/>
      <c r="I7" s="15" t="inlineStr"/>
      <c r="J7" s="4" t="inlineStr">
        <is>
          <t>비고</t>
        </is>
      </c>
      <c r="K7" s="2" t="inlineStr">
        <is>
          <t>2015-08-20</t>
        </is>
      </c>
      <c r="L7" s="2" t="inlineStr">
        <is>
          <t>2016-02-22</t>
        </is>
      </c>
      <c r="M7" s="2" t="inlineStr">
        <is>
          <t>-</t>
        </is>
      </c>
      <c r="N7" s="9" t="inlineStr">
        <is>
          <t>-</t>
        </is>
      </c>
      <c r="O7" s="9" t="inlineStr">
        <is>
          <t>신탁계약 기간만료</t>
        </is>
      </c>
      <c r="P7" s="2" t="inlineStr">
        <is>
          <t>20160222000425</t>
        </is>
      </c>
      <c r="Q7" s="3">
        <f>HYPERLINK("https://dart.fss.or.kr/dsaf001/main.do?rcpNo=20160222000425", "공시열람")</f>
        <v/>
      </c>
    </row>
    <row r="8" ht="36" customHeight="1">
      <c r="A8" s="2" t="inlineStr">
        <is>
          <t>2015-08-19</t>
        </is>
      </c>
      <c r="B8" s="4" t="inlineStr">
        <is>
          <t>에이디테크놀로지</t>
        </is>
      </c>
      <c r="C8" s="2" t="inlineStr">
        <is>
          <t>코스닥</t>
        </is>
      </c>
      <c r="D8" s="2" t="inlineStr">
        <is>
          <t>200710</t>
        </is>
      </c>
      <c r="E8" s="9" t="inlineStr">
        <is>
          <t>주요사항보고서(자기주식취득신탁계약체결결정)</t>
        </is>
      </c>
      <c r="F8" s="2" t="inlineStr">
        <is>
          <t>신탁계약체결결정</t>
        </is>
      </c>
      <c r="G8" s="6" t="n">
        <v>2000000000</v>
      </c>
      <c r="H8" s="7" t="inlineStr"/>
      <c r="I8" s="15" t="inlineStr"/>
      <c r="J8" s="4" t="inlineStr">
        <is>
          <t>비고</t>
        </is>
      </c>
      <c r="K8" s="2" t="inlineStr">
        <is>
          <t>2015-08-20</t>
        </is>
      </c>
      <c r="L8" s="2" t="inlineStr">
        <is>
          <t>2016-02-20</t>
        </is>
      </c>
      <c r="M8" s="2" t="inlineStr">
        <is>
          <t>-</t>
        </is>
      </c>
      <c r="N8" s="9" t="inlineStr">
        <is>
          <t>한국투자증권</t>
        </is>
      </c>
      <c r="O8" s="9" t="inlineStr">
        <is>
          <t>주가안정 및 주주가치 제고</t>
        </is>
      </c>
      <c r="P8" s="2" t="inlineStr">
        <is>
          <t>20150819000102</t>
        </is>
      </c>
      <c r="Q8" s="3">
        <f>HYPERLINK("https://dart.fss.or.kr/dsaf001/main.do?rcpNo=20150819000102", "공시열람")</f>
        <v/>
      </c>
    </row>
  </sheetData>
  <autoFilter ref="A1:Q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6" customWidth="1" min="2" max="2"/>
    <col hidden="1" width="10" customWidth="1" min="3" max="3"/>
    <col hidden="1" width="10" customWidth="1" min="4" max="4"/>
    <col width="35" customWidth="1" min="5" max="5"/>
    <col width="11.6" customWidth="1" min="6" max="6"/>
    <col width="18.8" customWidth="1" min="7" max="7"/>
    <col width="10" customWidth="1" min="8" max="8"/>
  </cols>
  <sheetData>
    <row r="1">
      <c r="A1" s="18" t="inlineStr">
        <is>
          <t>접수일자</t>
        </is>
      </c>
      <c r="B1" s="18" t="inlineStr">
        <is>
          <t>회사명</t>
        </is>
      </c>
      <c r="C1" s="18" t="inlineStr">
        <is>
          <t>시장구분</t>
        </is>
      </c>
      <c r="D1" s="18" t="inlineStr">
        <is>
          <t>종목코드</t>
        </is>
      </c>
      <c r="E1" s="18" t="inlineStr">
        <is>
          <t>공시명</t>
        </is>
      </c>
      <c r="F1" s="18" t="inlineStr">
        <is>
          <t>제출인</t>
        </is>
      </c>
      <c r="G1" s="18" t="inlineStr">
        <is>
          <t>접수번호</t>
        </is>
      </c>
      <c r="H1" s="18" t="inlineStr">
        <is>
          <t>DART링크</t>
        </is>
      </c>
    </row>
    <row r="2">
      <c r="A2" s="2" t="inlineStr">
        <is>
          <t>2026-03-30</t>
        </is>
      </c>
      <c r="B2" s="4" t="inlineStr">
        <is>
          <t>에이디테크놀로지</t>
        </is>
      </c>
      <c r="C2" s="2" t="inlineStr">
        <is>
          <t>코스닥</t>
        </is>
      </c>
      <c r="D2" s="2" t="inlineStr">
        <is>
          <t>200710</t>
        </is>
      </c>
      <c r="E2" s="4" t="inlineStr">
        <is>
          <t xml:space="preserve">정기주주총회결과              </t>
        </is>
      </c>
      <c r="F2" s="4" t="inlineStr">
        <is>
          <t>에이디테크놀로지</t>
        </is>
      </c>
      <c r="G2" s="2" t="inlineStr">
        <is>
          <t>20260330901030</t>
        </is>
      </c>
      <c r="H2" s="3">
        <f>HYPERLINK("https://dart.fss.or.kr/dsaf001/main.do?rcpNo=20260330901030", "공시열람")</f>
        <v/>
      </c>
    </row>
    <row r="3">
      <c r="A3" s="2" t="inlineStr">
        <is>
          <t>2026-03-06</t>
        </is>
      </c>
      <c r="B3" s="4" t="inlineStr">
        <is>
          <t>에이디테크놀로지</t>
        </is>
      </c>
      <c r="C3" s="2" t="inlineStr">
        <is>
          <t>코스닥</t>
        </is>
      </c>
      <c r="D3" s="2" t="inlineStr">
        <is>
          <t>200710</t>
        </is>
      </c>
      <c r="E3" s="4" t="inlineStr">
        <is>
          <t xml:space="preserve">주주총회소집결의              </t>
        </is>
      </c>
      <c r="F3" s="4" t="inlineStr">
        <is>
          <t>에이디테크놀로지</t>
        </is>
      </c>
      <c r="G3" s="2" t="inlineStr">
        <is>
          <t>20260306901656</t>
        </is>
      </c>
      <c r="H3" s="3">
        <f>HYPERLINK("https://dart.fss.or.kr/dsaf001/main.do?rcpNo=20260306901656", "공시열람")</f>
        <v/>
      </c>
    </row>
    <row r="4">
      <c r="A4" s="2" t="inlineStr">
        <is>
          <t>2026-03-06</t>
        </is>
      </c>
      <c r="B4" s="4" t="inlineStr">
        <is>
          <t>에이디테크놀로지</t>
        </is>
      </c>
      <c r="C4" s="2" t="inlineStr">
        <is>
          <t>코스닥</t>
        </is>
      </c>
      <c r="D4" s="2" t="inlineStr">
        <is>
          <t>200710</t>
        </is>
      </c>
      <c r="E4" s="4" t="inlineStr">
        <is>
          <t xml:space="preserve">주주총회집중일개최사유신고              </t>
        </is>
      </c>
      <c r="F4" s="4" t="inlineStr">
        <is>
          <t>에이디테크놀로지</t>
        </is>
      </c>
      <c r="G4" s="2" t="inlineStr">
        <is>
          <t>20260306901622</t>
        </is>
      </c>
      <c r="H4" s="3">
        <f>HYPERLINK("https://dart.fss.or.kr/dsaf001/main.do?rcpNo=20260306901622", "공시열람")</f>
        <v/>
      </c>
    </row>
    <row r="5">
      <c r="A5" s="2" t="inlineStr">
        <is>
          <t>2026-03-06</t>
        </is>
      </c>
      <c r="B5" s="4" t="inlineStr">
        <is>
          <t>에이디테크놀로지</t>
        </is>
      </c>
      <c r="C5" s="2" t="inlineStr">
        <is>
          <t>코스닥</t>
        </is>
      </c>
      <c r="D5" s="2" t="inlineStr">
        <is>
          <t>200710</t>
        </is>
      </c>
      <c r="E5" s="4" t="inlineStr">
        <is>
          <t>주주총회소집공고</t>
        </is>
      </c>
      <c r="F5" s="4" t="inlineStr">
        <is>
          <t>에이디테크놀로지</t>
        </is>
      </c>
      <c r="G5" s="2" t="inlineStr">
        <is>
          <t>20260306001010</t>
        </is>
      </c>
      <c r="H5" s="3">
        <f>HYPERLINK("https://dart.fss.or.kr/dsaf001/main.do?rcpNo=20260306001010", "공시열람")</f>
        <v/>
      </c>
    </row>
    <row r="6">
      <c r="A6" s="2" t="inlineStr">
        <is>
          <t>2025-03-31</t>
        </is>
      </c>
      <c r="B6" s="4" t="inlineStr">
        <is>
          <t>에이디테크놀로지</t>
        </is>
      </c>
      <c r="C6" s="2" t="inlineStr">
        <is>
          <t>코스닥</t>
        </is>
      </c>
      <c r="D6" s="2" t="inlineStr">
        <is>
          <t>200710</t>
        </is>
      </c>
      <c r="E6" s="4" t="inlineStr">
        <is>
          <t xml:space="preserve">정기주주총회결과              </t>
        </is>
      </c>
      <c r="F6" s="4" t="inlineStr">
        <is>
          <t>에이디테크놀로지</t>
        </is>
      </c>
      <c r="G6" s="2" t="inlineStr">
        <is>
          <t>20250331903099</t>
        </is>
      </c>
      <c r="H6" s="3">
        <f>HYPERLINK("https://dart.fss.or.kr/dsaf001/main.do?rcpNo=20250331903099", "공시열람")</f>
        <v/>
      </c>
    </row>
    <row r="7">
      <c r="A7" s="2" t="inlineStr">
        <is>
          <t>2025-03-17</t>
        </is>
      </c>
      <c r="B7" s="4" t="inlineStr">
        <is>
          <t>에이디테크놀로지</t>
        </is>
      </c>
      <c r="C7" s="2" t="inlineStr">
        <is>
          <t>코스닥</t>
        </is>
      </c>
      <c r="D7" s="2" t="inlineStr">
        <is>
          <t>200710</t>
        </is>
      </c>
      <c r="E7" s="4" t="inlineStr">
        <is>
          <t xml:space="preserve">주주총회소집결의              </t>
        </is>
      </c>
      <c r="F7" s="4" t="inlineStr">
        <is>
          <t>에이디테크놀로지</t>
        </is>
      </c>
      <c r="G7" s="2" t="inlineStr">
        <is>
          <t>20250317900151</t>
        </is>
      </c>
      <c r="H7" s="3">
        <f>HYPERLINK("https://dart.fss.or.kr/dsaf001/main.do?rcpNo=20250317900151", "공시열람")</f>
        <v/>
      </c>
    </row>
    <row r="8">
      <c r="A8" s="2" t="inlineStr">
        <is>
          <t>2025-03-17</t>
        </is>
      </c>
      <c r="B8" s="4" t="inlineStr">
        <is>
          <t>에이디테크놀로지</t>
        </is>
      </c>
      <c r="C8" s="2" t="inlineStr">
        <is>
          <t>코스닥</t>
        </is>
      </c>
      <c r="D8" s="2" t="inlineStr">
        <is>
          <t>200710</t>
        </is>
      </c>
      <c r="E8" s="4" t="inlineStr">
        <is>
          <t>주주총회소집공고</t>
        </is>
      </c>
      <c r="F8" s="4" t="inlineStr">
        <is>
          <t>에이디테크놀로지</t>
        </is>
      </c>
      <c r="G8" s="2" t="inlineStr">
        <is>
          <t>20250317000174</t>
        </is>
      </c>
      <c r="H8" s="3">
        <f>HYPERLINK("https://dart.fss.or.kr/dsaf001/main.do?rcpNo=20250317000174", "공시열람")</f>
        <v/>
      </c>
    </row>
    <row r="9">
      <c r="A9" s="2" t="inlineStr">
        <is>
          <t>2024-03-28</t>
        </is>
      </c>
      <c r="B9" s="4" t="inlineStr">
        <is>
          <t>에이디테크놀로지</t>
        </is>
      </c>
      <c r="C9" s="2" t="inlineStr">
        <is>
          <t>코스닥</t>
        </is>
      </c>
      <c r="D9" s="2" t="inlineStr">
        <is>
          <t>200710</t>
        </is>
      </c>
      <c r="E9" s="4" t="inlineStr">
        <is>
          <t xml:space="preserve">정기주주총회결과              </t>
        </is>
      </c>
      <c r="F9" s="4" t="inlineStr">
        <is>
          <t>에이디테크놀로지</t>
        </is>
      </c>
      <c r="G9" s="2" t="inlineStr">
        <is>
          <t>20240328902332</t>
        </is>
      </c>
      <c r="H9" s="3">
        <f>HYPERLINK("https://dart.fss.or.kr/dsaf001/main.do?rcpNo=20240328902332", "공시열람")</f>
        <v/>
      </c>
    </row>
    <row r="10">
      <c r="A10" s="2" t="inlineStr">
        <is>
          <t>2024-03-12</t>
        </is>
      </c>
      <c r="B10" s="4" t="inlineStr">
        <is>
          <t>에이디테크놀로지</t>
        </is>
      </c>
      <c r="C10" s="2" t="inlineStr">
        <is>
          <t>코스닥</t>
        </is>
      </c>
      <c r="D10" s="2" t="inlineStr">
        <is>
          <t>200710</t>
        </is>
      </c>
      <c r="E10" s="4" t="inlineStr">
        <is>
          <t>주주총회소집공고</t>
        </is>
      </c>
      <c r="F10" s="4" t="inlineStr">
        <is>
          <t>에이디테크놀로지</t>
        </is>
      </c>
      <c r="G10" s="2" t="inlineStr">
        <is>
          <t>20240312000939</t>
        </is>
      </c>
      <c r="H10" s="3">
        <f>HYPERLINK("https://dart.fss.or.kr/dsaf001/main.do?rcpNo=20240312000939", "공시열람")</f>
        <v/>
      </c>
    </row>
    <row r="11">
      <c r="A11" s="2" t="inlineStr">
        <is>
          <t>2024-03-12</t>
        </is>
      </c>
      <c r="B11" s="4" t="inlineStr">
        <is>
          <t>에이디테크놀로지</t>
        </is>
      </c>
      <c r="C11" s="2" t="inlineStr">
        <is>
          <t>코스닥</t>
        </is>
      </c>
      <c r="D11" s="2" t="inlineStr">
        <is>
          <t>200710</t>
        </is>
      </c>
      <c r="E11" s="4" t="inlineStr">
        <is>
          <t xml:space="preserve">주주총회소집결의              </t>
        </is>
      </c>
      <c r="F11" s="4" t="inlineStr">
        <is>
          <t>에이디테크놀로지</t>
        </is>
      </c>
      <c r="G11" s="2" t="inlineStr">
        <is>
          <t>20240312901332</t>
        </is>
      </c>
      <c r="H11" s="3">
        <f>HYPERLINK("https://dart.fss.or.kr/dsaf001/main.do?rcpNo=20240312901332", "공시열람")</f>
        <v/>
      </c>
    </row>
    <row r="12">
      <c r="A12" s="2" t="inlineStr">
        <is>
          <t>2023-03-30</t>
        </is>
      </c>
      <c r="B12" s="4" t="inlineStr">
        <is>
          <t>에이디테크놀로지</t>
        </is>
      </c>
      <c r="C12" s="2" t="inlineStr">
        <is>
          <t>코스닥</t>
        </is>
      </c>
      <c r="D12" s="2" t="inlineStr">
        <is>
          <t>200710</t>
        </is>
      </c>
      <c r="E12" s="4" t="inlineStr">
        <is>
          <t>정기주주총회결과</t>
        </is>
      </c>
      <c r="F12" s="4" t="inlineStr">
        <is>
          <t>에이디테크놀로지</t>
        </is>
      </c>
      <c r="G12" s="2" t="inlineStr">
        <is>
          <t>20230330900776</t>
        </is>
      </c>
      <c r="H12" s="3">
        <f>HYPERLINK("https://dart.fss.or.kr/dsaf001/main.do?rcpNo=20230330900776", "공시열람")</f>
        <v/>
      </c>
    </row>
    <row r="13">
      <c r="A13" s="2" t="inlineStr">
        <is>
          <t>2023-03-09</t>
        </is>
      </c>
      <c r="B13" s="4" t="inlineStr">
        <is>
          <t>에이디테크놀로지</t>
        </is>
      </c>
      <c r="C13" s="2" t="inlineStr">
        <is>
          <t>코스닥</t>
        </is>
      </c>
      <c r="D13" s="2" t="inlineStr">
        <is>
          <t>200710</t>
        </is>
      </c>
      <c r="E13" s="4" t="inlineStr">
        <is>
          <t>[기재정정]주주총회소집결의</t>
        </is>
      </c>
      <c r="F13" s="4" t="inlineStr">
        <is>
          <t>에이디테크놀로지</t>
        </is>
      </c>
      <c r="G13" s="2" t="inlineStr">
        <is>
          <t>20230309901349</t>
        </is>
      </c>
      <c r="H13" s="3">
        <f>HYPERLINK("https://dart.fss.or.kr/dsaf001/main.do?rcpNo=20230309901349", "공시열람")</f>
        <v/>
      </c>
    </row>
    <row r="14">
      <c r="A14" s="2" t="inlineStr">
        <is>
          <t>2023-03-09</t>
        </is>
      </c>
      <c r="B14" s="4" t="inlineStr">
        <is>
          <t>에이디테크놀로지</t>
        </is>
      </c>
      <c r="C14" s="2" t="inlineStr">
        <is>
          <t>코스닥</t>
        </is>
      </c>
      <c r="D14" s="2" t="inlineStr">
        <is>
          <t>200710</t>
        </is>
      </c>
      <c r="E14" s="4" t="inlineStr">
        <is>
          <t>[기재정정]주주총회소집공고</t>
        </is>
      </c>
      <c r="F14" s="4" t="inlineStr">
        <is>
          <t>에이디테크놀로지</t>
        </is>
      </c>
      <c r="G14" s="2" t="inlineStr">
        <is>
          <t>20230309000814</t>
        </is>
      </c>
      <c r="H14" s="3">
        <f>HYPERLINK("https://dart.fss.or.kr/dsaf001/main.do?rcpNo=20230309000814", "공시열람")</f>
        <v/>
      </c>
    </row>
    <row r="15">
      <c r="A15" s="2" t="inlineStr">
        <is>
          <t>2023-03-06</t>
        </is>
      </c>
      <c r="B15" s="4" t="inlineStr">
        <is>
          <t>에이디테크놀로지</t>
        </is>
      </c>
      <c r="C15" s="2" t="inlineStr">
        <is>
          <t>코스닥</t>
        </is>
      </c>
      <c r="D15" s="2" t="inlineStr">
        <is>
          <t>200710</t>
        </is>
      </c>
      <c r="E15" s="4" t="inlineStr">
        <is>
          <t>주주총회소집결의</t>
        </is>
      </c>
      <c r="F15" s="4" t="inlineStr">
        <is>
          <t>에이디테크놀로지</t>
        </is>
      </c>
      <c r="G15" s="2" t="inlineStr">
        <is>
          <t>20230306900829</t>
        </is>
      </c>
      <c r="H15" s="3">
        <f>HYPERLINK("https://dart.fss.or.kr/dsaf001/main.do?rcpNo=20230306900829", "공시열람")</f>
        <v/>
      </c>
    </row>
    <row r="16">
      <c r="A16" s="2" t="inlineStr">
        <is>
          <t>2023-03-06</t>
        </is>
      </c>
      <c r="B16" s="4" t="inlineStr">
        <is>
          <t>에이디테크놀로지</t>
        </is>
      </c>
      <c r="C16" s="2" t="inlineStr">
        <is>
          <t>코스닥</t>
        </is>
      </c>
      <c r="D16" s="2" t="inlineStr">
        <is>
          <t>200710</t>
        </is>
      </c>
      <c r="E16" s="4" t="inlineStr">
        <is>
          <t>주주총회집중일개최사유신고</t>
        </is>
      </c>
      <c r="F16" s="4" t="inlineStr">
        <is>
          <t>에이디테크놀로지</t>
        </is>
      </c>
      <c r="G16" s="2" t="inlineStr">
        <is>
          <t>20230306900832</t>
        </is>
      </c>
      <c r="H16" s="3">
        <f>HYPERLINK("https://dart.fss.or.kr/dsaf001/main.do?rcpNo=20230306900832", "공시열람")</f>
        <v/>
      </c>
    </row>
    <row r="17">
      <c r="A17" s="2" t="inlineStr">
        <is>
          <t>2023-03-06</t>
        </is>
      </c>
      <c r="B17" s="4" t="inlineStr">
        <is>
          <t>에이디테크놀로지</t>
        </is>
      </c>
      <c r="C17" s="2" t="inlineStr">
        <is>
          <t>코스닥</t>
        </is>
      </c>
      <c r="D17" s="2" t="inlineStr">
        <is>
          <t>200710</t>
        </is>
      </c>
      <c r="E17" s="4" t="inlineStr">
        <is>
          <t>주주총회소집공고</t>
        </is>
      </c>
      <c r="F17" s="4" t="inlineStr">
        <is>
          <t>에이디테크놀로지</t>
        </is>
      </c>
      <c r="G17" s="2" t="inlineStr">
        <is>
          <t>20230306000478</t>
        </is>
      </c>
      <c r="H17" s="3">
        <f>HYPERLINK("https://dart.fss.or.kr/dsaf001/main.do?rcpNo=20230306000478", "공시열람")</f>
        <v/>
      </c>
    </row>
    <row r="18">
      <c r="A18" s="2" t="inlineStr">
        <is>
          <t>2022-03-28</t>
        </is>
      </c>
      <c r="B18" s="4" t="inlineStr">
        <is>
          <t>에이디테크놀로지</t>
        </is>
      </c>
      <c r="C18" s="2" t="inlineStr">
        <is>
          <t>코스닥</t>
        </is>
      </c>
      <c r="D18" s="2" t="inlineStr">
        <is>
          <t>200710</t>
        </is>
      </c>
      <c r="E18" s="4" t="inlineStr">
        <is>
          <t>정기주주총회결과</t>
        </is>
      </c>
      <c r="F18" s="4" t="inlineStr">
        <is>
          <t>에이디테크놀로지</t>
        </is>
      </c>
      <c r="G18" s="2" t="inlineStr">
        <is>
          <t>20220328900844</t>
        </is>
      </c>
      <c r="H18" s="3">
        <f>HYPERLINK("https://dart.fss.or.kr/dsaf001/main.do?rcpNo=20220328900844", "공시열람")</f>
        <v/>
      </c>
    </row>
    <row r="19">
      <c r="A19" s="2" t="inlineStr">
        <is>
          <t>2022-03-04</t>
        </is>
      </c>
      <c r="B19" s="4" t="inlineStr">
        <is>
          <t>에이디테크놀로지</t>
        </is>
      </c>
      <c r="C19" s="2" t="inlineStr">
        <is>
          <t>코스닥</t>
        </is>
      </c>
      <c r="D19" s="2" t="inlineStr">
        <is>
          <t>200710</t>
        </is>
      </c>
      <c r="E19" s="4" t="inlineStr">
        <is>
          <t>주주총회소집결의</t>
        </is>
      </c>
      <c r="F19" s="4" t="inlineStr">
        <is>
          <t>에이디테크놀로지</t>
        </is>
      </c>
      <c r="G19" s="2" t="inlineStr">
        <is>
          <t>20220304900309</t>
        </is>
      </c>
      <c r="H19" s="3">
        <f>HYPERLINK("https://dart.fss.or.kr/dsaf001/main.do?rcpNo=20220304900309", "공시열람")</f>
        <v/>
      </c>
    </row>
    <row r="20">
      <c r="A20" s="2" t="inlineStr">
        <is>
          <t>2022-03-04</t>
        </is>
      </c>
      <c r="B20" s="4" t="inlineStr">
        <is>
          <t>에이디테크놀로지</t>
        </is>
      </c>
      <c r="C20" s="2" t="inlineStr">
        <is>
          <t>코스닥</t>
        </is>
      </c>
      <c r="D20" s="2" t="inlineStr">
        <is>
          <t>200710</t>
        </is>
      </c>
      <c r="E20" s="4" t="inlineStr">
        <is>
          <t>주주총회소집공고</t>
        </is>
      </c>
      <c r="F20" s="4" t="inlineStr">
        <is>
          <t>에이디테크놀로지</t>
        </is>
      </c>
      <c r="G20" s="2" t="inlineStr">
        <is>
          <t>20220304000221</t>
        </is>
      </c>
      <c r="H20" s="3">
        <f>HYPERLINK("https://dart.fss.or.kr/dsaf001/main.do?rcpNo=20220304000221", "공시열람")</f>
        <v/>
      </c>
    </row>
    <row r="21">
      <c r="A21" s="2" t="inlineStr">
        <is>
          <t>2021-03-29</t>
        </is>
      </c>
      <c r="B21" s="4" t="inlineStr">
        <is>
          <t>에이디테크놀로지</t>
        </is>
      </c>
      <c r="C21" s="2" t="inlineStr">
        <is>
          <t>코스닥</t>
        </is>
      </c>
      <c r="D21" s="2" t="inlineStr">
        <is>
          <t>200710</t>
        </is>
      </c>
      <c r="E21" s="4" t="inlineStr">
        <is>
          <t>정기주주총회결과</t>
        </is>
      </c>
      <c r="F21" s="4" t="inlineStr">
        <is>
          <t>에이디테크놀로지</t>
        </is>
      </c>
      <c r="G21" s="2" t="inlineStr">
        <is>
          <t>20210329900793</t>
        </is>
      </c>
      <c r="H21" s="3">
        <f>HYPERLINK("https://dart.fss.or.kr/dsaf001/main.do?rcpNo=20210329900793", "공시열람")</f>
        <v/>
      </c>
    </row>
    <row r="22">
      <c r="A22" s="2" t="inlineStr">
        <is>
          <t>2021-03-12</t>
        </is>
      </c>
      <c r="B22" s="4" t="inlineStr">
        <is>
          <t>에이디테크놀로지</t>
        </is>
      </c>
      <c r="C22" s="2" t="inlineStr">
        <is>
          <t>코스닥</t>
        </is>
      </c>
      <c r="D22" s="2" t="inlineStr">
        <is>
          <t>200710</t>
        </is>
      </c>
      <c r="E22" s="4" t="inlineStr">
        <is>
          <t>주주총회소집결의</t>
        </is>
      </c>
      <c r="F22" s="4" t="inlineStr">
        <is>
          <t>에이디테크놀로지</t>
        </is>
      </c>
      <c r="G22" s="2" t="inlineStr">
        <is>
          <t>20210312900157</t>
        </is>
      </c>
      <c r="H22" s="3">
        <f>HYPERLINK("https://dart.fss.or.kr/dsaf001/main.do?rcpNo=20210312900157", "공시열람")</f>
        <v/>
      </c>
    </row>
    <row r="23">
      <c r="A23" s="2" t="inlineStr">
        <is>
          <t>2021-03-12</t>
        </is>
      </c>
      <c r="B23" s="4" t="inlineStr">
        <is>
          <t>에이디테크놀로지</t>
        </is>
      </c>
      <c r="C23" s="2" t="inlineStr">
        <is>
          <t>코스닥</t>
        </is>
      </c>
      <c r="D23" s="2" t="inlineStr">
        <is>
          <t>200710</t>
        </is>
      </c>
      <c r="E23" s="4" t="inlineStr">
        <is>
          <t>주주총회소집공고</t>
        </is>
      </c>
      <c r="F23" s="4" t="inlineStr">
        <is>
          <t>에이디테크놀로지</t>
        </is>
      </c>
      <c r="G23" s="2" t="inlineStr">
        <is>
          <t>20210312000164</t>
        </is>
      </c>
      <c r="H23" s="3">
        <f>HYPERLINK("https://dart.fss.or.kr/dsaf001/main.do?rcpNo=20210312000164", "공시열람")</f>
        <v/>
      </c>
    </row>
    <row r="24">
      <c r="A24" s="2" t="inlineStr">
        <is>
          <t>2020-08-26</t>
        </is>
      </c>
      <c r="B24" s="4" t="inlineStr">
        <is>
          <t>에이디테크놀로지</t>
        </is>
      </c>
      <c r="C24" s="2" t="inlineStr">
        <is>
          <t>코스닥</t>
        </is>
      </c>
      <c r="D24" s="2" t="inlineStr">
        <is>
          <t>200710</t>
        </is>
      </c>
      <c r="E24" s="4" t="inlineStr">
        <is>
          <t>[기재정정]주요사항보고서(회사합병결정)</t>
        </is>
      </c>
      <c r="F24" s="4" t="inlineStr">
        <is>
          <t>에이디테크놀로지</t>
        </is>
      </c>
      <c r="G24" s="2" t="inlineStr">
        <is>
          <t>20200826000296</t>
        </is>
      </c>
      <c r="H24" s="3">
        <f>HYPERLINK("https://dart.fss.or.kr/dsaf001/main.do?rcpNo=20200826000296", "공시열람")</f>
        <v/>
      </c>
    </row>
    <row r="25">
      <c r="A25" s="2" t="inlineStr">
        <is>
          <t>2020-08-13</t>
        </is>
      </c>
      <c r="B25" s="4" t="inlineStr">
        <is>
          <t>에이디테크놀로지</t>
        </is>
      </c>
      <c r="C25" s="2" t="inlineStr">
        <is>
          <t>코스닥</t>
        </is>
      </c>
      <c r="D25" s="2" t="inlineStr">
        <is>
          <t>200710</t>
        </is>
      </c>
      <c r="E25" s="4" t="inlineStr">
        <is>
          <t>기타경영사항(자율공시)(소규모합병 승인 이사회 결의(주주총회 갈음) 결과 보고)</t>
        </is>
      </c>
      <c r="F25" s="4" t="inlineStr">
        <is>
          <t>에이디테크놀로지</t>
        </is>
      </c>
      <c r="G25" s="2" t="inlineStr">
        <is>
          <t>20200813900310</t>
        </is>
      </c>
      <c r="H25" s="3">
        <f>HYPERLINK("https://dart.fss.or.kr/dsaf001/main.do?rcpNo=20200813900310", "공시열람")</f>
        <v/>
      </c>
    </row>
    <row r="26">
      <c r="A26" s="2" t="inlineStr">
        <is>
          <t>2020-07-21</t>
        </is>
      </c>
      <c r="B26" s="4" t="inlineStr">
        <is>
          <t>에이디테크놀로지</t>
        </is>
      </c>
      <c r="C26" s="2" t="inlineStr">
        <is>
          <t>코스닥</t>
        </is>
      </c>
      <c r="D26" s="2" t="inlineStr">
        <is>
          <t>200710</t>
        </is>
      </c>
      <c r="E26" s="4" t="inlineStr">
        <is>
          <t>[기재정정]주요사항보고서(회사합병결정)</t>
        </is>
      </c>
      <c r="F26" s="4" t="inlineStr">
        <is>
          <t>에이디테크놀로지</t>
        </is>
      </c>
      <c r="G26" s="2" t="inlineStr">
        <is>
          <t>20200721000266</t>
        </is>
      </c>
      <c r="H26" s="3">
        <f>HYPERLINK("https://dart.fss.or.kr/dsaf001/main.do?rcpNo=20200721000266", "공시열람")</f>
        <v/>
      </c>
    </row>
    <row r="27">
      <c r="A27" s="2" t="inlineStr">
        <is>
          <t>2020-07-20</t>
        </is>
      </c>
      <c r="B27" s="4" t="inlineStr">
        <is>
          <t>에이디테크놀로지</t>
        </is>
      </c>
      <c r="C27" s="2" t="inlineStr">
        <is>
          <t>코스닥</t>
        </is>
      </c>
      <c r="D27" s="2" t="inlineStr">
        <is>
          <t>200710</t>
        </is>
      </c>
      <c r="E27" s="4" t="inlineStr">
        <is>
          <t>[기재정정]주요사항보고서(회사합병결정)</t>
        </is>
      </c>
      <c r="F27" s="4" t="inlineStr">
        <is>
          <t>에이디테크놀로지</t>
        </is>
      </c>
      <c r="G27" s="2" t="inlineStr">
        <is>
          <t>20200720000160</t>
        </is>
      </c>
      <c r="H27" s="3">
        <f>HYPERLINK("https://dart.fss.or.kr/dsaf001/main.do?rcpNo=20200720000160", "공시열람")</f>
        <v/>
      </c>
    </row>
    <row r="28">
      <c r="A28" s="2" t="inlineStr">
        <is>
          <t>2020-07-13</t>
        </is>
      </c>
      <c r="B28" s="4" t="inlineStr">
        <is>
          <t>에이디테크놀로지</t>
        </is>
      </c>
      <c r="C28" s="2" t="inlineStr">
        <is>
          <t>코스닥</t>
        </is>
      </c>
      <c r="D28" s="2" t="inlineStr">
        <is>
          <t>200710</t>
        </is>
      </c>
      <c r="E28" s="4" t="inlineStr">
        <is>
          <t>[첨부추가]주요사항보고서(회사합병결정)</t>
        </is>
      </c>
      <c r="F28" s="4" t="inlineStr">
        <is>
          <t>에이디테크놀로지</t>
        </is>
      </c>
      <c r="G28" s="2" t="inlineStr">
        <is>
          <t>20200713000174</t>
        </is>
      </c>
      <c r="H28" s="3">
        <f>HYPERLINK("https://dart.fss.or.kr/dsaf001/main.do?rcpNo=20200713000174", "공시열람")</f>
        <v/>
      </c>
    </row>
    <row r="29">
      <c r="A29" s="2" t="inlineStr">
        <is>
          <t>2020-03-30</t>
        </is>
      </c>
      <c r="B29" s="4" t="inlineStr">
        <is>
          <t>에이디테크놀로지</t>
        </is>
      </c>
      <c r="C29" s="2" t="inlineStr">
        <is>
          <t>코스닥</t>
        </is>
      </c>
      <c r="D29" s="2" t="inlineStr">
        <is>
          <t>200710</t>
        </is>
      </c>
      <c r="E29" s="4" t="inlineStr">
        <is>
          <t>정기주주총회결과</t>
        </is>
      </c>
      <c r="F29" s="4" t="inlineStr">
        <is>
          <t>에이디테크놀로지</t>
        </is>
      </c>
      <c r="G29" s="2" t="inlineStr">
        <is>
          <t>20200330901343</t>
        </is>
      </c>
      <c r="H29" s="3">
        <f>HYPERLINK("https://dart.fss.or.kr/dsaf001/main.do?rcpNo=20200330901343", "공시열람")</f>
        <v/>
      </c>
    </row>
    <row r="30">
      <c r="A30" s="2" t="inlineStr">
        <is>
          <t>2020-03-12</t>
        </is>
      </c>
      <c r="B30" s="4" t="inlineStr">
        <is>
          <t>에이디테크놀로지</t>
        </is>
      </c>
      <c r="C30" s="2" t="inlineStr">
        <is>
          <t>코스닥</t>
        </is>
      </c>
      <c r="D30" s="2" t="inlineStr">
        <is>
          <t>200710</t>
        </is>
      </c>
      <c r="E30" s="4" t="inlineStr">
        <is>
          <t>주주총회소집결의</t>
        </is>
      </c>
      <c r="F30" s="4" t="inlineStr">
        <is>
          <t>에이디테크놀로지</t>
        </is>
      </c>
      <c r="G30" s="2" t="inlineStr">
        <is>
          <t>20200312901114</t>
        </is>
      </c>
      <c r="H30" s="3">
        <f>HYPERLINK("https://dart.fss.or.kr/dsaf001/main.do?rcpNo=20200312901114", "공시열람")</f>
        <v/>
      </c>
    </row>
    <row r="31">
      <c r="A31" s="2" t="inlineStr">
        <is>
          <t>2020-03-12</t>
        </is>
      </c>
      <c r="B31" s="4" t="inlineStr">
        <is>
          <t>에이디테크놀로지</t>
        </is>
      </c>
      <c r="C31" s="2" t="inlineStr">
        <is>
          <t>코스닥</t>
        </is>
      </c>
      <c r="D31" s="2" t="inlineStr">
        <is>
          <t>200710</t>
        </is>
      </c>
      <c r="E31" s="4" t="inlineStr">
        <is>
          <t>주주총회집중일개최사유신고</t>
        </is>
      </c>
      <c r="F31" s="4" t="inlineStr">
        <is>
          <t>에이디테크놀로지</t>
        </is>
      </c>
      <c r="G31" s="2" t="inlineStr">
        <is>
          <t>20200312901193</t>
        </is>
      </c>
      <c r="H31" s="3">
        <f>HYPERLINK("https://dart.fss.or.kr/dsaf001/main.do?rcpNo=20200312901193", "공시열람")</f>
        <v/>
      </c>
    </row>
    <row r="32">
      <c r="A32" s="2" t="inlineStr">
        <is>
          <t>2020-03-12</t>
        </is>
      </c>
      <c r="B32" s="4" t="inlineStr">
        <is>
          <t>에이디테크놀로지</t>
        </is>
      </c>
      <c r="C32" s="2" t="inlineStr">
        <is>
          <t>코스닥</t>
        </is>
      </c>
      <c r="D32" s="2" t="inlineStr">
        <is>
          <t>200710</t>
        </is>
      </c>
      <c r="E32" s="4" t="inlineStr">
        <is>
          <t>주주총회소집공고</t>
        </is>
      </c>
      <c r="F32" s="4" t="inlineStr">
        <is>
          <t>에이디테크놀로지</t>
        </is>
      </c>
      <c r="G32" s="2" t="inlineStr">
        <is>
          <t>20200312000656</t>
        </is>
      </c>
      <c r="H32" s="3">
        <f>HYPERLINK("https://dart.fss.or.kr/dsaf001/main.do?rcpNo=20200312000656", "공시열람")</f>
        <v/>
      </c>
    </row>
    <row r="33">
      <c r="A33" s="2" t="inlineStr">
        <is>
          <t>2019-03-29</t>
        </is>
      </c>
      <c r="B33" s="4" t="inlineStr">
        <is>
          <t>에이디테크놀로지</t>
        </is>
      </c>
      <c r="C33" s="2" t="inlineStr">
        <is>
          <t>코스닥</t>
        </is>
      </c>
      <c r="D33" s="2" t="inlineStr">
        <is>
          <t>200710</t>
        </is>
      </c>
      <c r="E33" s="4" t="inlineStr">
        <is>
          <t>정기주주총회결과</t>
        </is>
      </c>
      <c r="F33" s="4" t="inlineStr">
        <is>
          <t>에이디테크놀로지</t>
        </is>
      </c>
      <c r="G33" s="2" t="inlineStr">
        <is>
          <t>20190329900736</t>
        </is>
      </c>
      <c r="H33" s="3">
        <f>HYPERLINK("https://dart.fss.or.kr/dsaf001/main.do?rcpNo=20190329900736", "공시열람")</f>
        <v/>
      </c>
    </row>
    <row r="34">
      <c r="A34" s="2" t="inlineStr">
        <is>
          <t>2019-03-29</t>
        </is>
      </c>
      <c r="B34" s="4" t="inlineStr">
        <is>
          <t>에이디테크놀로지</t>
        </is>
      </c>
      <c r="C34" s="2" t="inlineStr">
        <is>
          <t>코스닥</t>
        </is>
      </c>
      <c r="D34" s="2" t="inlineStr">
        <is>
          <t>200710</t>
        </is>
      </c>
      <c r="E34" s="4" t="inlineStr">
        <is>
          <t>[기재정정]정기주주총회결과</t>
        </is>
      </c>
      <c r="F34" s="4" t="inlineStr">
        <is>
          <t>에이디테크놀로지</t>
        </is>
      </c>
      <c r="G34" s="2" t="inlineStr">
        <is>
          <t>20190329901400</t>
        </is>
      </c>
      <c r="H34" s="3">
        <f>HYPERLINK("https://dart.fss.or.kr/dsaf001/main.do?rcpNo=20190329901400", "공시열람")</f>
        <v/>
      </c>
    </row>
    <row r="35">
      <c r="A35" s="2" t="inlineStr">
        <is>
          <t>2019-03-08</t>
        </is>
      </c>
      <c r="B35" s="4" t="inlineStr">
        <is>
          <t>에이디테크놀로지</t>
        </is>
      </c>
      <c r="C35" s="2" t="inlineStr">
        <is>
          <t>코스닥</t>
        </is>
      </c>
      <c r="D35" s="2" t="inlineStr">
        <is>
          <t>200710</t>
        </is>
      </c>
      <c r="E35" s="4" t="inlineStr">
        <is>
          <t>주주총회소집공고</t>
        </is>
      </c>
      <c r="F35" s="4" t="inlineStr">
        <is>
          <t>에이디테크놀로지</t>
        </is>
      </c>
      <c r="G35" s="2" t="inlineStr">
        <is>
          <t>20190308000670</t>
        </is>
      </c>
      <c r="H35" s="3">
        <f>HYPERLINK("https://dart.fss.or.kr/dsaf001/main.do?rcpNo=20190308000670", "공시열람")</f>
        <v/>
      </c>
    </row>
    <row r="36">
      <c r="A36" s="2" t="inlineStr">
        <is>
          <t>2019-03-08</t>
        </is>
      </c>
      <c r="B36" s="4" t="inlineStr">
        <is>
          <t>에이디테크놀로지</t>
        </is>
      </c>
      <c r="C36" s="2" t="inlineStr">
        <is>
          <t>코스닥</t>
        </is>
      </c>
      <c r="D36" s="2" t="inlineStr">
        <is>
          <t>200710</t>
        </is>
      </c>
      <c r="E36" s="4" t="inlineStr">
        <is>
          <t>주주총회집중일개최사유신고</t>
        </is>
      </c>
      <c r="F36" s="4" t="inlineStr">
        <is>
          <t>에이디테크놀로지</t>
        </is>
      </c>
      <c r="G36" s="2" t="inlineStr">
        <is>
          <t>20190308900846</t>
        </is>
      </c>
      <c r="H36" s="3">
        <f>HYPERLINK("https://dart.fss.or.kr/dsaf001/main.do?rcpNo=20190308900846", "공시열람")</f>
        <v/>
      </c>
    </row>
    <row r="37">
      <c r="A37" s="2" t="inlineStr">
        <is>
          <t>2019-03-08</t>
        </is>
      </c>
      <c r="B37" s="4" t="inlineStr">
        <is>
          <t>에이디테크놀로지</t>
        </is>
      </c>
      <c r="C37" s="2" t="inlineStr">
        <is>
          <t>코스닥</t>
        </is>
      </c>
      <c r="D37" s="2" t="inlineStr">
        <is>
          <t>200710</t>
        </is>
      </c>
      <c r="E37" s="4" t="inlineStr">
        <is>
          <t>주주총회소집결의</t>
        </is>
      </c>
      <c r="F37" s="4" t="inlineStr">
        <is>
          <t>에이디테크놀로지</t>
        </is>
      </c>
      <c r="G37" s="2" t="inlineStr">
        <is>
          <t>20190308900790</t>
        </is>
      </c>
      <c r="H37" s="3">
        <f>HYPERLINK("https://dart.fss.or.kr/dsaf001/main.do?rcpNo=20190308900790", "공시열람")</f>
        <v/>
      </c>
    </row>
    <row r="38">
      <c r="A38" s="2" t="inlineStr">
        <is>
          <t>2018-03-26</t>
        </is>
      </c>
      <c r="B38" s="4" t="inlineStr">
        <is>
          <t>에이디테크놀로지</t>
        </is>
      </c>
      <c r="C38" s="2" t="inlineStr">
        <is>
          <t>코스닥</t>
        </is>
      </c>
      <c r="D38" s="2" t="inlineStr">
        <is>
          <t>200710</t>
        </is>
      </c>
      <c r="E38" s="4" t="inlineStr">
        <is>
          <t>정기주주총회결과</t>
        </is>
      </c>
      <c r="F38" s="4" t="inlineStr">
        <is>
          <t>에이디테크놀로지</t>
        </is>
      </c>
      <c r="G38" s="2" t="inlineStr">
        <is>
          <t>20180326900661</t>
        </is>
      </c>
      <c r="H38" s="3">
        <f>HYPERLINK("https://dart.fss.or.kr/dsaf001/main.do?rcpNo=20180326900661", "공시열람")</f>
        <v/>
      </c>
    </row>
    <row r="39">
      <c r="A39" s="2" t="inlineStr">
        <is>
          <t>2018-03-09</t>
        </is>
      </c>
      <c r="B39" s="4" t="inlineStr">
        <is>
          <t>에이디테크놀로지</t>
        </is>
      </c>
      <c r="C39" s="2" t="inlineStr">
        <is>
          <t>코스닥</t>
        </is>
      </c>
      <c r="D39" s="2" t="inlineStr">
        <is>
          <t>200710</t>
        </is>
      </c>
      <c r="E39" s="4" t="inlineStr">
        <is>
          <t>주주총회소집결의</t>
        </is>
      </c>
      <c r="F39" s="4" t="inlineStr">
        <is>
          <t>에이디테크놀로지</t>
        </is>
      </c>
      <c r="G39" s="2" t="inlineStr">
        <is>
          <t>20180309900580</t>
        </is>
      </c>
      <c r="H39" s="3">
        <f>HYPERLINK("https://dart.fss.or.kr/dsaf001/main.do?rcpNo=20180309900580", "공시열람")</f>
        <v/>
      </c>
    </row>
    <row r="40">
      <c r="A40" s="2" t="inlineStr">
        <is>
          <t>2018-03-09</t>
        </is>
      </c>
      <c r="B40" s="4" t="inlineStr">
        <is>
          <t>에이디테크놀로지</t>
        </is>
      </c>
      <c r="C40" s="2" t="inlineStr">
        <is>
          <t>코스닥</t>
        </is>
      </c>
      <c r="D40" s="2" t="inlineStr">
        <is>
          <t>200710</t>
        </is>
      </c>
      <c r="E40" s="4" t="inlineStr">
        <is>
          <t>주주총회소집공고</t>
        </is>
      </c>
      <c r="F40" s="4" t="inlineStr">
        <is>
          <t>에이디테크놀로지</t>
        </is>
      </c>
      <c r="G40" s="2" t="inlineStr">
        <is>
          <t>20180309000447</t>
        </is>
      </c>
      <c r="H40" s="3">
        <f>HYPERLINK("https://dart.fss.or.kr/dsaf001/main.do?rcpNo=20180309000447", "공시열람")</f>
        <v/>
      </c>
    </row>
    <row r="41">
      <c r="A41" s="2" t="inlineStr">
        <is>
          <t>2017-03-27</t>
        </is>
      </c>
      <c r="B41" s="4" t="inlineStr">
        <is>
          <t>에이디테크놀로지</t>
        </is>
      </c>
      <c r="C41" s="2" t="inlineStr">
        <is>
          <t>코스닥</t>
        </is>
      </c>
      <c r="D41" s="2" t="inlineStr">
        <is>
          <t>200710</t>
        </is>
      </c>
      <c r="E41" s="4" t="inlineStr">
        <is>
          <t>정기주주총회결과</t>
        </is>
      </c>
      <c r="F41" s="4" t="inlineStr">
        <is>
          <t>에이디테크놀로지</t>
        </is>
      </c>
      <c r="G41" s="2" t="inlineStr">
        <is>
          <t>20170327900496</t>
        </is>
      </c>
      <c r="H41" s="3">
        <f>HYPERLINK("https://dart.fss.or.kr/dsaf001/main.do?rcpNo=20170327900496", "공시열람")</f>
        <v/>
      </c>
    </row>
    <row r="42">
      <c r="A42" s="2" t="inlineStr">
        <is>
          <t>2017-03-10</t>
        </is>
      </c>
      <c r="B42" s="4" t="inlineStr">
        <is>
          <t>에이디테크놀로지</t>
        </is>
      </c>
      <c r="C42" s="2" t="inlineStr">
        <is>
          <t>코스닥</t>
        </is>
      </c>
      <c r="D42" s="2" t="inlineStr">
        <is>
          <t>200710</t>
        </is>
      </c>
      <c r="E42" s="4" t="inlineStr">
        <is>
          <t>주주총회소집결의</t>
        </is>
      </c>
      <c r="F42" s="4" t="inlineStr">
        <is>
          <t>에이디테크놀로지</t>
        </is>
      </c>
      <c r="G42" s="2" t="inlineStr">
        <is>
          <t>20170310900741</t>
        </is>
      </c>
      <c r="H42" s="3">
        <f>HYPERLINK("https://dart.fss.or.kr/dsaf001/main.do?rcpNo=20170310900741", "공시열람")</f>
        <v/>
      </c>
    </row>
    <row r="43">
      <c r="A43" s="2" t="inlineStr">
        <is>
          <t>2017-03-10</t>
        </is>
      </c>
      <c r="B43" s="4" t="inlineStr">
        <is>
          <t>에이디테크놀로지</t>
        </is>
      </c>
      <c r="C43" s="2" t="inlineStr">
        <is>
          <t>코스닥</t>
        </is>
      </c>
      <c r="D43" s="2" t="inlineStr">
        <is>
          <t>200710</t>
        </is>
      </c>
      <c r="E43" s="4" t="inlineStr">
        <is>
          <t>주주총회소집공고</t>
        </is>
      </c>
      <c r="F43" s="4" t="inlineStr">
        <is>
          <t>에이디테크놀로지</t>
        </is>
      </c>
      <c r="G43" s="2" t="inlineStr">
        <is>
          <t>20170310000527</t>
        </is>
      </c>
      <c r="H43" s="3">
        <f>HYPERLINK("https://dart.fss.or.kr/dsaf001/main.do?rcpNo=20170310000527", "공시열람")</f>
        <v/>
      </c>
    </row>
    <row r="44">
      <c r="A44" s="2" t="inlineStr">
        <is>
          <t>2016-03-28</t>
        </is>
      </c>
      <c r="B44" s="4" t="inlineStr">
        <is>
          <t>에이디테크놀로지</t>
        </is>
      </c>
      <c r="C44" s="2" t="inlineStr">
        <is>
          <t>코스닥</t>
        </is>
      </c>
      <c r="D44" s="2" t="inlineStr">
        <is>
          <t>200710</t>
        </is>
      </c>
      <c r="E44" s="4" t="inlineStr">
        <is>
          <t>정기주주총회결과</t>
        </is>
      </c>
      <c r="F44" s="4" t="inlineStr">
        <is>
          <t>에이디테크놀로지</t>
        </is>
      </c>
      <c r="G44" s="2" t="inlineStr">
        <is>
          <t>20160328900391</t>
        </is>
      </c>
      <c r="H44" s="3">
        <f>HYPERLINK("https://dart.fss.or.kr/dsaf001/main.do?rcpNo=20160328900391", "공시열람")</f>
        <v/>
      </c>
    </row>
    <row r="45">
      <c r="A45" s="2" t="inlineStr">
        <is>
          <t>2016-03-11</t>
        </is>
      </c>
      <c r="B45" s="4" t="inlineStr">
        <is>
          <t>에이디테크놀로지</t>
        </is>
      </c>
      <c r="C45" s="2" t="inlineStr">
        <is>
          <t>코스닥</t>
        </is>
      </c>
      <c r="D45" s="2" t="inlineStr">
        <is>
          <t>200710</t>
        </is>
      </c>
      <c r="E45" s="4" t="inlineStr">
        <is>
          <t>주주총회소집결의</t>
        </is>
      </c>
      <c r="F45" s="4" t="inlineStr">
        <is>
          <t>에이디테크놀로지</t>
        </is>
      </c>
      <c r="G45" s="2" t="inlineStr">
        <is>
          <t>20160311900491</t>
        </is>
      </c>
      <c r="H45" s="3">
        <f>HYPERLINK("https://dart.fss.or.kr/dsaf001/main.do?rcpNo=20160311900491", "공시열람")</f>
        <v/>
      </c>
    </row>
    <row r="46">
      <c r="A46" s="2" t="inlineStr">
        <is>
          <t>2016-03-11</t>
        </is>
      </c>
      <c r="B46" s="4" t="inlineStr">
        <is>
          <t>에이디테크놀로지</t>
        </is>
      </c>
      <c r="C46" s="2" t="inlineStr">
        <is>
          <t>코스닥</t>
        </is>
      </c>
      <c r="D46" s="2" t="inlineStr">
        <is>
          <t>200710</t>
        </is>
      </c>
      <c r="E46" s="4" t="inlineStr">
        <is>
          <t>주주총회소집공고</t>
        </is>
      </c>
      <c r="F46" s="4" t="inlineStr">
        <is>
          <t>에이디테크놀로지</t>
        </is>
      </c>
      <c r="G46" s="2" t="inlineStr">
        <is>
          <t>20160311000282</t>
        </is>
      </c>
      <c r="H46" s="3">
        <f>HYPERLINK("https://dart.fss.or.kr/dsaf001/main.do?rcpNo=20160311000282", "공시열람")</f>
        <v/>
      </c>
    </row>
    <row r="47">
      <c r="A47" s="2" t="inlineStr">
        <is>
          <t>2015-03-27</t>
        </is>
      </c>
      <c r="B47" s="4" t="inlineStr">
        <is>
          <t>에이디테크놀로지</t>
        </is>
      </c>
      <c r="C47" s="2" t="inlineStr">
        <is>
          <t>코스닥</t>
        </is>
      </c>
      <c r="D47" s="2" t="inlineStr">
        <is>
          <t>200710</t>
        </is>
      </c>
      <c r="E47" s="4" t="inlineStr">
        <is>
          <t>정기주주총회결과</t>
        </is>
      </c>
      <c r="F47" s="4" t="inlineStr">
        <is>
          <t>에이디테크놀로지</t>
        </is>
      </c>
      <c r="G47" s="2" t="inlineStr">
        <is>
          <t>20150327900724</t>
        </is>
      </c>
      <c r="H47" s="3">
        <f>HYPERLINK("https://dart.fss.or.kr/dsaf001/main.do?rcpNo=20150327900724", "공시열람")</f>
        <v/>
      </c>
    </row>
    <row r="48">
      <c r="A48" s="2" t="inlineStr">
        <is>
          <t>2015-03-12</t>
        </is>
      </c>
      <c r="B48" s="4" t="inlineStr">
        <is>
          <t>에이디테크놀로지</t>
        </is>
      </c>
      <c r="C48" s="2" t="inlineStr">
        <is>
          <t>코스닥</t>
        </is>
      </c>
      <c r="D48" s="2" t="inlineStr">
        <is>
          <t>200710</t>
        </is>
      </c>
      <c r="E48" s="4" t="inlineStr">
        <is>
          <t>주주총회소집결의</t>
        </is>
      </c>
      <c r="F48" s="4" t="inlineStr">
        <is>
          <t>에이디테크놀로지</t>
        </is>
      </c>
      <c r="G48" s="2" t="inlineStr">
        <is>
          <t>20150312900554</t>
        </is>
      </c>
      <c r="H48" s="3">
        <f>HYPERLINK("https://dart.fss.or.kr/dsaf001/main.do?rcpNo=20150312900554", "공시열람")</f>
        <v/>
      </c>
    </row>
    <row r="49">
      <c r="A49" s="2" t="inlineStr">
        <is>
          <t>2015-03-12</t>
        </is>
      </c>
      <c r="B49" s="4" t="inlineStr">
        <is>
          <t>에이디테크놀로지</t>
        </is>
      </c>
      <c r="C49" s="2" t="inlineStr">
        <is>
          <t>코스닥</t>
        </is>
      </c>
      <c r="D49" s="2" t="inlineStr">
        <is>
          <t>200710</t>
        </is>
      </c>
      <c r="E49" s="4" t="inlineStr">
        <is>
          <t>주주총회소집공고</t>
        </is>
      </c>
      <c r="F49" s="4" t="inlineStr">
        <is>
          <t>에이디테크놀로지</t>
        </is>
      </c>
      <c r="G49" s="2" t="inlineStr">
        <is>
          <t>20150312000329</t>
        </is>
      </c>
      <c r="H49" s="3">
        <f>HYPERLINK("https://dart.fss.or.kr/dsaf001/main.do?rcpNo=20150312000329", "공시열람")</f>
        <v/>
      </c>
    </row>
  </sheetData>
  <autoFilter ref="A1:H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.6" customWidth="1" min="2" max="2"/>
    <col hidden="1" width="10" customWidth="1" min="3" max="3"/>
    <col hidden="1" width="10" customWidth="1" min="4" max="4"/>
    <col width="35" customWidth="1" min="5" max="5"/>
    <col width="11.6" customWidth="1" min="6" max="6"/>
    <col width="18.8" customWidth="1" min="7" max="7"/>
    <col width="10" customWidth="1" min="8" max="8"/>
  </cols>
  <sheetData>
    <row r="1">
      <c r="A1" s="18" t="inlineStr">
        <is>
          <t>접수일자</t>
        </is>
      </c>
      <c r="B1" s="18" t="inlineStr">
        <is>
          <t>회사명</t>
        </is>
      </c>
      <c r="C1" s="18" t="inlineStr">
        <is>
          <t>시장구분</t>
        </is>
      </c>
      <c r="D1" s="18" t="inlineStr">
        <is>
          <t>종목코드</t>
        </is>
      </c>
      <c r="E1" s="18" t="inlineStr">
        <is>
          <t>공시명</t>
        </is>
      </c>
      <c r="F1" s="18" t="inlineStr">
        <is>
          <t>제출인</t>
        </is>
      </c>
      <c r="G1" s="18" t="inlineStr">
        <is>
          <t>접수번호</t>
        </is>
      </c>
      <c r="H1" s="18" t="inlineStr">
        <is>
          <t>DART링크</t>
        </is>
      </c>
    </row>
    <row r="2">
      <c r="A2" s="2" t="inlineStr">
        <is>
          <t>2026-08-19</t>
        </is>
      </c>
      <c r="B2" s="4" t="inlineStr">
        <is>
          <t>에이디테크놀로지</t>
        </is>
      </c>
      <c r="C2" s="2" t="inlineStr">
        <is>
          <t>코스닥</t>
        </is>
      </c>
      <c r="D2" s="2" t="inlineStr">
        <is>
          <t>200710</t>
        </is>
      </c>
      <c r="E2" s="4" t="inlineStr">
        <is>
          <t xml:space="preserve">기업설명회(IR)개최              </t>
        </is>
      </c>
      <c r="F2" s="4" t="inlineStr">
        <is>
          <t>에이디테크놀로지</t>
        </is>
      </c>
      <c r="G2" s="2" t="inlineStr">
        <is>
          <t>20260819900118</t>
        </is>
      </c>
      <c r="H2" s="3">
        <f>HYPERLINK("https://dart.fss.or.kr/dsaf001/main.do?rcpNo=20260819900118", "공시열람")</f>
        <v/>
      </c>
    </row>
    <row r="3">
      <c r="A3" s="2" t="inlineStr">
        <is>
          <t>2026-05-26</t>
        </is>
      </c>
      <c r="B3" s="4" t="inlineStr">
        <is>
          <t>에이디테크놀로지</t>
        </is>
      </c>
      <c r="C3" s="2" t="inlineStr">
        <is>
          <t>코스닥</t>
        </is>
      </c>
      <c r="D3" s="2" t="inlineStr">
        <is>
          <t>200710</t>
        </is>
      </c>
      <c r="E3" s="4" t="inlineStr">
        <is>
          <t xml:space="preserve">기업설명회(IR)개최              </t>
        </is>
      </c>
      <c r="F3" s="4" t="inlineStr">
        <is>
          <t>에이디테크놀로지</t>
        </is>
      </c>
      <c r="G3" s="2" t="inlineStr">
        <is>
          <t>20260526900169</t>
        </is>
      </c>
      <c r="H3" s="3">
        <f>HYPERLINK("https://dart.fss.or.kr/dsaf001/main.do?rcpNo=20260526900169", "공시열람")</f>
        <v/>
      </c>
    </row>
    <row r="4">
      <c r="A4" s="2" t="inlineStr">
        <is>
          <t>2026-04-29</t>
        </is>
      </c>
      <c r="B4" s="4" t="inlineStr">
        <is>
          <t>에이디테크놀로지</t>
        </is>
      </c>
      <c r="C4" s="2" t="inlineStr">
        <is>
          <t>코스닥</t>
        </is>
      </c>
      <c r="D4" s="2" t="inlineStr">
        <is>
          <t>200710</t>
        </is>
      </c>
      <c r="E4" s="4" t="inlineStr">
        <is>
          <t xml:space="preserve">증권발행결과(자율공시)              </t>
        </is>
      </c>
      <c r="F4" s="4" t="inlineStr">
        <is>
          <t>에이디테크놀로지</t>
        </is>
      </c>
      <c r="G4" s="2" t="inlineStr">
        <is>
          <t>20260429900732</t>
        </is>
      </c>
      <c r="H4" s="3">
        <f>HYPERLINK("https://dart.fss.or.kr/dsaf001/main.do?rcpNo=20260429900732", "공시열람")</f>
        <v/>
      </c>
    </row>
    <row r="5">
      <c r="A5" s="2" t="inlineStr">
        <is>
          <t>2026-03-20</t>
        </is>
      </c>
      <c r="B5" s="4" t="inlineStr">
        <is>
          <t>에이디테크놀로지</t>
        </is>
      </c>
      <c r="C5" s="2" t="inlineStr">
        <is>
          <t>코스닥</t>
        </is>
      </c>
      <c r="D5" s="2" t="inlineStr">
        <is>
          <t>200710</t>
        </is>
      </c>
      <c r="E5" s="4" t="inlineStr">
        <is>
          <t xml:space="preserve">감사보고서제출              </t>
        </is>
      </c>
      <c r="F5" s="4" t="inlineStr">
        <is>
          <t>에이디테크놀로지</t>
        </is>
      </c>
      <c r="G5" s="2" t="inlineStr">
        <is>
          <t>20260320901405</t>
        </is>
      </c>
      <c r="H5" s="3">
        <f>HYPERLINK("https://dart.fss.or.kr/dsaf001/main.do?rcpNo=20260320901405", "공시열람")</f>
        <v/>
      </c>
    </row>
    <row r="6">
      <c r="A6" s="2" t="inlineStr">
        <is>
          <t>2026-03-10</t>
        </is>
      </c>
      <c r="B6" s="4" t="inlineStr">
        <is>
          <t>에이디테크놀로지</t>
        </is>
      </c>
      <c r="C6" s="2" t="inlineStr">
        <is>
          <t>코스닥</t>
        </is>
      </c>
      <c r="D6" s="2" t="inlineStr">
        <is>
          <t>200710</t>
        </is>
      </c>
      <c r="E6" s="4" t="inlineStr">
        <is>
          <t xml:space="preserve">기업설명회(IR)개최              </t>
        </is>
      </c>
      <c r="F6" s="4" t="inlineStr">
        <is>
          <t>에이디테크놀로지</t>
        </is>
      </c>
      <c r="G6" s="2" t="inlineStr">
        <is>
          <t>20260310900826</t>
        </is>
      </c>
      <c r="H6" s="3">
        <f>HYPERLINK("https://dart.fss.or.kr/dsaf001/main.do?rcpNo=20260310900826", "공시열람")</f>
        <v/>
      </c>
    </row>
    <row r="7">
      <c r="A7" s="2" t="inlineStr">
        <is>
          <t>2026-03-09</t>
        </is>
      </c>
      <c r="B7" s="4" t="inlineStr">
        <is>
          <t>에이디테크놀로지</t>
        </is>
      </c>
      <c r="C7" s="2" t="inlineStr">
        <is>
          <t>코스닥</t>
        </is>
      </c>
      <c r="D7" s="2" t="inlineStr">
        <is>
          <t>200710</t>
        </is>
      </c>
      <c r="E7" s="4" t="inlineStr">
        <is>
          <t>의결권대리행사권유참고서류</t>
        </is>
      </c>
      <c r="F7" s="4" t="inlineStr">
        <is>
          <t>에이디테크놀로지</t>
        </is>
      </c>
      <c r="G7" s="2" t="inlineStr">
        <is>
          <t>20260306001031</t>
        </is>
      </c>
      <c r="H7" s="3">
        <f>HYPERLINK("https://dart.fss.or.kr/dsaf001/main.do?rcpNo=20260306001031", "공시열람")</f>
        <v/>
      </c>
    </row>
    <row r="8">
      <c r="A8" s="2" t="inlineStr">
        <is>
          <t>2026-03-06</t>
        </is>
      </c>
      <c r="B8" s="4" t="inlineStr">
        <is>
          <t>에이디테크놀로지</t>
        </is>
      </c>
      <c r="C8" s="2" t="inlineStr">
        <is>
          <t>코스닥</t>
        </is>
      </c>
      <c r="D8" s="2" t="inlineStr">
        <is>
          <t>200710</t>
        </is>
      </c>
      <c r="E8" s="4" t="inlineStr">
        <is>
          <t xml:space="preserve">[첨부정정]기업설명회(IR)개최              </t>
        </is>
      </c>
      <c r="F8" s="4" t="inlineStr">
        <is>
          <t>에이디테크놀로지</t>
        </is>
      </c>
      <c r="G8" s="2" t="inlineStr">
        <is>
          <t>20260306900101</t>
        </is>
      </c>
      <c r="H8" s="3">
        <f>HYPERLINK("https://dart.fss.or.kr/dsaf001/main.do?rcpNo=20260306900101", "공시열람")</f>
        <v/>
      </c>
    </row>
    <row r="9">
      <c r="A9" s="2" t="inlineStr">
        <is>
          <t>2026-02-26</t>
        </is>
      </c>
      <c r="B9" s="4" t="inlineStr">
        <is>
          <t>에이디테크놀로지</t>
        </is>
      </c>
      <c r="C9" s="2" t="inlineStr">
        <is>
          <t>코스닥</t>
        </is>
      </c>
      <c r="D9" s="2" t="inlineStr">
        <is>
          <t>200710</t>
        </is>
      </c>
      <c r="E9" s="4" t="inlineStr">
        <is>
          <t xml:space="preserve">[첨부추가]기업설명회(IR)개최              </t>
        </is>
      </c>
      <c r="F9" s="4" t="inlineStr">
        <is>
          <t>에이디테크놀로지</t>
        </is>
      </c>
      <c r="G9" s="2" t="inlineStr">
        <is>
          <t>20260226900524</t>
        </is>
      </c>
      <c r="H9" s="3">
        <f>HYPERLINK("https://dart.fss.or.kr/dsaf001/main.do?rcpNo=20260226900524", "공시열람")</f>
        <v/>
      </c>
    </row>
    <row r="10">
      <c r="A10" s="2" t="inlineStr">
        <is>
          <t>2026-02-09</t>
        </is>
      </c>
      <c r="B10" s="4" t="inlineStr">
        <is>
          <t>에이디테크놀로지</t>
        </is>
      </c>
      <c r="C10" s="2" t="inlineStr">
        <is>
          <t>코스닥</t>
        </is>
      </c>
      <c r="D10" s="2" t="inlineStr">
        <is>
          <t>200710</t>
        </is>
      </c>
      <c r="E10" s="4" t="inlineStr">
        <is>
          <t xml:space="preserve">매출액또는손익구조30%(대규모법인은15%)이상변동              </t>
        </is>
      </c>
      <c r="F10" s="4" t="inlineStr">
        <is>
          <t>에이디테크놀로지</t>
        </is>
      </c>
      <c r="G10" s="2" t="inlineStr">
        <is>
          <t>20260209900347</t>
        </is>
      </c>
      <c r="H10" s="3">
        <f>HYPERLINK("https://dart.fss.or.kr/dsaf001/main.do?rcpNo=20260209900347", "공시열람")</f>
        <v/>
      </c>
    </row>
    <row r="11">
      <c r="A11" s="2" t="inlineStr">
        <is>
          <t>2025-12-16</t>
        </is>
      </c>
      <c r="B11" s="4" t="inlineStr">
        <is>
          <t>에이디테크놀로지</t>
        </is>
      </c>
      <c r="C11" s="2" t="inlineStr">
        <is>
          <t>코스닥</t>
        </is>
      </c>
      <c r="D11" s="2" t="inlineStr">
        <is>
          <t>200710</t>
        </is>
      </c>
      <c r="E11" s="4" t="inlineStr">
        <is>
          <t xml:space="preserve">주주명부폐쇄기간또는기준일설정              </t>
        </is>
      </c>
      <c r="F11" s="4" t="inlineStr">
        <is>
          <t>에이디테크놀로지</t>
        </is>
      </c>
      <c r="G11" s="2" t="inlineStr">
        <is>
          <t>20251216900326</t>
        </is>
      </c>
      <c r="H11" s="3">
        <f>HYPERLINK("https://dart.fss.or.kr/dsaf001/main.do?rcpNo=20251216900326", "공시열람")</f>
        <v/>
      </c>
    </row>
    <row r="12">
      <c r="A12" s="2" t="inlineStr">
        <is>
          <t>2025-12-16</t>
        </is>
      </c>
      <c r="B12" s="4" t="inlineStr">
        <is>
          <t>에이디테크놀로지</t>
        </is>
      </c>
      <c r="C12" s="2" t="inlineStr">
        <is>
          <t>코스닥</t>
        </is>
      </c>
      <c r="D12" s="2" t="inlineStr">
        <is>
          <t>200710</t>
        </is>
      </c>
      <c r="E12" s="4" t="inlineStr">
        <is>
          <t xml:space="preserve">현금ㆍ현물배당을위한주주명부폐쇄(기준일)결정              </t>
        </is>
      </c>
      <c r="F12" s="4" t="inlineStr">
        <is>
          <t>에이디테크놀로지</t>
        </is>
      </c>
      <c r="G12" s="2" t="inlineStr">
        <is>
          <t>20251216900331</t>
        </is>
      </c>
      <c r="H12" s="3">
        <f>HYPERLINK("https://dart.fss.or.kr/dsaf001/main.do?rcpNo=20251216900331", "공시열람")</f>
        <v/>
      </c>
    </row>
    <row r="13">
      <c r="A13" s="2" t="inlineStr">
        <is>
          <t>2025-11-17</t>
        </is>
      </c>
      <c r="B13" s="4" t="inlineStr">
        <is>
          <t>에이디테크놀로지</t>
        </is>
      </c>
      <c r="C13" s="2" t="inlineStr">
        <is>
          <t>코스닥</t>
        </is>
      </c>
      <c r="D13" s="2" t="inlineStr">
        <is>
          <t>200710</t>
        </is>
      </c>
      <c r="E13" s="4" t="inlineStr">
        <is>
          <t xml:space="preserve">[첨부추가]기업설명회(IR)개최              </t>
        </is>
      </c>
      <c r="F13" s="4" t="inlineStr">
        <is>
          <t>에이디테크놀로지</t>
        </is>
      </c>
      <c r="G13" s="2" t="inlineStr">
        <is>
          <t>20251117900449</t>
        </is>
      </c>
      <c r="H13" s="3">
        <f>HYPERLINK("https://dart.fss.or.kr/dsaf001/main.do?rcpNo=20251117900449", "공시열람")</f>
        <v/>
      </c>
    </row>
    <row r="14">
      <c r="A14" s="2" t="inlineStr">
        <is>
          <t>2025-08-18</t>
        </is>
      </c>
      <c r="B14" s="4" t="inlineStr">
        <is>
          <t>에이디테크놀로지</t>
        </is>
      </c>
      <c r="C14" s="2" t="inlineStr">
        <is>
          <t>코스닥</t>
        </is>
      </c>
      <c r="D14" s="2" t="inlineStr">
        <is>
          <t>200710</t>
        </is>
      </c>
      <c r="E14" s="4" t="inlineStr">
        <is>
          <t xml:space="preserve">기업설명회(IR)개최              </t>
        </is>
      </c>
      <c r="F14" s="4" t="inlineStr">
        <is>
          <t>에이디테크놀로지</t>
        </is>
      </c>
      <c r="G14" s="2" t="inlineStr">
        <is>
          <t>20250818900087</t>
        </is>
      </c>
      <c r="H14" s="3">
        <f>HYPERLINK("https://dart.fss.or.kr/dsaf001/main.do?rcpNo=20250818900087", "공시열람")</f>
        <v/>
      </c>
    </row>
    <row r="15">
      <c r="A15" s="2" t="inlineStr">
        <is>
          <t>2025-08-08</t>
        </is>
      </c>
      <c r="B15" s="4" t="inlineStr">
        <is>
          <t>에이디테크놀로지</t>
        </is>
      </c>
      <c r="C15" s="2" t="inlineStr">
        <is>
          <t>코스닥</t>
        </is>
      </c>
      <c r="D15" s="2" t="inlineStr">
        <is>
          <t>200710</t>
        </is>
      </c>
      <c r="E15" s="4" t="inlineStr">
        <is>
          <t>주식매수선택권부여에관한신고</t>
        </is>
      </c>
      <c r="F15" s="4" t="inlineStr">
        <is>
          <t>에이디테크놀로지</t>
        </is>
      </c>
      <c r="G15" s="2" t="inlineStr">
        <is>
          <t>20250808000447</t>
        </is>
      </c>
      <c r="H15" s="3">
        <f>HYPERLINK("https://dart.fss.or.kr/dsaf001/main.do?rcpNo=20250808000447", "공시열람")</f>
        <v/>
      </c>
    </row>
    <row r="16">
      <c r="A16" s="2" t="inlineStr">
        <is>
          <t>2025-03-20</t>
        </is>
      </c>
      <c r="B16" s="4" t="inlineStr">
        <is>
          <t>에이디테크놀로지</t>
        </is>
      </c>
      <c r="C16" s="2" t="inlineStr">
        <is>
          <t>코스닥</t>
        </is>
      </c>
      <c r="D16" s="2" t="inlineStr">
        <is>
          <t>200710</t>
        </is>
      </c>
      <c r="E16" s="4" t="inlineStr">
        <is>
          <t xml:space="preserve">감사보고서제출              </t>
        </is>
      </c>
      <c r="F16" s="4" t="inlineStr">
        <is>
          <t>에이디테크놀로지</t>
        </is>
      </c>
      <c r="G16" s="2" t="inlineStr">
        <is>
          <t>20250320902415</t>
        </is>
      </c>
      <c r="H16" s="3">
        <f>HYPERLINK("https://dart.fss.or.kr/dsaf001/main.do?rcpNo=20250320902415", "공시열람")</f>
        <v/>
      </c>
    </row>
    <row r="17">
      <c r="A17" s="2" t="inlineStr">
        <is>
          <t>2025-03-17</t>
        </is>
      </c>
      <c r="B17" s="4" t="inlineStr">
        <is>
          <t>에이디테크놀로지</t>
        </is>
      </c>
      <c r="C17" s="2" t="inlineStr">
        <is>
          <t>코스닥</t>
        </is>
      </c>
      <c r="D17" s="2" t="inlineStr">
        <is>
          <t>200710</t>
        </is>
      </c>
      <c r="E17" s="4" t="inlineStr">
        <is>
          <t>의결권대리행사권유참고서류</t>
        </is>
      </c>
      <c r="F17" s="4" t="inlineStr">
        <is>
          <t>에이디테크놀로지</t>
        </is>
      </c>
      <c r="G17" s="2" t="inlineStr">
        <is>
          <t>20250317000193</t>
        </is>
      </c>
      <c r="H17" s="3">
        <f>HYPERLINK("https://dart.fss.or.kr/dsaf001/main.do?rcpNo=20250317000193", "공시열람")</f>
        <v/>
      </c>
    </row>
    <row r="18">
      <c r="A18" s="2" t="inlineStr">
        <is>
          <t>2025-01-31</t>
        </is>
      </c>
      <c r="B18" s="4" t="inlineStr">
        <is>
          <t>에이디테크놀로지</t>
        </is>
      </c>
      <c r="C18" s="2" t="inlineStr">
        <is>
          <t>코스닥</t>
        </is>
      </c>
      <c r="D18" s="2" t="inlineStr">
        <is>
          <t>200710</t>
        </is>
      </c>
      <c r="E18" s="4" t="inlineStr">
        <is>
          <t>신탁계약해지결과보고서</t>
        </is>
      </c>
      <c r="F18" s="4" t="inlineStr">
        <is>
          <t>에이디테크놀로지</t>
        </is>
      </c>
      <c r="G18" s="2" t="inlineStr">
        <is>
          <t>20250131000278</t>
        </is>
      </c>
      <c r="H18" s="3">
        <f>HYPERLINK("https://dart.fss.or.kr/dsaf001/main.do?rcpNo=20250131000278", "공시열람")</f>
        <v/>
      </c>
    </row>
    <row r="19">
      <c r="A19" s="2" t="inlineStr">
        <is>
          <t>2025-01-20</t>
        </is>
      </c>
      <c r="B19" s="4" t="inlineStr">
        <is>
          <t>에이디테크놀로지</t>
        </is>
      </c>
      <c r="C19" s="2" t="inlineStr">
        <is>
          <t>코스닥</t>
        </is>
      </c>
      <c r="D19" s="2" t="inlineStr">
        <is>
          <t>200710</t>
        </is>
      </c>
      <c r="E19" s="4" t="inlineStr">
        <is>
          <t xml:space="preserve">기업설명회(IR)개최              </t>
        </is>
      </c>
      <c r="F19" s="4" t="inlineStr">
        <is>
          <t>에이디테크놀로지</t>
        </is>
      </c>
      <c r="G19" s="2" t="inlineStr">
        <is>
          <t>20250120900973</t>
        </is>
      </c>
      <c r="H19" s="3">
        <f>HYPERLINK("https://dart.fss.or.kr/dsaf001/main.do?rcpNo=20250120900973", "공시열람")</f>
        <v/>
      </c>
    </row>
    <row r="20">
      <c r="A20" s="2" t="inlineStr">
        <is>
          <t>2024-12-16</t>
        </is>
      </c>
      <c r="B20" s="4" t="inlineStr">
        <is>
          <t>에이디테크놀로지</t>
        </is>
      </c>
      <c r="C20" s="2" t="inlineStr">
        <is>
          <t>코스닥</t>
        </is>
      </c>
      <c r="D20" s="2" t="inlineStr">
        <is>
          <t>200710</t>
        </is>
      </c>
      <c r="E20" s="4" t="inlineStr">
        <is>
          <t xml:space="preserve">주주명부폐쇄기간또는기준일설정              </t>
        </is>
      </c>
      <c r="F20" s="4" t="inlineStr">
        <is>
          <t>에이디테크놀로지</t>
        </is>
      </c>
      <c r="G20" s="2" t="inlineStr">
        <is>
          <t>20241216901231</t>
        </is>
      </c>
      <c r="H20" s="3">
        <f>HYPERLINK("https://dart.fss.or.kr/dsaf001/main.do?rcpNo=20241216901231", "공시열람")</f>
        <v/>
      </c>
    </row>
    <row r="21">
      <c r="A21" s="2" t="inlineStr">
        <is>
          <t>2024-12-16</t>
        </is>
      </c>
      <c r="B21" s="4" t="inlineStr">
        <is>
          <t>에이디테크놀로지</t>
        </is>
      </c>
      <c r="C21" s="2" t="inlineStr">
        <is>
          <t>코스닥</t>
        </is>
      </c>
      <c r="D21" s="2" t="inlineStr">
        <is>
          <t>200710</t>
        </is>
      </c>
      <c r="E21" s="4" t="inlineStr">
        <is>
          <t xml:space="preserve">현금ㆍ현물배당을위한주주명부폐쇄(기준일)결정              </t>
        </is>
      </c>
      <c r="F21" s="4" t="inlineStr">
        <is>
          <t>에이디테크놀로지</t>
        </is>
      </c>
      <c r="G21" s="2" t="inlineStr">
        <is>
          <t>20241216901247</t>
        </is>
      </c>
      <c r="H21" s="3">
        <f>HYPERLINK("https://dart.fss.or.kr/dsaf001/main.do?rcpNo=20241216901247", "공시열람")</f>
        <v/>
      </c>
    </row>
    <row r="22">
      <c r="A22" s="2" t="inlineStr">
        <is>
          <t>2024-10-28</t>
        </is>
      </c>
      <c r="B22" s="4" t="inlineStr">
        <is>
          <t>에이디테크놀로지</t>
        </is>
      </c>
      <c r="C22" s="2" t="inlineStr">
        <is>
          <t>코스닥</t>
        </is>
      </c>
      <c r="D22" s="2" t="inlineStr">
        <is>
          <t>200710</t>
        </is>
      </c>
      <c r="E22" s="4" t="inlineStr">
        <is>
          <t>신탁계약에의한취득상황보고서</t>
        </is>
      </c>
      <c r="F22" s="4" t="inlineStr">
        <is>
          <t>에이디테크놀로지</t>
        </is>
      </c>
      <c r="G22" s="2" t="inlineStr">
        <is>
          <t>20241028000354</t>
        </is>
      </c>
      <c r="H22" s="3">
        <f>HYPERLINK("https://dart.fss.or.kr/dsaf001/main.do?rcpNo=20241028000354", "공시열람")</f>
        <v/>
      </c>
    </row>
    <row r="23">
      <c r="A23" s="2" t="inlineStr">
        <is>
          <t>2024-04-30</t>
        </is>
      </c>
      <c r="B23" s="4" t="inlineStr">
        <is>
          <t>에이디테크놀로지</t>
        </is>
      </c>
      <c r="C23" s="2" t="inlineStr">
        <is>
          <t>코스닥</t>
        </is>
      </c>
      <c r="D23" s="2" t="inlineStr">
        <is>
          <t>200710</t>
        </is>
      </c>
      <c r="E23" s="4" t="inlineStr">
        <is>
          <t xml:space="preserve">소속부변경              </t>
        </is>
      </c>
      <c r="F23" s="4" t="inlineStr">
        <is>
          <t>코스닥시장본부</t>
        </is>
      </c>
      <c r="G23" s="2" t="inlineStr">
        <is>
          <t>20240430901334</t>
        </is>
      </c>
      <c r="H23" s="3">
        <f>HYPERLINK("https://dart.fss.or.kr/dsaf001/main.do?rcpNo=20240430901334", "공시열람")</f>
        <v/>
      </c>
    </row>
    <row r="24">
      <c r="A24" s="2" t="inlineStr">
        <is>
          <t>2024-03-20</t>
        </is>
      </c>
      <c r="B24" s="4" t="inlineStr">
        <is>
          <t>에이디테크놀로지</t>
        </is>
      </c>
      <c r="C24" s="2" t="inlineStr">
        <is>
          <t>코스닥</t>
        </is>
      </c>
      <c r="D24" s="2" t="inlineStr">
        <is>
          <t>200710</t>
        </is>
      </c>
      <c r="E24" s="4" t="inlineStr">
        <is>
          <t xml:space="preserve">감사보고서제출              </t>
        </is>
      </c>
      <c r="F24" s="4" t="inlineStr">
        <is>
          <t>에이디테크놀로지</t>
        </is>
      </c>
      <c r="G24" s="2" t="inlineStr">
        <is>
          <t>20240320902427</t>
        </is>
      </c>
      <c r="H24" s="3">
        <f>HYPERLINK("https://dart.fss.or.kr/dsaf001/main.do?rcpNo=20240320902427", "공시열람")</f>
        <v/>
      </c>
    </row>
    <row r="25">
      <c r="A25" s="2" t="inlineStr">
        <is>
          <t>2024-03-12</t>
        </is>
      </c>
      <c r="B25" s="4" t="inlineStr">
        <is>
          <t>에이디테크놀로지</t>
        </is>
      </c>
      <c r="C25" s="2" t="inlineStr">
        <is>
          <t>코스닥</t>
        </is>
      </c>
      <c r="D25" s="2" t="inlineStr">
        <is>
          <t>200710</t>
        </is>
      </c>
      <c r="E25" s="4" t="inlineStr">
        <is>
          <t>의결권대리행사권유참고서류</t>
        </is>
      </c>
      <c r="F25" s="4" t="inlineStr">
        <is>
          <t>에이디테크놀로지</t>
        </is>
      </c>
      <c r="G25" s="2" t="inlineStr">
        <is>
          <t>20240312000961</t>
        </is>
      </c>
      <c r="H25" s="3">
        <f>HYPERLINK("https://dart.fss.or.kr/dsaf001/main.do?rcpNo=20240312000961", "공시열람")</f>
        <v/>
      </c>
    </row>
    <row r="26">
      <c r="A26" s="2" t="inlineStr">
        <is>
          <t>2024-02-05</t>
        </is>
      </c>
      <c r="B26" s="4" t="inlineStr">
        <is>
          <t>에이디테크놀로지</t>
        </is>
      </c>
      <c r="C26" s="2" t="inlineStr">
        <is>
          <t>코스닥</t>
        </is>
      </c>
      <c r="D26" s="2" t="inlineStr">
        <is>
          <t>200710</t>
        </is>
      </c>
      <c r="E26" s="4" t="inlineStr">
        <is>
          <t xml:space="preserve">매출액또는손익구조30%(대규모법인은15%)이상변동              </t>
        </is>
      </c>
      <c r="F26" s="4" t="inlineStr">
        <is>
          <t>에이디테크놀로지</t>
        </is>
      </c>
      <c r="G26" s="2" t="inlineStr">
        <is>
          <t>20240205901027</t>
        </is>
      </c>
      <c r="H26" s="3">
        <f>HYPERLINK("https://dart.fss.or.kr/dsaf001/main.do?rcpNo=20240205901027", "공시열람")</f>
        <v/>
      </c>
    </row>
    <row r="27">
      <c r="A27" s="2" t="inlineStr">
        <is>
          <t>2023-12-14</t>
        </is>
      </c>
      <c r="B27" s="4" t="inlineStr">
        <is>
          <t>에이디테크놀로지</t>
        </is>
      </c>
      <c r="C27" s="2" t="inlineStr">
        <is>
          <t>코스닥</t>
        </is>
      </c>
      <c r="D27" s="2" t="inlineStr">
        <is>
          <t>200710</t>
        </is>
      </c>
      <c r="E27" s="4" t="inlineStr">
        <is>
          <t>주주명부폐쇄기간또는기준일설정</t>
        </is>
      </c>
      <c r="F27" s="4" t="inlineStr">
        <is>
          <t>에이디테크놀로지</t>
        </is>
      </c>
      <c r="G27" s="2" t="inlineStr">
        <is>
          <t>20231214901125</t>
        </is>
      </c>
      <c r="H27" s="3">
        <f>HYPERLINK("https://dart.fss.or.kr/dsaf001/main.do?rcpNo=20231214901125", "공시열람")</f>
        <v/>
      </c>
    </row>
    <row r="28">
      <c r="A28" s="2" t="inlineStr">
        <is>
          <t>2023-12-14</t>
        </is>
      </c>
      <c r="B28" s="4" t="inlineStr">
        <is>
          <t>에이디테크놀로지</t>
        </is>
      </c>
      <c r="C28" s="2" t="inlineStr">
        <is>
          <t>코스닥</t>
        </is>
      </c>
      <c r="D28" s="2" t="inlineStr">
        <is>
          <t>200710</t>
        </is>
      </c>
      <c r="E28" s="4" t="inlineStr">
        <is>
          <t>현금ㆍ현물배당을위한주주명부폐쇄(기준일)결정</t>
        </is>
      </c>
      <c r="F28" s="4" t="inlineStr">
        <is>
          <t>에이디테크놀로지</t>
        </is>
      </c>
      <c r="G28" s="2" t="inlineStr">
        <is>
          <t>20231214901132</t>
        </is>
      </c>
      <c r="H28" s="3">
        <f>HYPERLINK("https://dart.fss.or.kr/dsaf001/main.do?rcpNo=20231214901132", "공시열람")</f>
        <v/>
      </c>
    </row>
    <row r="29">
      <c r="A29" s="2" t="inlineStr">
        <is>
          <t>2023-07-12</t>
        </is>
      </c>
      <c r="B29" s="4" t="inlineStr">
        <is>
          <t>에이디테크놀로지</t>
        </is>
      </c>
      <c r="C29" s="2" t="inlineStr">
        <is>
          <t>코스닥</t>
        </is>
      </c>
      <c r="D29" s="2" t="inlineStr">
        <is>
          <t>200710</t>
        </is>
      </c>
      <c r="E29" s="4" t="inlineStr">
        <is>
          <t>신탁계약해지결과보고서</t>
        </is>
      </c>
      <c r="F29" s="4" t="inlineStr">
        <is>
          <t>에이디테크놀로지</t>
        </is>
      </c>
      <c r="G29" s="2" t="inlineStr">
        <is>
          <t>20230712000448</t>
        </is>
      </c>
      <c r="H29" s="3">
        <f>HYPERLINK("https://dart.fss.or.kr/dsaf001/main.do?rcpNo=20230712000448", "공시열람")</f>
        <v/>
      </c>
    </row>
    <row r="30">
      <c r="A30" s="2" t="inlineStr">
        <is>
          <t>2023-06-23</t>
        </is>
      </c>
      <c r="B30" s="4" t="inlineStr">
        <is>
          <t>에이디테크놀로지</t>
        </is>
      </c>
      <c r="C30" s="2" t="inlineStr">
        <is>
          <t>코스닥</t>
        </is>
      </c>
      <c r="D30" s="2" t="inlineStr">
        <is>
          <t>200710</t>
        </is>
      </c>
      <c r="E30" s="4" t="inlineStr">
        <is>
          <t>[기재정정]주식매수선택권부여에관한신고</t>
        </is>
      </c>
      <c r="F30" s="4" t="inlineStr">
        <is>
          <t>에이디테크놀로지</t>
        </is>
      </c>
      <c r="G30" s="2" t="inlineStr">
        <is>
          <t>20230623000283</t>
        </is>
      </c>
      <c r="H30" s="3">
        <f>HYPERLINK("https://dart.fss.or.kr/dsaf001/main.do?rcpNo=20230623000283", "공시열람")</f>
        <v/>
      </c>
    </row>
    <row r="31">
      <c r="A31" s="2" t="inlineStr">
        <is>
          <t>2023-06-23</t>
        </is>
      </c>
      <c r="B31" s="4" t="inlineStr">
        <is>
          <t>에이디테크놀로지</t>
        </is>
      </c>
      <c r="C31" s="2" t="inlineStr">
        <is>
          <t>코스닥</t>
        </is>
      </c>
      <c r="D31" s="2" t="inlineStr">
        <is>
          <t>200710</t>
        </is>
      </c>
      <c r="E31" s="4" t="inlineStr">
        <is>
          <t>[기재정정]주식매수선택권부여에관한신고</t>
        </is>
      </c>
      <c r="F31" s="4" t="inlineStr">
        <is>
          <t>에이디테크놀로지</t>
        </is>
      </c>
      <c r="G31" s="2" t="inlineStr">
        <is>
          <t>20230623000281</t>
        </is>
      </c>
      <c r="H31" s="3">
        <f>HYPERLINK("https://dart.fss.or.kr/dsaf001/main.do?rcpNo=20230623000281", "공시열람")</f>
        <v/>
      </c>
    </row>
    <row r="32">
      <c r="A32" s="2" t="inlineStr">
        <is>
          <t>2023-04-11</t>
        </is>
      </c>
      <c r="B32" s="4" t="inlineStr">
        <is>
          <t>에이디테크놀로지</t>
        </is>
      </c>
      <c r="C32" s="2" t="inlineStr">
        <is>
          <t>코스닥</t>
        </is>
      </c>
      <c r="D32" s="2" t="inlineStr">
        <is>
          <t>200710</t>
        </is>
      </c>
      <c r="E32" s="4" t="inlineStr">
        <is>
          <t>신탁계약에의한취득상황보고서</t>
        </is>
      </c>
      <c r="F32" s="4" t="inlineStr">
        <is>
          <t>에이디테크놀로지</t>
        </is>
      </c>
      <c r="G32" s="2" t="inlineStr">
        <is>
          <t>20230411003002</t>
        </is>
      </c>
      <c r="H32" s="3">
        <f>HYPERLINK("https://dart.fss.or.kr/dsaf001/main.do?rcpNo=20230411003002", "공시열람")</f>
        <v/>
      </c>
    </row>
    <row r="33">
      <c r="A33" s="2" t="inlineStr">
        <is>
          <t>2023-03-30</t>
        </is>
      </c>
      <c r="B33" s="4" t="inlineStr">
        <is>
          <t>에이디테크놀로지</t>
        </is>
      </c>
      <c r="C33" s="2" t="inlineStr">
        <is>
          <t>코스닥</t>
        </is>
      </c>
      <c r="D33" s="2" t="inlineStr">
        <is>
          <t>200710</t>
        </is>
      </c>
      <c r="E33" s="4" t="inlineStr">
        <is>
          <t>독립이사의선임ㆍ해임또는중도퇴임에관한신고</t>
        </is>
      </c>
      <c r="F33" s="4" t="inlineStr">
        <is>
          <t>에이디테크놀로지</t>
        </is>
      </c>
      <c r="G33" s="2" t="inlineStr">
        <is>
          <t>20230330000720</t>
        </is>
      </c>
      <c r="H33" s="3">
        <f>HYPERLINK("https://dart.fss.or.kr/dsaf001/main.do?rcpNo=20230330000720", "공시열람")</f>
        <v/>
      </c>
    </row>
    <row r="34">
      <c r="A34" s="2" t="inlineStr">
        <is>
          <t>2023-03-21</t>
        </is>
      </c>
      <c r="B34" s="4" t="inlineStr">
        <is>
          <t>에이디테크놀로지</t>
        </is>
      </c>
      <c r="C34" s="2" t="inlineStr">
        <is>
          <t>코스닥</t>
        </is>
      </c>
      <c r="D34" s="2" t="inlineStr">
        <is>
          <t>200710</t>
        </is>
      </c>
      <c r="E34" s="4" t="inlineStr">
        <is>
          <t>감사보고서제출</t>
        </is>
      </c>
      <c r="F34" s="4" t="inlineStr">
        <is>
          <t>에이디테크놀로지</t>
        </is>
      </c>
      <c r="G34" s="2" t="inlineStr">
        <is>
          <t>20230321900845</t>
        </is>
      </c>
      <c r="H34" s="3">
        <f>HYPERLINK("https://dart.fss.or.kr/dsaf001/main.do?rcpNo=20230321900845", "공시열람")</f>
        <v/>
      </c>
    </row>
    <row r="35">
      <c r="A35" s="2" t="inlineStr">
        <is>
          <t>2023-03-09</t>
        </is>
      </c>
      <c r="B35" s="4" t="inlineStr">
        <is>
          <t>에이디테크놀로지</t>
        </is>
      </c>
      <c r="C35" s="2" t="inlineStr">
        <is>
          <t>코스닥</t>
        </is>
      </c>
      <c r="D35" s="2" t="inlineStr">
        <is>
          <t>200710</t>
        </is>
      </c>
      <c r="E35" s="4" t="inlineStr">
        <is>
          <t>[기재정정]의결권대리행사권유참고서류</t>
        </is>
      </c>
      <c r="F35" s="4" t="inlineStr">
        <is>
          <t>에이디테크놀로지</t>
        </is>
      </c>
      <c r="G35" s="2" t="inlineStr">
        <is>
          <t>20230309000850</t>
        </is>
      </c>
      <c r="H35" s="3">
        <f>HYPERLINK("https://dart.fss.or.kr/dsaf001/main.do?rcpNo=20230309000850", "공시열람")</f>
        <v/>
      </c>
    </row>
    <row r="36">
      <c r="A36" s="2" t="inlineStr">
        <is>
          <t>2023-03-06</t>
        </is>
      </c>
      <c r="B36" s="4" t="inlineStr">
        <is>
          <t>에이디테크놀로지</t>
        </is>
      </c>
      <c r="C36" s="2" t="inlineStr">
        <is>
          <t>코스닥</t>
        </is>
      </c>
      <c r="D36" s="2" t="inlineStr">
        <is>
          <t>200710</t>
        </is>
      </c>
      <c r="E36" s="4" t="inlineStr">
        <is>
          <t>의결권대리행사권유참고서류</t>
        </is>
      </c>
      <c r="F36" s="4" t="inlineStr">
        <is>
          <t>에이디테크놀로지</t>
        </is>
      </c>
      <c r="G36" s="2" t="inlineStr">
        <is>
          <t>20230306000482</t>
        </is>
      </c>
      <c r="H36" s="3">
        <f>HYPERLINK("https://dart.fss.or.kr/dsaf001/main.do?rcpNo=20230306000482", "공시열람")</f>
        <v/>
      </c>
    </row>
    <row r="37">
      <c r="A37" s="2" t="inlineStr">
        <is>
          <t>2023-02-06</t>
        </is>
      </c>
      <c r="B37" s="4" t="inlineStr">
        <is>
          <t>에이디테크놀로지</t>
        </is>
      </c>
      <c r="C37" s="2" t="inlineStr">
        <is>
          <t>코스닥</t>
        </is>
      </c>
      <c r="D37" s="2" t="inlineStr">
        <is>
          <t>200710</t>
        </is>
      </c>
      <c r="E37" s="4" t="inlineStr">
        <is>
          <t>매출액또는손익구조30%(대규모법인은15%)이상변동</t>
        </is>
      </c>
      <c r="F37" s="4" t="inlineStr">
        <is>
          <t>에이디테크놀로지</t>
        </is>
      </c>
      <c r="G37" s="2" t="inlineStr">
        <is>
          <t>20230206901166</t>
        </is>
      </c>
      <c r="H37" s="3">
        <f>HYPERLINK("https://dart.fss.or.kr/dsaf001/main.do?rcpNo=20230206901166", "공시열람")</f>
        <v/>
      </c>
    </row>
    <row r="38">
      <c r="A38" s="2" t="inlineStr">
        <is>
          <t>2023-01-25</t>
        </is>
      </c>
      <c r="B38" s="4" t="inlineStr">
        <is>
          <t>에이디테크놀로지</t>
        </is>
      </c>
      <c r="C38" s="2" t="inlineStr">
        <is>
          <t>코스닥</t>
        </is>
      </c>
      <c r="D38" s="2" t="inlineStr">
        <is>
          <t>200710</t>
        </is>
      </c>
      <c r="E38" s="4" t="inlineStr">
        <is>
          <t>신탁계약해지결과보고서</t>
        </is>
      </c>
      <c r="F38" s="4" t="inlineStr">
        <is>
          <t>에이디테크놀로지</t>
        </is>
      </c>
      <c r="G38" s="2" t="inlineStr">
        <is>
          <t>20230125000238</t>
        </is>
      </c>
      <c r="H38" s="3">
        <f>HYPERLINK("https://dart.fss.or.kr/dsaf001/main.do?rcpNo=20230125000238", "공시열람")</f>
        <v/>
      </c>
    </row>
    <row r="39">
      <c r="A39" s="2" t="inlineStr">
        <is>
          <t>2022-12-16</t>
        </is>
      </c>
      <c r="B39" s="4" t="inlineStr">
        <is>
          <t>에이디테크놀로지</t>
        </is>
      </c>
      <c r="C39" s="2" t="inlineStr">
        <is>
          <t>코스닥</t>
        </is>
      </c>
      <c r="D39" s="2" t="inlineStr">
        <is>
          <t>200710</t>
        </is>
      </c>
      <c r="E39" s="4" t="inlineStr">
        <is>
          <t>현금ㆍ현물배당을위한주주명부폐쇄(기준일)결정</t>
        </is>
      </c>
      <c r="F39" s="4" t="inlineStr">
        <is>
          <t>에이디테크놀로지</t>
        </is>
      </c>
      <c r="G39" s="2" t="inlineStr">
        <is>
          <t>20221216900584</t>
        </is>
      </c>
      <c r="H39" s="3">
        <f>HYPERLINK("https://dart.fss.or.kr/dsaf001/main.do?rcpNo=20221216900584", "공시열람")</f>
        <v/>
      </c>
    </row>
    <row r="40">
      <c r="A40" s="2" t="inlineStr">
        <is>
          <t>2022-12-16</t>
        </is>
      </c>
      <c r="B40" s="4" t="inlineStr">
        <is>
          <t>에이디테크놀로지</t>
        </is>
      </c>
      <c r="C40" s="2" t="inlineStr">
        <is>
          <t>코스닥</t>
        </is>
      </c>
      <c r="D40" s="2" t="inlineStr">
        <is>
          <t>200710</t>
        </is>
      </c>
      <c r="E40" s="4" t="inlineStr">
        <is>
          <t>주주명부폐쇄기간또는기준일설정</t>
        </is>
      </c>
      <c r="F40" s="4" t="inlineStr">
        <is>
          <t>에이디테크놀로지</t>
        </is>
      </c>
      <c r="G40" s="2" t="inlineStr">
        <is>
          <t>20221216900576</t>
        </is>
      </c>
      <c r="H40" s="3">
        <f>HYPERLINK("https://dart.fss.or.kr/dsaf001/main.do?rcpNo=20221216900576", "공시열람")</f>
        <v/>
      </c>
    </row>
    <row r="41">
      <c r="A41" s="2" t="inlineStr">
        <is>
          <t>2022-10-28</t>
        </is>
      </c>
      <c r="B41" s="4" t="inlineStr">
        <is>
          <t>에이디테크놀로지</t>
        </is>
      </c>
      <c r="C41" s="2" t="inlineStr">
        <is>
          <t>코스닥</t>
        </is>
      </c>
      <c r="D41" s="2" t="inlineStr">
        <is>
          <t>200710</t>
        </is>
      </c>
      <c r="E41" s="4" t="inlineStr">
        <is>
          <t>신탁계약에의한취득상황보고서</t>
        </is>
      </c>
      <c r="F41" s="4" t="inlineStr">
        <is>
          <t>에이디테크놀로지</t>
        </is>
      </c>
      <c r="G41" s="2" t="inlineStr">
        <is>
          <t>20221028000463</t>
        </is>
      </c>
      <c r="H41" s="3">
        <f>HYPERLINK("https://dart.fss.or.kr/dsaf001/main.do?rcpNo=20221028000463", "공시열람")</f>
        <v/>
      </c>
    </row>
    <row r="42">
      <c r="A42" s="2" t="inlineStr">
        <is>
          <t>2022-08-29</t>
        </is>
      </c>
      <c r="B42" s="4" t="inlineStr">
        <is>
          <t>에이디테크놀로지</t>
        </is>
      </c>
      <c r="C42" s="2" t="inlineStr">
        <is>
          <t>코스닥</t>
        </is>
      </c>
      <c r="D42" s="2" t="inlineStr">
        <is>
          <t>200710</t>
        </is>
      </c>
      <c r="E42" s="4" t="inlineStr">
        <is>
          <t>전환가액의조정</t>
        </is>
      </c>
      <c r="F42" s="4" t="inlineStr">
        <is>
          <t>에이디테크놀로지</t>
        </is>
      </c>
      <c r="G42" s="2" t="inlineStr">
        <is>
          <t>20220829900131</t>
        </is>
      </c>
      <c r="H42" s="3">
        <f>HYPERLINK("https://dart.fss.or.kr/dsaf001/main.do?rcpNo=20220829900131", "공시열람")</f>
        <v/>
      </c>
    </row>
    <row r="43">
      <c r="A43" s="2" t="inlineStr">
        <is>
          <t>2022-06-16</t>
        </is>
      </c>
      <c r="B43" s="4" t="inlineStr">
        <is>
          <t>에이디테크놀로지</t>
        </is>
      </c>
      <c r="C43" s="2" t="inlineStr">
        <is>
          <t>코스닥</t>
        </is>
      </c>
      <c r="D43" s="2" t="inlineStr">
        <is>
          <t>200710</t>
        </is>
      </c>
      <c r="E43" s="4" t="inlineStr">
        <is>
          <t>단기차입금증가결정</t>
        </is>
      </c>
      <c r="F43" s="4" t="inlineStr">
        <is>
          <t>에이디테크놀로지</t>
        </is>
      </c>
      <c r="G43" s="2" t="inlineStr">
        <is>
          <t>20220616900309</t>
        </is>
      </c>
      <c r="H43" s="3">
        <f>HYPERLINK("https://dart.fss.or.kr/dsaf001/main.do?rcpNo=20220616900309", "공시열람")</f>
        <v/>
      </c>
    </row>
    <row r="44">
      <c r="A44" s="2" t="inlineStr">
        <is>
          <t>2022-04-15</t>
        </is>
      </c>
      <c r="B44" s="4" t="inlineStr">
        <is>
          <t>에이디테크놀로지</t>
        </is>
      </c>
      <c r="C44" s="2" t="inlineStr">
        <is>
          <t>코스닥</t>
        </is>
      </c>
      <c r="D44" s="2" t="inlineStr">
        <is>
          <t>200710</t>
        </is>
      </c>
      <c r="E44" s="4" t="inlineStr">
        <is>
          <t>[기재정정]주식매수선택권부여에관한신고</t>
        </is>
      </c>
      <c r="F44" s="4" t="inlineStr">
        <is>
          <t>에이디테크놀로지</t>
        </is>
      </c>
      <c r="G44" s="2" t="inlineStr">
        <is>
          <t>20220415000415</t>
        </is>
      </c>
      <c r="H44" s="3">
        <f>HYPERLINK("https://dart.fss.or.kr/dsaf001/main.do?rcpNo=20220415000415", "공시열람")</f>
        <v/>
      </c>
    </row>
    <row r="45">
      <c r="A45" s="2" t="inlineStr">
        <is>
          <t>2022-04-15</t>
        </is>
      </c>
      <c r="B45" s="4" t="inlineStr">
        <is>
          <t>에이디테크놀로지</t>
        </is>
      </c>
      <c r="C45" s="2" t="inlineStr">
        <is>
          <t>코스닥</t>
        </is>
      </c>
      <c r="D45" s="2" t="inlineStr">
        <is>
          <t>200710</t>
        </is>
      </c>
      <c r="E45" s="4" t="inlineStr">
        <is>
          <t>[기재정정]주식매수선택권부여에관한신고</t>
        </is>
      </c>
      <c r="F45" s="4" t="inlineStr">
        <is>
          <t>에이디테크놀로지</t>
        </is>
      </c>
      <c r="G45" s="2" t="inlineStr">
        <is>
          <t>20220415000420</t>
        </is>
      </c>
      <c r="H45" s="3">
        <f>HYPERLINK("https://dart.fss.or.kr/dsaf001/main.do?rcpNo=20220415000420", "공시열람")</f>
        <v/>
      </c>
    </row>
    <row r="46">
      <c r="A46" s="2" t="inlineStr">
        <is>
          <t>2022-04-15</t>
        </is>
      </c>
      <c r="B46" s="4" t="inlineStr">
        <is>
          <t>에이디테크놀로지</t>
        </is>
      </c>
      <c r="C46" s="2" t="inlineStr">
        <is>
          <t>코스닥</t>
        </is>
      </c>
      <c r="D46" s="2" t="inlineStr">
        <is>
          <t>200710</t>
        </is>
      </c>
      <c r="E46" s="4" t="inlineStr">
        <is>
          <t>[기재정정]주식매수선택권부여에관한신고</t>
        </is>
      </c>
      <c r="F46" s="4" t="inlineStr">
        <is>
          <t>에이디테크놀로지</t>
        </is>
      </c>
      <c r="G46" s="2" t="inlineStr">
        <is>
          <t>20220415000422</t>
        </is>
      </c>
      <c r="H46" s="3">
        <f>HYPERLINK("https://dart.fss.or.kr/dsaf001/main.do?rcpNo=20220415000422", "공시열람")</f>
        <v/>
      </c>
    </row>
    <row r="47">
      <c r="A47" s="2" t="inlineStr">
        <is>
          <t>2022-03-15</t>
        </is>
      </c>
      <c r="B47" s="4" t="inlineStr">
        <is>
          <t>에이디테크놀로지</t>
        </is>
      </c>
      <c r="C47" s="2" t="inlineStr">
        <is>
          <t>코스닥</t>
        </is>
      </c>
      <c r="D47" s="2" t="inlineStr">
        <is>
          <t>200710</t>
        </is>
      </c>
      <c r="E47" s="4" t="inlineStr">
        <is>
          <t>감사보고서제출</t>
        </is>
      </c>
      <c r="F47" s="4" t="inlineStr">
        <is>
          <t>에이디테크놀로지</t>
        </is>
      </c>
      <c r="G47" s="2" t="inlineStr">
        <is>
          <t>20220315901857</t>
        </is>
      </c>
      <c r="H47" s="3">
        <f>HYPERLINK("https://dart.fss.or.kr/dsaf001/main.do?rcpNo=20220315901857", "공시열람")</f>
        <v/>
      </c>
    </row>
    <row r="48">
      <c r="A48" s="2" t="inlineStr">
        <is>
          <t>2022-03-04</t>
        </is>
      </c>
      <c r="B48" s="4" t="inlineStr">
        <is>
          <t>에이디테크놀로지</t>
        </is>
      </c>
      <c r="C48" s="2" t="inlineStr">
        <is>
          <t>코스닥</t>
        </is>
      </c>
      <c r="D48" s="2" t="inlineStr">
        <is>
          <t>200710</t>
        </is>
      </c>
      <c r="E48" s="4" t="inlineStr">
        <is>
          <t>의결권대리행사권유참고서류</t>
        </is>
      </c>
      <c r="F48" s="4" t="inlineStr">
        <is>
          <t>에이디테크놀로지</t>
        </is>
      </c>
      <c r="G48" s="2" t="inlineStr">
        <is>
          <t>20220304000237</t>
        </is>
      </c>
      <c r="H48" s="3">
        <f>HYPERLINK("https://dart.fss.or.kr/dsaf001/main.do?rcpNo=20220304000237", "공시열람")</f>
        <v/>
      </c>
    </row>
    <row r="49">
      <c r="A49" s="2" t="inlineStr">
        <is>
          <t>2022-02-04</t>
        </is>
      </c>
      <c r="B49" s="4" t="inlineStr">
        <is>
          <t>에이디테크놀로지</t>
        </is>
      </c>
      <c r="C49" s="2" t="inlineStr">
        <is>
          <t>코스닥</t>
        </is>
      </c>
      <c r="D49" s="2" t="inlineStr">
        <is>
          <t>200710</t>
        </is>
      </c>
      <c r="E49" s="4" t="inlineStr">
        <is>
          <t>매출액또는손익구조30%(대규모법인은15%)이상변동</t>
        </is>
      </c>
      <c r="F49" s="4" t="inlineStr">
        <is>
          <t>에이디테크놀로지</t>
        </is>
      </c>
      <c r="G49" s="2" t="inlineStr">
        <is>
          <t>20220204900423</t>
        </is>
      </c>
      <c r="H49" s="3">
        <f>HYPERLINK("https://dart.fss.or.kr/dsaf001/main.do?rcpNo=20220204900423", "공시열람")</f>
        <v/>
      </c>
    </row>
    <row r="50">
      <c r="A50" s="2" t="inlineStr">
        <is>
          <t>2022-02-04</t>
        </is>
      </c>
      <c r="B50" s="4" t="inlineStr">
        <is>
          <t>에이디테크놀로지</t>
        </is>
      </c>
      <c r="C50" s="2" t="inlineStr">
        <is>
          <t>코스닥</t>
        </is>
      </c>
      <c r="D50" s="2" t="inlineStr">
        <is>
          <t>200710</t>
        </is>
      </c>
      <c r="E50" s="4" t="inlineStr">
        <is>
          <t>현금ㆍ현물배당결정</t>
        </is>
      </c>
      <c r="F50" s="4" t="inlineStr">
        <is>
          <t>에이디테크놀로지</t>
        </is>
      </c>
      <c r="G50" s="2" t="inlineStr">
        <is>
          <t>20220204900435</t>
        </is>
      </c>
      <c r="H50" s="3">
        <f>HYPERLINK("https://dart.fss.or.kr/dsaf001/main.do?rcpNo=20220204900435", "공시열람")</f>
        <v/>
      </c>
    </row>
    <row r="51">
      <c r="A51" s="2" t="inlineStr">
        <is>
          <t>2022-01-27</t>
        </is>
      </c>
      <c r="B51" s="4" t="inlineStr">
        <is>
          <t>에이디테크놀로지</t>
        </is>
      </c>
      <c r="C51" s="2" t="inlineStr">
        <is>
          <t>코스닥</t>
        </is>
      </c>
      <c r="D51" s="2" t="inlineStr">
        <is>
          <t>200710</t>
        </is>
      </c>
      <c r="E51" s="4" t="inlineStr">
        <is>
          <t>주식매수선택권부여에관한신고</t>
        </is>
      </c>
      <c r="F51" s="4" t="inlineStr">
        <is>
          <t>에이디테크놀로지</t>
        </is>
      </c>
      <c r="G51" s="2" t="inlineStr">
        <is>
          <t>20220127000359</t>
        </is>
      </c>
      <c r="H51" s="3">
        <f>HYPERLINK("https://dart.fss.or.kr/dsaf001/main.do?rcpNo=20220127000359", "공시열람")</f>
        <v/>
      </c>
    </row>
    <row r="52">
      <c r="A52" s="2" t="inlineStr">
        <is>
          <t>2021-12-16</t>
        </is>
      </c>
      <c r="B52" s="4" t="inlineStr">
        <is>
          <t>에이디테크놀로지</t>
        </is>
      </c>
      <c r="C52" s="2" t="inlineStr">
        <is>
          <t>코스닥</t>
        </is>
      </c>
      <c r="D52" s="2" t="inlineStr">
        <is>
          <t>200710</t>
        </is>
      </c>
      <c r="E52" s="4" t="inlineStr">
        <is>
          <t>현금ㆍ현물배당을위한주주명부폐쇄(기준일)결정</t>
        </is>
      </c>
      <c r="F52" s="4" t="inlineStr">
        <is>
          <t>에이디테크놀로지</t>
        </is>
      </c>
      <c r="G52" s="2" t="inlineStr">
        <is>
          <t>20211216901305</t>
        </is>
      </c>
      <c r="H52" s="3">
        <f>HYPERLINK("https://dart.fss.or.kr/dsaf001/main.do?rcpNo=20211216901305", "공시열람")</f>
        <v/>
      </c>
    </row>
    <row r="53">
      <c r="A53" s="2" t="inlineStr">
        <is>
          <t>2021-12-16</t>
        </is>
      </c>
      <c r="B53" s="4" t="inlineStr">
        <is>
          <t>에이디테크놀로지</t>
        </is>
      </c>
      <c r="C53" s="2" t="inlineStr">
        <is>
          <t>코스닥</t>
        </is>
      </c>
      <c r="D53" s="2" t="inlineStr">
        <is>
          <t>200710</t>
        </is>
      </c>
      <c r="E53" s="4" t="inlineStr">
        <is>
          <t>주주명부폐쇄기간또는기준일설정</t>
        </is>
      </c>
      <c r="F53" s="4" t="inlineStr">
        <is>
          <t>에이디테크놀로지</t>
        </is>
      </c>
      <c r="G53" s="2" t="inlineStr">
        <is>
          <t>20211216901302</t>
        </is>
      </c>
      <c r="H53" s="3">
        <f>HYPERLINK("https://dart.fss.or.kr/dsaf001/main.do?rcpNo=20211216901302", "공시열람")</f>
        <v/>
      </c>
    </row>
    <row r="54">
      <c r="A54" s="2" t="inlineStr">
        <is>
          <t>2021-11-17</t>
        </is>
      </c>
      <c r="B54" s="4" t="inlineStr">
        <is>
          <t>에이디테크놀로지</t>
        </is>
      </c>
      <c r="C54" s="2" t="inlineStr">
        <is>
          <t>코스닥</t>
        </is>
      </c>
      <c r="D54" s="2" t="inlineStr">
        <is>
          <t>200710</t>
        </is>
      </c>
      <c r="E54" s="4" t="inlineStr">
        <is>
          <t>단기차입금증가결정</t>
        </is>
      </c>
      <c r="F54" s="4" t="inlineStr">
        <is>
          <t>에이디테크놀로지</t>
        </is>
      </c>
      <c r="G54" s="2" t="inlineStr">
        <is>
          <t>20211117900354</t>
        </is>
      </c>
      <c r="H54" s="3">
        <f>HYPERLINK("https://dart.fss.or.kr/dsaf001/main.do?rcpNo=20211117900354", "공시열람")</f>
        <v/>
      </c>
    </row>
    <row r="55">
      <c r="A55" s="2" t="inlineStr">
        <is>
          <t>2021-06-01</t>
        </is>
      </c>
      <c r="B55" s="4" t="inlineStr">
        <is>
          <t>에이디테크놀로지</t>
        </is>
      </c>
      <c r="C55" s="2" t="inlineStr">
        <is>
          <t>코스닥</t>
        </is>
      </c>
      <c r="D55" s="2" t="inlineStr">
        <is>
          <t>200710</t>
        </is>
      </c>
      <c r="E55" s="4" t="inlineStr">
        <is>
          <t>대표이사변경</t>
        </is>
      </c>
      <c r="F55" s="4" t="inlineStr">
        <is>
          <t>에이디테크놀로지</t>
        </is>
      </c>
      <c r="G55" s="2" t="inlineStr">
        <is>
          <t>20210601900246</t>
        </is>
      </c>
      <c r="H55" s="3">
        <f>HYPERLINK("https://dart.fss.or.kr/dsaf001/main.do?rcpNo=20210601900246", "공시열람")</f>
        <v/>
      </c>
    </row>
    <row r="56">
      <c r="A56" s="2" t="inlineStr">
        <is>
          <t>2021-03-29</t>
        </is>
      </c>
      <c r="B56" s="4" t="inlineStr">
        <is>
          <t>에이디테크놀로지</t>
        </is>
      </c>
      <c r="C56" s="2" t="inlineStr">
        <is>
          <t>코스닥</t>
        </is>
      </c>
      <c r="D56" s="2" t="inlineStr">
        <is>
          <t>200710</t>
        </is>
      </c>
      <c r="E56" s="4" t="inlineStr">
        <is>
          <t>본점소재지변경</t>
        </is>
      </c>
      <c r="F56" s="4" t="inlineStr">
        <is>
          <t>에이디테크놀로지</t>
        </is>
      </c>
      <c r="G56" s="2" t="inlineStr">
        <is>
          <t>20210329900832</t>
        </is>
      </c>
      <c r="H56" s="3">
        <f>HYPERLINK("https://dart.fss.or.kr/dsaf001/main.do?rcpNo=20210329900832", "공시열람")</f>
        <v/>
      </c>
    </row>
    <row r="57">
      <c r="A57" s="2" t="inlineStr">
        <is>
          <t>2021-03-18</t>
        </is>
      </c>
      <c r="B57" s="4" t="inlineStr">
        <is>
          <t>에이디테크놀로지</t>
        </is>
      </c>
      <c r="C57" s="2" t="inlineStr">
        <is>
          <t>코스닥</t>
        </is>
      </c>
      <c r="D57" s="2" t="inlineStr">
        <is>
          <t>200710</t>
        </is>
      </c>
      <c r="E57" s="4" t="inlineStr">
        <is>
          <t>감사보고서제출</t>
        </is>
      </c>
      <c r="F57" s="4" t="inlineStr">
        <is>
          <t>에이디테크놀로지</t>
        </is>
      </c>
      <c r="G57" s="2" t="inlineStr">
        <is>
          <t>20210318901037</t>
        </is>
      </c>
      <c r="H57" s="3">
        <f>HYPERLINK("https://dart.fss.or.kr/dsaf001/main.do?rcpNo=20210318901037", "공시열람")</f>
        <v/>
      </c>
    </row>
    <row r="58">
      <c r="A58" s="2" t="inlineStr">
        <is>
          <t>2021-03-12</t>
        </is>
      </c>
      <c r="B58" s="4" t="inlineStr">
        <is>
          <t>에이디테크놀로지</t>
        </is>
      </c>
      <c r="C58" s="2" t="inlineStr">
        <is>
          <t>코스닥</t>
        </is>
      </c>
      <c r="D58" s="2" t="inlineStr">
        <is>
          <t>200710</t>
        </is>
      </c>
      <c r="E58" s="4" t="inlineStr">
        <is>
          <t>의결권대리행사권유참고서류</t>
        </is>
      </c>
      <c r="F58" s="4" t="inlineStr">
        <is>
          <t>에이디테크놀로지</t>
        </is>
      </c>
      <c r="G58" s="2" t="inlineStr">
        <is>
          <t>20210312000244</t>
        </is>
      </c>
      <c r="H58" s="3">
        <f>HYPERLINK("https://dart.fss.or.kr/dsaf001/main.do?rcpNo=20210312000244", "공시열람")</f>
        <v/>
      </c>
    </row>
    <row r="59">
      <c r="A59" s="2" t="inlineStr">
        <is>
          <t>2021-02-26</t>
        </is>
      </c>
      <c r="B59" s="4" t="inlineStr">
        <is>
          <t>에이디테크놀로지</t>
        </is>
      </c>
      <c r="C59" s="2" t="inlineStr">
        <is>
          <t>코스닥</t>
        </is>
      </c>
      <c r="D59" s="2" t="inlineStr">
        <is>
          <t>200710</t>
        </is>
      </c>
      <c r="E59" s="4" t="inlineStr">
        <is>
          <t>[기재정정]주식매수선택권부여에관한신고</t>
        </is>
      </c>
      <c r="F59" s="4" t="inlineStr">
        <is>
          <t>에이디테크놀로지</t>
        </is>
      </c>
      <c r="G59" s="2" t="inlineStr">
        <is>
          <t>20210226004017</t>
        </is>
      </c>
      <c r="H59" s="3">
        <f>HYPERLINK("https://dart.fss.or.kr/dsaf001/main.do?rcpNo=20210226004017", "공시열람")</f>
        <v/>
      </c>
    </row>
    <row r="60">
      <c r="A60" s="2" t="inlineStr">
        <is>
          <t>2021-02-26</t>
        </is>
      </c>
      <c r="B60" s="4" t="inlineStr">
        <is>
          <t>에이디테크놀로지</t>
        </is>
      </c>
      <c r="C60" s="2" t="inlineStr">
        <is>
          <t>코스닥</t>
        </is>
      </c>
      <c r="D60" s="2" t="inlineStr">
        <is>
          <t>200710</t>
        </is>
      </c>
      <c r="E60" s="4" t="inlineStr">
        <is>
          <t>매출액또는손익구조30%(대규모법인은15%)이상변동</t>
        </is>
      </c>
      <c r="F60" s="4" t="inlineStr">
        <is>
          <t>에이디테크놀로지</t>
        </is>
      </c>
      <c r="G60" s="2" t="inlineStr">
        <is>
          <t>20210226900632</t>
        </is>
      </c>
      <c r="H60" s="3">
        <f>HYPERLINK("https://dart.fss.or.kr/dsaf001/main.do?rcpNo=20210226900632", "공시열람")</f>
        <v/>
      </c>
    </row>
    <row r="61">
      <c r="A61" s="2" t="inlineStr">
        <is>
          <t>2021-02-26</t>
        </is>
      </c>
      <c r="B61" s="4" t="inlineStr">
        <is>
          <t>에이디테크놀로지</t>
        </is>
      </c>
      <c r="C61" s="2" t="inlineStr">
        <is>
          <t>코스닥</t>
        </is>
      </c>
      <c r="D61" s="2" t="inlineStr">
        <is>
          <t>200710</t>
        </is>
      </c>
      <c r="E61" s="4" t="inlineStr">
        <is>
          <t>[기재정정]주식매수선택권부여에관한신고</t>
        </is>
      </c>
      <c r="F61" s="4" t="inlineStr">
        <is>
          <t>에이디테크놀로지</t>
        </is>
      </c>
      <c r="G61" s="2" t="inlineStr">
        <is>
          <t>20210226003985</t>
        </is>
      </c>
      <c r="H61" s="3">
        <f>HYPERLINK("https://dart.fss.or.kr/dsaf001/main.do?rcpNo=20210226003985", "공시열람")</f>
        <v/>
      </c>
    </row>
    <row r="62">
      <c r="A62" s="2" t="inlineStr">
        <is>
          <t>2021-01-08</t>
        </is>
      </c>
      <c r="B62" s="4" t="inlineStr">
        <is>
          <t>에이디테크놀로지</t>
        </is>
      </c>
      <c r="C62" s="2" t="inlineStr">
        <is>
          <t>코스닥</t>
        </is>
      </c>
      <c r="D62" s="2" t="inlineStr">
        <is>
          <t>200710</t>
        </is>
      </c>
      <c r="E62" s="4" t="inlineStr">
        <is>
          <t>독립이사의선임ㆍ해임또는중도퇴임에관한신고</t>
        </is>
      </c>
      <c r="F62" s="4" t="inlineStr">
        <is>
          <t>에이디테크놀로지</t>
        </is>
      </c>
      <c r="G62" s="2" t="inlineStr">
        <is>
          <t>20210108000748</t>
        </is>
      </c>
      <c r="H62" s="3">
        <f>HYPERLINK("https://dart.fss.or.kr/dsaf001/main.do?rcpNo=20210108000748", "공시열람")</f>
        <v/>
      </c>
    </row>
    <row r="63">
      <c r="A63" s="2" t="inlineStr">
        <is>
          <t>2020-12-29 (원공시: 2020-12-21)</t>
        </is>
      </c>
      <c r="B63" s="4" t="inlineStr">
        <is>
          <t>에이디테크놀로지</t>
        </is>
      </c>
      <c r="C63" s="2" t="inlineStr">
        <is>
          <t>코스닥</t>
        </is>
      </c>
      <c r="D63" s="2" t="inlineStr">
        <is>
          <t>200710</t>
        </is>
      </c>
      <c r="E63" s="4" t="inlineStr">
        <is>
          <t>현금ㆍ현물배당결정 (정정: 20201229)</t>
        </is>
      </c>
      <c r="F63" s="4" t="inlineStr">
        <is>
          <t>에이디테크놀로지</t>
        </is>
      </c>
      <c r="G63" s="2" t="inlineStr">
        <is>
          <t>20201229900144</t>
        </is>
      </c>
      <c r="H63" s="3">
        <f>HYPERLINK("https://dart.fss.or.kr/dsaf001/main.do?rcpNo=20201229900144", "공시열람")</f>
        <v/>
      </c>
    </row>
    <row r="64">
      <c r="A64" s="2" t="inlineStr">
        <is>
          <t>2020-12-14</t>
        </is>
      </c>
      <c r="B64" s="4" t="inlineStr">
        <is>
          <t>에이디테크놀로지</t>
        </is>
      </c>
      <c r="C64" s="2" t="inlineStr">
        <is>
          <t>코스닥</t>
        </is>
      </c>
      <c r="D64" s="2" t="inlineStr">
        <is>
          <t>200710</t>
        </is>
      </c>
      <c r="E64" s="4" t="inlineStr">
        <is>
          <t>주주명부폐쇄기간또는기준일설정</t>
        </is>
      </c>
      <c r="F64" s="4" t="inlineStr">
        <is>
          <t>에이디테크놀로지</t>
        </is>
      </c>
      <c r="G64" s="2" t="inlineStr">
        <is>
          <t>20201214900417</t>
        </is>
      </c>
      <c r="H64" s="3">
        <f>HYPERLINK("https://dart.fss.or.kr/dsaf001/main.do?rcpNo=20201214900417", "공시열람")</f>
        <v/>
      </c>
    </row>
    <row r="65">
      <c r="A65" s="2" t="inlineStr">
        <is>
          <t>2020-09-29</t>
        </is>
      </c>
      <c r="B65" s="4" t="inlineStr">
        <is>
          <t>에이디테크놀로지</t>
        </is>
      </c>
      <c r="C65" s="2" t="inlineStr">
        <is>
          <t>코스닥</t>
        </is>
      </c>
      <c r="D65" s="2" t="inlineStr">
        <is>
          <t>200710</t>
        </is>
      </c>
      <c r="E65" s="4" t="inlineStr">
        <is>
          <t>전환청구권행사</t>
        </is>
      </c>
      <c r="F65" s="4" t="inlineStr">
        <is>
          <t>에이디테크놀로지</t>
        </is>
      </c>
      <c r="G65" s="2" t="inlineStr">
        <is>
          <t>20200929900579</t>
        </is>
      </c>
      <c r="H65" s="3">
        <f>HYPERLINK("https://dart.fss.or.kr/dsaf001/main.do?rcpNo=20200929900579", "공시열람")</f>
        <v/>
      </c>
    </row>
    <row r="66">
      <c r="A66" s="2" t="inlineStr">
        <is>
          <t>2020-09-28</t>
        </is>
      </c>
      <c r="B66" s="4" t="inlineStr">
        <is>
          <t>에이디테크놀로지</t>
        </is>
      </c>
      <c r="C66" s="2" t="inlineStr">
        <is>
          <t>코스닥</t>
        </is>
      </c>
      <c r="D66" s="2" t="inlineStr">
        <is>
          <t>200710</t>
        </is>
      </c>
      <c r="E66" s="4" t="inlineStr">
        <is>
          <t>합병등종료보고서(합병)</t>
        </is>
      </c>
      <c r="F66" s="4" t="inlineStr">
        <is>
          <t>에이디테크놀로지</t>
        </is>
      </c>
      <c r="G66" s="2" t="inlineStr">
        <is>
          <t>20200928000237</t>
        </is>
      </c>
      <c r="H66" s="3">
        <f>HYPERLINK("https://dart.fss.or.kr/dsaf001/main.do?rcpNo=20200928000237", "공시열람")</f>
        <v/>
      </c>
    </row>
    <row r="67">
      <c r="A67" s="2" t="inlineStr">
        <is>
          <t>2020-09-02 (원공시: 2020-08-28)</t>
        </is>
      </c>
      <c r="B67" s="4" t="inlineStr">
        <is>
          <t>에이디테크놀로지</t>
        </is>
      </c>
      <c r="C67" s="2" t="inlineStr">
        <is>
          <t>코스닥</t>
        </is>
      </c>
      <c r="D67" s="2" t="inlineStr">
        <is>
          <t>200710</t>
        </is>
      </c>
      <c r="E67" s="4" t="inlineStr">
        <is>
          <t>전환청구권행사 (정정: 20200902)</t>
        </is>
      </c>
      <c r="F67" s="4" t="inlineStr">
        <is>
          <t>에이디테크놀로지</t>
        </is>
      </c>
      <c r="G67" s="2" t="inlineStr">
        <is>
          <t>20200902900099</t>
        </is>
      </c>
      <c r="H67" s="3">
        <f>HYPERLINK("https://dart.fss.or.kr/dsaf001/main.do?rcpNo=20200902900099", "공시열람")</f>
        <v/>
      </c>
    </row>
    <row r="68">
      <c r="A68" s="2" t="inlineStr">
        <is>
          <t>2020-07-22</t>
        </is>
      </c>
      <c r="B68" s="4" t="inlineStr">
        <is>
          <t>에이디테크놀로지</t>
        </is>
      </c>
      <c r="C68" s="2" t="inlineStr">
        <is>
          <t>코스닥</t>
        </is>
      </c>
      <c r="D68" s="2" t="inlineStr">
        <is>
          <t>200710</t>
        </is>
      </c>
      <c r="E68" s="4" t="inlineStr">
        <is>
          <t>단기차입금증가결정</t>
        </is>
      </c>
      <c r="F68" s="4" t="inlineStr">
        <is>
          <t>에이디테크놀로지</t>
        </is>
      </c>
      <c r="G68" s="2" t="inlineStr">
        <is>
          <t>20200722900267</t>
        </is>
      </c>
      <c r="H68" s="3">
        <f>HYPERLINK("https://dart.fss.or.kr/dsaf001/main.do?rcpNo=20200722900267", "공시열람")</f>
        <v/>
      </c>
    </row>
    <row r="69">
      <c r="A69" s="2" t="inlineStr">
        <is>
          <t>2020-07-20 (원공시: 2020-07-14)</t>
        </is>
      </c>
      <c r="B69" s="4" t="inlineStr">
        <is>
          <t>에이디테크놀로지</t>
        </is>
      </c>
      <c r="C69" s="2" t="inlineStr">
        <is>
          <t>코스닥</t>
        </is>
      </c>
      <c r="D69" s="2" t="inlineStr">
        <is>
          <t>200710</t>
        </is>
      </c>
      <c r="E69" s="4" t="inlineStr">
        <is>
          <t>증권발행실적보고서 (정정: 20200720)</t>
        </is>
      </c>
      <c r="F69" s="4" t="inlineStr">
        <is>
          <t>에이디테크놀로지</t>
        </is>
      </c>
      <c r="G69" s="2" t="inlineStr">
        <is>
          <t>20200720900228</t>
        </is>
      </c>
      <c r="H69" s="3">
        <f>HYPERLINK("https://dart.fss.or.kr/dsaf001/main.do?rcpNo=20200720900228", "공시열람")</f>
        <v/>
      </c>
    </row>
    <row r="70">
      <c r="A70" s="2" t="inlineStr">
        <is>
          <t>2020-07-20</t>
        </is>
      </c>
      <c r="B70" s="4" t="inlineStr">
        <is>
          <t>에이디테크놀로지</t>
        </is>
      </c>
      <c r="C70" s="2" t="inlineStr">
        <is>
          <t>코스닥</t>
        </is>
      </c>
      <c r="D70" s="2" t="inlineStr">
        <is>
          <t>200710</t>
        </is>
      </c>
      <c r="E70" s="4" t="inlineStr">
        <is>
          <t>자기주식처분결과보고서</t>
        </is>
      </c>
      <c r="F70" s="4" t="inlineStr">
        <is>
          <t>에이디테크놀로지</t>
        </is>
      </c>
      <c r="G70" s="2" t="inlineStr">
        <is>
          <t>20200720000173</t>
        </is>
      </c>
      <c r="H70" s="3">
        <f>HYPERLINK("https://dart.fss.or.kr/dsaf001/main.do?rcpNo=20200720000173", "공시열람")</f>
        <v/>
      </c>
    </row>
    <row r="71">
      <c r="A71" s="2" t="inlineStr">
        <is>
          <t>2020-07-15</t>
        </is>
      </c>
      <c r="B71" s="4" t="inlineStr">
        <is>
          <t>에이디테크놀로지</t>
        </is>
      </c>
      <c r="C71" s="2" t="inlineStr">
        <is>
          <t>코스닥</t>
        </is>
      </c>
      <c r="D71" s="2" t="inlineStr">
        <is>
          <t>200710</t>
        </is>
      </c>
      <c r="E71" s="4" t="inlineStr">
        <is>
          <t>전환가액의조정</t>
        </is>
      </c>
      <c r="F71" s="4" t="inlineStr">
        <is>
          <t>에이디테크놀로지</t>
        </is>
      </c>
      <c r="G71" s="2" t="inlineStr">
        <is>
          <t>20200715900335</t>
        </is>
      </c>
      <c r="H71" s="3">
        <f>HYPERLINK("https://dart.fss.or.kr/dsaf001/main.do?rcpNo=20200715900335", "공시열람")</f>
        <v/>
      </c>
    </row>
    <row r="72">
      <c r="A72" s="2" t="inlineStr">
        <is>
          <t>2020-07-15</t>
        </is>
      </c>
      <c r="B72" s="4" t="inlineStr">
        <is>
          <t>에이디테크놀로지</t>
        </is>
      </c>
      <c r="C72" s="2" t="inlineStr">
        <is>
          <t>코스닥</t>
        </is>
      </c>
      <c r="D72" s="2" t="inlineStr">
        <is>
          <t>200710</t>
        </is>
      </c>
      <c r="E72" s="4" t="inlineStr">
        <is>
          <t>주요사항보고서(자기주식처분결정)</t>
        </is>
      </c>
      <c r="F72" s="4" t="inlineStr">
        <is>
          <t>에이디테크놀로지</t>
        </is>
      </c>
      <c r="G72" s="2" t="inlineStr">
        <is>
          <t>20200715000286</t>
        </is>
      </c>
      <c r="H72" s="3">
        <f>HYPERLINK("https://dart.fss.or.kr/dsaf001/main.do?rcpNo=20200715000286", "공시열람")</f>
        <v/>
      </c>
    </row>
    <row r="73">
      <c r="A73" s="2" t="inlineStr">
        <is>
          <t>2020-07-14</t>
        </is>
      </c>
      <c r="B73" s="4" t="inlineStr">
        <is>
          <t>에이디테크놀로지</t>
        </is>
      </c>
      <c r="C73" s="2" t="inlineStr">
        <is>
          <t>코스닥</t>
        </is>
      </c>
      <c r="D73" s="2" t="inlineStr">
        <is>
          <t>200710</t>
        </is>
      </c>
      <c r="E73" s="4" t="inlineStr">
        <is>
          <t>증권발행결과(자율공시)</t>
        </is>
      </c>
      <c r="F73" s="4" t="inlineStr">
        <is>
          <t>에이디테크놀로지</t>
        </is>
      </c>
      <c r="G73" s="2" t="inlineStr">
        <is>
          <t>20200714900150</t>
        </is>
      </c>
      <c r="H73" s="3">
        <f>HYPERLINK("https://dart.fss.or.kr/dsaf001/main.do?rcpNo=20200714900150", "공시열람")</f>
        <v/>
      </c>
    </row>
    <row r="74">
      <c r="A74" s="2" t="inlineStr">
        <is>
          <t>2020-07-14</t>
        </is>
      </c>
      <c r="B74" s="4" t="inlineStr">
        <is>
          <t>에이디테크놀로지</t>
        </is>
      </c>
      <c r="C74" s="2" t="inlineStr">
        <is>
          <t>코스닥</t>
        </is>
      </c>
      <c r="D74" s="2" t="inlineStr">
        <is>
          <t>200710</t>
        </is>
      </c>
      <c r="E74" s="4" t="inlineStr">
        <is>
          <t>주주명부폐쇄기간또는기준일설정</t>
        </is>
      </c>
      <c r="F74" s="4" t="inlineStr">
        <is>
          <t>에이디테크놀로지</t>
        </is>
      </c>
      <c r="G74" s="2" t="inlineStr">
        <is>
          <t>20200714900085</t>
        </is>
      </c>
      <c r="H74" s="3">
        <f>HYPERLINK("https://dart.fss.or.kr/dsaf001/main.do?rcpNo=20200714900085", "공시열람")</f>
        <v/>
      </c>
    </row>
    <row r="75">
      <c r="A75" s="2" t="inlineStr">
        <is>
          <t>2020-07-08</t>
        </is>
      </c>
      <c r="B75" s="4" t="inlineStr">
        <is>
          <t>에이디테크놀로지</t>
        </is>
      </c>
      <c r="C75" s="2" t="inlineStr">
        <is>
          <t>코스닥</t>
        </is>
      </c>
      <c r="D75" s="2" t="inlineStr">
        <is>
          <t>200710</t>
        </is>
      </c>
      <c r="E75" s="4" t="inlineStr">
        <is>
          <t>유상증자또는주식관련사채등의청약결과(자율공시)</t>
        </is>
      </c>
      <c r="F75" s="4" t="inlineStr">
        <is>
          <t>에이디테크놀로지</t>
        </is>
      </c>
      <c r="G75" s="2" t="inlineStr">
        <is>
          <t>20200708900081</t>
        </is>
      </c>
      <c r="H75" s="3">
        <f>HYPERLINK("https://dart.fss.or.kr/dsaf001/main.do?rcpNo=20200708900081", "공시열람")</f>
        <v/>
      </c>
    </row>
    <row r="76">
      <c r="A76" s="2" t="inlineStr">
        <is>
          <t>2020-07-02</t>
        </is>
      </c>
      <c r="B76" s="4" t="inlineStr">
        <is>
          <t>에이디테크놀로지</t>
        </is>
      </c>
      <c r="C76" s="2" t="inlineStr">
        <is>
          <t>코스닥</t>
        </is>
      </c>
      <c r="D76" s="2" t="inlineStr">
        <is>
          <t>200710</t>
        </is>
      </c>
      <c r="E76" s="4" t="inlineStr">
        <is>
          <t>유상증자최종발행가액확정</t>
        </is>
      </c>
      <c r="F76" s="4" t="inlineStr">
        <is>
          <t>에이디테크놀로지</t>
        </is>
      </c>
      <c r="G76" s="2" t="inlineStr">
        <is>
          <t>20200702900084</t>
        </is>
      </c>
      <c r="H76" s="3">
        <f>HYPERLINK("https://dart.fss.or.kr/dsaf001/main.do?rcpNo=20200702900084", "공시열람")</f>
        <v/>
      </c>
    </row>
    <row r="77">
      <c r="A77" s="2" t="inlineStr">
        <is>
          <t>2020-07-02</t>
        </is>
      </c>
      <c r="B77" s="4" t="inlineStr">
        <is>
          <t>에이디테크놀로지</t>
        </is>
      </c>
      <c r="C77" s="2" t="inlineStr">
        <is>
          <t>코스닥</t>
        </is>
      </c>
      <c r="D77" s="2" t="inlineStr">
        <is>
          <t>200710</t>
        </is>
      </c>
      <c r="E77" s="4" t="inlineStr">
        <is>
          <t>[기재정정]투자설명서</t>
        </is>
      </c>
      <c r="F77" s="4" t="inlineStr">
        <is>
          <t>에이디테크놀로지</t>
        </is>
      </c>
      <c r="G77" s="2" t="inlineStr">
        <is>
          <t>20200702000025</t>
        </is>
      </c>
      <c r="H77" s="3">
        <f>HYPERLINK("https://dart.fss.or.kr/dsaf001/main.do?rcpNo=20200702000025", "공시열람")</f>
        <v/>
      </c>
    </row>
    <row r="78">
      <c r="A78" s="2" t="inlineStr">
        <is>
          <t>2020-07-02</t>
        </is>
      </c>
      <c r="B78" s="4" t="inlineStr">
        <is>
          <t>에이디테크놀로지</t>
        </is>
      </c>
      <c r="C78" s="2" t="inlineStr">
        <is>
          <t>코스닥</t>
        </is>
      </c>
      <c r="D78" s="2" t="inlineStr">
        <is>
          <t>200710</t>
        </is>
      </c>
      <c r="E78" s="4" t="inlineStr">
        <is>
          <t>[발행조건확정]증권신고서(지분증권)</t>
        </is>
      </c>
      <c r="F78" s="4" t="inlineStr">
        <is>
          <t>에이디테크놀로지</t>
        </is>
      </c>
      <c r="G78" s="2" t="inlineStr">
        <is>
          <t>20200702000027</t>
        </is>
      </c>
      <c r="H78" s="3">
        <f>HYPERLINK("https://dart.fss.or.kr/dsaf001/main.do?rcpNo=20200702000027", "공시열람")</f>
        <v/>
      </c>
    </row>
    <row r="79">
      <c r="A79" s="2" t="inlineStr">
        <is>
          <t>2020-06-18</t>
        </is>
      </c>
      <c r="B79" s="4" t="inlineStr">
        <is>
          <t>에이디테크놀로지</t>
        </is>
      </c>
      <c r="C79" s="2" t="inlineStr">
        <is>
          <t>코스닥</t>
        </is>
      </c>
      <c r="D79" s="2" t="inlineStr">
        <is>
          <t>200710</t>
        </is>
      </c>
      <c r="E79" s="4" t="inlineStr">
        <is>
          <t>신탁계약해지결과보고서</t>
        </is>
      </c>
      <c r="F79" s="4" t="inlineStr">
        <is>
          <t>에이디테크놀로지</t>
        </is>
      </c>
      <c r="G79" s="2" t="inlineStr">
        <is>
          <t>20200618000281</t>
        </is>
      </c>
      <c r="H79" s="3">
        <f>HYPERLINK("https://dart.fss.or.kr/dsaf001/main.do?rcpNo=20200618000281", "공시열람")</f>
        <v/>
      </c>
    </row>
    <row r="80">
      <c r="A80" s="2" t="inlineStr">
        <is>
          <t>2020-06-02</t>
        </is>
      </c>
      <c r="B80" s="4" t="inlineStr">
        <is>
          <t>에이디테크놀로지</t>
        </is>
      </c>
      <c r="C80" s="2" t="inlineStr">
        <is>
          <t>코스닥</t>
        </is>
      </c>
      <c r="D80" s="2" t="inlineStr">
        <is>
          <t>200710</t>
        </is>
      </c>
      <c r="E80" s="4" t="inlineStr">
        <is>
          <t>[발행조건확정]증권신고서(지분증권)</t>
        </is>
      </c>
      <c r="F80" s="4" t="inlineStr">
        <is>
          <t>에이디테크놀로지</t>
        </is>
      </c>
      <c r="G80" s="2" t="inlineStr">
        <is>
          <t>20200602000107</t>
        </is>
      </c>
      <c r="H80" s="3">
        <f>HYPERLINK("https://dart.fss.or.kr/dsaf001/main.do?rcpNo=20200602000107", "공시열람")</f>
        <v/>
      </c>
    </row>
    <row r="81">
      <c r="A81" s="2" t="inlineStr">
        <is>
          <t>2020-06-02</t>
        </is>
      </c>
      <c r="B81" s="4" t="inlineStr">
        <is>
          <t>에이디테크놀로지</t>
        </is>
      </c>
      <c r="C81" s="2" t="inlineStr">
        <is>
          <t>코스닥</t>
        </is>
      </c>
      <c r="D81" s="2" t="inlineStr">
        <is>
          <t>200710</t>
        </is>
      </c>
      <c r="E81" s="4" t="inlineStr">
        <is>
          <t>권리락(유상증자)</t>
        </is>
      </c>
      <c r="F81" s="4" t="inlineStr">
        <is>
          <t>코스닥시장본부</t>
        </is>
      </c>
      <c r="G81" s="2" t="inlineStr">
        <is>
          <t>20200602900358</t>
        </is>
      </c>
      <c r="H81" s="3">
        <f>HYPERLINK("https://dart.fss.or.kr/dsaf001/main.do?rcpNo=20200602900358", "공시열람")</f>
        <v/>
      </c>
    </row>
    <row r="82">
      <c r="A82" s="2" t="inlineStr">
        <is>
          <t>2020-06-02</t>
        </is>
      </c>
      <c r="B82" s="4" t="inlineStr">
        <is>
          <t>에이디테크놀로지</t>
        </is>
      </c>
      <c r="C82" s="2" t="inlineStr">
        <is>
          <t>코스닥</t>
        </is>
      </c>
      <c r="D82" s="2" t="inlineStr">
        <is>
          <t>200710</t>
        </is>
      </c>
      <c r="E82" s="4" t="inlineStr">
        <is>
          <t>유상증자1차발행가액결정</t>
        </is>
      </c>
      <c r="F82" s="4" t="inlineStr">
        <is>
          <t>에이디테크놀로지</t>
        </is>
      </c>
      <c r="G82" s="2" t="inlineStr">
        <is>
          <t>20200602900170</t>
        </is>
      </c>
      <c r="H82" s="3">
        <f>HYPERLINK("https://dart.fss.or.kr/dsaf001/main.do?rcpNo=20200602900170", "공시열람")</f>
        <v/>
      </c>
    </row>
    <row r="83">
      <c r="A83" s="2" t="inlineStr">
        <is>
          <t>2020-06-02</t>
        </is>
      </c>
      <c r="B83" s="4" t="inlineStr">
        <is>
          <t>에이디테크놀로지</t>
        </is>
      </c>
      <c r="C83" s="2" t="inlineStr">
        <is>
          <t>코스닥</t>
        </is>
      </c>
      <c r="D83" s="2" t="inlineStr">
        <is>
          <t>200710</t>
        </is>
      </c>
      <c r="E83" s="4" t="inlineStr">
        <is>
          <t>[기재정정]투자설명서</t>
        </is>
      </c>
      <c r="F83" s="4" t="inlineStr">
        <is>
          <t>에이디테크놀로지</t>
        </is>
      </c>
      <c r="G83" s="2" t="inlineStr">
        <is>
          <t>20200602000108</t>
        </is>
      </c>
      <c r="H83" s="3">
        <f>HYPERLINK("https://dart.fss.or.kr/dsaf001/main.do?rcpNo=20200602000108", "공시열람")</f>
        <v/>
      </c>
    </row>
    <row r="84">
      <c r="A84" s="2" t="inlineStr">
        <is>
          <t>2020-06-01</t>
        </is>
      </c>
      <c r="B84" s="4" t="inlineStr">
        <is>
          <t>에이디테크놀로지</t>
        </is>
      </c>
      <c r="C84" s="2" t="inlineStr">
        <is>
          <t>코스닥</t>
        </is>
      </c>
      <c r="D84" s="2" t="inlineStr">
        <is>
          <t>200710</t>
        </is>
      </c>
      <c r="E84" s="4" t="inlineStr">
        <is>
          <t>[기재정정]투자설명서</t>
        </is>
      </c>
      <c r="F84" s="4" t="inlineStr">
        <is>
          <t>에이디테크놀로지</t>
        </is>
      </c>
      <c r="G84" s="2" t="inlineStr">
        <is>
          <t>20200601000073</t>
        </is>
      </c>
      <c r="H84" s="3">
        <f>HYPERLINK("https://dart.fss.or.kr/dsaf001/main.do?rcpNo=20200601000073", "공시열람")</f>
        <v/>
      </c>
    </row>
    <row r="85">
      <c r="A85" s="2" t="inlineStr">
        <is>
          <t>2020-05-29</t>
        </is>
      </c>
      <c r="B85" s="4" t="inlineStr">
        <is>
          <t>에이디테크놀로지</t>
        </is>
      </c>
      <c r="C85" s="2" t="inlineStr">
        <is>
          <t>코스닥</t>
        </is>
      </c>
      <c r="D85" s="2" t="inlineStr">
        <is>
          <t>200710</t>
        </is>
      </c>
      <c r="E85" s="4" t="inlineStr">
        <is>
          <t>[기재정정]증권신고서(지분증권)</t>
        </is>
      </c>
      <c r="F85" s="4" t="inlineStr">
        <is>
          <t>에이디테크놀로지</t>
        </is>
      </c>
      <c r="G85" s="2" t="inlineStr">
        <is>
          <t>20200529001280</t>
        </is>
      </c>
      <c r="H85" s="3">
        <f>HYPERLINK("https://dart.fss.or.kr/dsaf001/main.do?rcpNo=20200529001280", "공시열람")</f>
        <v/>
      </c>
    </row>
    <row r="86">
      <c r="A86" s="2" t="inlineStr">
        <is>
          <t>2020-05-21</t>
        </is>
      </c>
      <c r="B86" s="4" t="inlineStr">
        <is>
          <t>에이디테크놀로지</t>
        </is>
      </c>
      <c r="C86" s="2" t="inlineStr">
        <is>
          <t>코스닥</t>
        </is>
      </c>
      <c r="D86" s="2" t="inlineStr">
        <is>
          <t>200710</t>
        </is>
      </c>
      <c r="E86" s="4" t="inlineStr">
        <is>
          <t>주주명부폐쇄기간또는기준일설정</t>
        </is>
      </c>
      <c r="F86" s="4" t="inlineStr">
        <is>
          <t>에이디테크놀로지</t>
        </is>
      </c>
      <c r="G86" s="2" t="inlineStr">
        <is>
          <t>20200521900205</t>
        </is>
      </c>
      <c r="H86" s="3">
        <f>HYPERLINK("https://dart.fss.or.kr/dsaf001/main.do?rcpNo=20200521900205", "공시열람")</f>
        <v/>
      </c>
    </row>
    <row r="87">
      <c r="A87" s="2" t="inlineStr">
        <is>
          <t>2020-05-15</t>
        </is>
      </c>
      <c r="B87" s="4" t="inlineStr">
        <is>
          <t>에이디테크놀로지</t>
        </is>
      </c>
      <c r="C87" s="2" t="inlineStr">
        <is>
          <t>코스닥</t>
        </is>
      </c>
      <c r="D87" s="2" t="inlineStr">
        <is>
          <t>200710</t>
        </is>
      </c>
      <c r="E87" s="4" t="inlineStr">
        <is>
          <t>[기재정정]증권신고서(지분증권)</t>
        </is>
      </c>
      <c r="F87" s="4" t="inlineStr">
        <is>
          <t>에이디테크놀로지</t>
        </is>
      </c>
      <c r="G87" s="2" t="inlineStr">
        <is>
          <t>20200515002030</t>
        </is>
      </c>
      <c r="H87" s="3">
        <f>HYPERLINK("https://dart.fss.or.kr/dsaf001/main.do?rcpNo=20200515002030", "공시열람")</f>
        <v/>
      </c>
    </row>
    <row r="88">
      <c r="A88" s="2" t="inlineStr">
        <is>
          <t>2020-05-07</t>
        </is>
      </c>
      <c r="B88" s="4" t="inlineStr">
        <is>
          <t>에이디테크놀로지</t>
        </is>
      </c>
      <c r="C88" s="2" t="inlineStr">
        <is>
          <t>코스닥</t>
        </is>
      </c>
      <c r="D88" s="2" t="inlineStr">
        <is>
          <t>200710</t>
        </is>
      </c>
      <c r="E88" s="4" t="inlineStr">
        <is>
          <t>투자설명서</t>
        </is>
      </c>
      <c r="F88" s="4" t="inlineStr">
        <is>
          <t>에이디테크놀로지</t>
        </is>
      </c>
      <c r="G88" s="2" t="inlineStr">
        <is>
          <t>20200507000078</t>
        </is>
      </c>
      <c r="H88" s="3">
        <f>HYPERLINK("https://dart.fss.or.kr/dsaf001/main.do?rcpNo=20200507000078", "공시열람")</f>
        <v/>
      </c>
    </row>
    <row r="89">
      <c r="A89" s="2" t="inlineStr">
        <is>
          <t>2020-05-06</t>
        </is>
      </c>
      <c r="B89" s="4" t="inlineStr">
        <is>
          <t>에이디테크놀로지</t>
        </is>
      </c>
      <c r="C89" s="2" t="inlineStr">
        <is>
          <t>코스닥</t>
        </is>
      </c>
      <c r="D89" s="2" t="inlineStr">
        <is>
          <t>200710</t>
        </is>
      </c>
      <c r="E89" s="4" t="inlineStr">
        <is>
          <t>영업(잠정)실적(공정공시)</t>
        </is>
      </c>
      <c r="F89" s="4" t="inlineStr">
        <is>
          <t>에이디테크놀로지</t>
        </is>
      </c>
      <c r="G89" s="2" t="inlineStr">
        <is>
          <t>20200506900589</t>
        </is>
      </c>
      <c r="H89" s="3">
        <f>HYPERLINK("https://dart.fss.or.kr/dsaf001/main.do?rcpNo=20200506900589", "공시열람")</f>
        <v/>
      </c>
    </row>
    <row r="90">
      <c r="A90" s="2" t="inlineStr">
        <is>
          <t>2020-05-06</t>
        </is>
      </c>
      <c r="B90" s="4" t="inlineStr">
        <is>
          <t>에이디테크놀로지</t>
        </is>
      </c>
      <c r="C90" s="2" t="inlineStr">
        <is>
          <t>코스닥</t>
        </is>
      </c>
      <c r="D90" s="2" t="inlineStr">
        <is>
          <t>200710</t>
        </is>
      </c>
      <c r="E90" s="4" t="inlineStr">
        <is>
          <t>[기재정정]증권신고서(지분증권)</t>
        </is>
      </c>
      <c r="F90" s="4" t="inlineStr">
        <is>
          <t>에이디테크놀로지</t>
        </is>
      </c>
      <c r="G90" s="2" t="inlineStr">
        <is>
          <t>20200506000650</t>
        </is>
      </c>
      <c r="H90" s="3">
        <f>HYPERLINK("https://dart.fss.or.kr/dsaf001/main.do?rcpNo=20200506000650", "공시열람")</f>
        <v/>
      </c>
    </row>
    <row r="91">
      <c r="A91" s="2" t="inlineStr">
        <is>
          <t>2020-04-29</t>
        </is>
      </c>
      <c r="B91" s="4" t="inlineStr">
        <is>
          <t>에이디테크놀로지</t>
        </is>
      </c>
      <c r="C91" s="2" t="inlineStr">
        <is>
          <t>코스닥</t>
        </is>
      </c>
      <c r="D91" s="2" t="inlineStr">
        <is>
          <t>200710</t>
        </is>
      </c>
      <c r="E91" s="4" t="inlineStr">
        <is>
          <t>소속부변경</t>
        </is>
      </c>
      <c r="F91" s="4" t="inlineStr">
        <is>
          <t>코스닥시장본부</t>
        </is>
      </c>
      <c r="G91" s="2" t="inlineStr">
        <is>
          <t>20200429901104</t>
        </is>
      </c>
      <c r="H91" s="3">
        <f>HYPERLINK("https://dart.fss.or.kr/dsaf001/main.do?rcpNo=20200429901104", "공시열람")</f>
        <v/>
      </c>
    </row>
    <row r="92">
      <c r="A92" s="2" t="inlineStr">
        <is>
          <t>2020-04-17</t>
        </is>
      </c>
      <c r="B92" s="4" t="inlineStr">
        <is>
          <t>에이디테크놀로지</t>
        </is>
      </c>
      <c r="C92" s="2" t="inlineStr">
        <is>
          <t>코스닥</t>
        </is>
      </c>
      <c r="D92" s="2" t="inlineStr">
        <is>
          <t>200710</t>
        </is>
      </c>
      <c r="E92" s="4" t="inlineStr">
        <is>
          <t>증권신고서(지분증권)</t>
        </is>
      </c>
      <c r="F92" s="4" t="inlineStr">
        <is>
          <t>에이디테크놀로지</t>
        </is>
      </c>
      <c r="G92" s="2" t="inlineStr">
        <is>
          <t>20200417000577</t>
        </is>
      </c>
      <c r="H92" s="3">
        <f>HYPERLINK("https://dart.fss.or.kr/dsaf001/main.do?rcpNo=20200417000577", "공시열람")</f>
        <v/>
      </c>
    </row>
    <row r="93">
      <c r="A93" s="2" t="inlineStr">
        <is>
          <t>2020-03-13</t>
        </is>
      </c>
      <c r="B93" s="4" t="inlineStr">
        <is>
          <t>에이디테크놀로지</t>
        </is>
      </c>
      <c r="C93" s="2" t="inlineStr">
        <is>
          <t>코스닥</t>
        </is>
      </c>
      <c r="D93" s="2" t="inlineStr">
        <is>
          <t>200710</t>
        </is>
      </c>
      <c r="E93" s="4" t="inlineStr">
        <is>
          <t>감사보고서제출</t>
        </is>
      </c>
      <c r="F93" s="4" t="inlineStr">
        <is>
          <t>에이디테크놀로지</t>
        </is>
      </c>
      <c r="G93" s="2" t="inlineStr">
        <is>
          <t>20200313900690</t>
        </is>
      </c>
      <c r="H93" s="3">
        <f>HYPERLINK("https://dart.fss.or.kr/dsaf001/main.do?rcpNo=20200313900690", "공시열람")</f>
        <v/>
      </c>
    </row>
    <row r="94">
      <c r="A94" s="2" t="inlineStr">
        <is>
          <t>2020-03-13</t>
        </is>
      </c>
      <c r="B94" s="4" t="inlineStr">
        <is>
          <t>에이디테크놀로지</t>
        </is>
      </c>
      <c r="C94" s="2" t="inlineStr">
        <is>
          <t>코스닥</t>
        </is>
      </c>
      <c r="D94" s="2" t="inlineStr">
        <is>
          <t>200710</t>
        </is>
      </c>
      <c r="E94" s="4" t="inlineStr">
        <is>
          <t>의결권대리행사권유참고서류</t>
        </is>
      </c>
      <c r="F94" s="4" t="inlineStr">
        <is>
          <t>에이디테크놀로지</t>
        </is>
      </c>
      <c r="G94" s="2" t="inlineStr">
        <is>
          <t>20200313000288</t>
        </is>
      </c>
      <c r="H94" s="3">
        <f>HYPERLINK("https://dart.fss.or.kr/dsaf001/main.do?rcpNo=20200313000288", "공시열람")</f>
        <v/>
      </c>
    </row>
    <row r="95">
      <c r="A95" s="2" t="inlineStr">
        <is>
          <t>2020-03-12</t>
        </is>
      </c>
      <c r="B95" s="4" t="inlineStr">
        <is>
          <t>에이디테크놀로지</t>
        </is>
      </c>
      <c r="C95" s="2" t="inlineStr">
        <is>
          <t>코스닥</t>
        </is>
      </c>
      <c r="D95" s="2" t="inlineStr">
        <is>
          <t>200710</t>
        </is>
      </c>
      <c r="E95" s="4" t="inlineStr">
        <is>
          <t>신탁계약에의한취득상황보고서</t>
        </is>
      </c>
      <c r="F95" s="4" t="inlineStr">
        <is>
          <t>에이디테크놀로지</t>
        </is>
      </c>
      <c r="G95" s="2" t="inlineStr">
        <is>
          <t>20200312000221</t>
        </is>
      </c>
      <c r="H95" s="3">
        <f>HYPERLINK("https://dart.fss.or.kr/dsaf001/main.do?rcpNo=20200312000221", "공시열람")</f>
        <v/>
      </c>
    </row>
    <row r="96">
      <c r="A96" s="2" t="inlineStr">
        <is>
          <t>2020-03-11</t>
        </is>
      </c>
      <c r="B96" s="4" t="inlineStr">
        <is>
          <t>에이디테크놀로지</t>
        </is>
      </c>
      <c r="C96" s="2" t="inlineStr">
        <is>
          <t>코스닥</t>
        </is>
      </c>
      <c r="D96" s="2" t="inlineStr">
        <is>
          <t>200710</t>
        </is>
      </c>
      <c r="E96" s="4" t="inlineStr">
        <is>
          <t>주식매수선택권부여에관한신고</t>
        </is>
      </c>
      <c r="F96" s="4" t="inlineStr">
        <is>
          <t>에이디테크놀로지</t>
        </is>
      </c>
      <c r="G96" s="2" t="inlineStr">
        <is>
          <t>20200311000831</t>
        </is>
      </c>
      <c r="H96" s="3">
        <f>HYPERLINK("https://dart.fss.or.kr/dsaf001/main.do?rcpNo=20200311000831", "공시열람")</f>
        <v/>
      </c>
    </row>
    <row r="97">
      <c r="A97" s="2" t="inlineStr">
        <is>
          <t>2020-02-28</t>
        </is>
      </c>
      <c r="B97" s="4" t="inlineStr">
        <is>
          <t>에이디테크놀로지</t>
        </is>
      </c>
      <c r="C97" s="2" t="inlineStr">
        <is>
          <t>코스닥</t>
        </is>
      </c>
      <c r="D97" s="2" t="inlineStr">
        <is>
          <t>200710</t>
        </is>
      </c>
      <c r="E97" s="4" t="inlineStr">
        <is>
          <t>[기재정정]주식매수선택권부여에관한신고</t>
        </is>
      </c>
      <c r="F97" s="4" t="inlineStr">
        <is>
          <t>에이디테크놀로지</t>
        </is>
      </c>
      <c r="G97" s="2" t="inlineStr">
        <is>
          <t>20200228004775</t>
        </is>
      </c>
      <c r="H97" s="3">
        <f>HYPERLINK("https://dart.fss.or.kr/dsaf001/main.do?rcpNo=20200228004775", "공시열람")</f>
        <v/>
      </c>
    </row>
    <row r="98">
      <c r="A98" s="2" t="inlineStr">
        <is>
          <t>2020-01-31</t>
        </is>
      </c>
      <c r="B98" s="4" t="inlineStr">
        <is>
          <t>에이디테크놀로지</t>
        </is>
      </c>
      <c r="C98" s="2" t="inlineStr">
        <is>
          <t>코스닥</t>
        </is>
      </c>
      <c r="D98" s="2" t="inlineStr">
        <is>
          <t>200710</t>
        </is>
      </c>
      <c r="E98" s="4" t="inlineStr">
        <is>
          <t>매출액또는손익구조30%(대규모법인은15%)이상변동</t>
        </is>
      </c>
      <c r="F98" s="4" t="inlineStr">
        <is>
          <t>에이디테크놀로지</t>
        </is>
      </c>
      <c r="G98" s="2" t="inlineStr">
        <is>
          <t>20200131900514</t>
        </is>
      </c>
      <c r="H98" s="3">
        <f>HYPERLINK("https://dart.fss.or.kr/dsaf001/main.do?rcpNo=20200131900514", "공시열람")</f>
        <v/>
      </c>
    </row>
    <row r="99">
      <c r="A99" s="2" t="inlineStr">
        <is>
          <t>2019-12-17</t>
        </is>
      </c>
      <c r="B99" s="4" t="inlineStr">
        <is>
          <t>에이디테크놀로지</t>
        </is>
      </c>
      <c r="C99" s="2" t="inlineStr">
        <is>
          <t>코스닥</t>
        </is>
      </c>
      <c r="D99" s="2" t="inlineStr">
        <is>
          <t>200710</t>
        </is>
      </c>
      <c r="E99" s="4" t="inlineStr">
        <is>
          <t>투자판단관련주요경영사항(TSMC VCA(Value Chain Aggregator) 계약 해지)</t>
        </is>
      </c>
      <c r="F99" s="4" t="inlineStr">
        <is>
          <t>에이디테크놀로지</t>
        </is>
      </c>
      <c r="G99" s="2" t="inlineStr">
        <is>
          <t>20191217900460</t>
        </is>
      </c>
      <c r="H99" s="3">
        <f>HYPERLINK("https://dart.fss.or.kr/dsaf001/main.do?rcpNo=20191217900460", "공시열람")</f>
        <v/>
      </c>
    </row>
    <row r="100">
      <c r="A100" s="2" t="inlineStr">
        <is>
          <t>2019-12-16</t>
        </is>
      </c>
      <c r="B100" s="4" t="inlineStr">
        <is>
          <t>에이디테크놀로지</t>
        </is>
      </c>
      <c r="C100" s="2" t="inlineStr">
        <is>
          <t>코스닥</t>
        </is>
      </c>
      <c r="D100" s="2" t="inlineStr">
        <is>
          <t>200710</t>
        </is>
      </c>
      <c r="E100" s="4" t="inlineStr">
        <is>
          <t>주주명부폐쇄기간또는기준일설정</t>
        </is>
      </c>
      <c r="F100" s="4" t="inlineStr">
        <is>
          <t>에이디테크놀로지</t>
        </is>
      </c>
      <c r="G100" s="2" t="inlineStr">
        <is>
          <t>20191216900807</t>
        </is>
      </c>
      <c r="H100" s="3">
        <f>HYPERLINK("https://dart.fss.or.kr/dsaf001/main.do?rcpNo=20191216900807", "공시열람")</f>
        <v/>
      </c>
    </row>
    <row r="101">
      <c r="A101" s="2" t="inlineStr">
        <is>
          <t>2019-11-22</t>
        </is>
      </c>
      <c r="B101" s="4" t="inlineStr">
        <is>
          <t>에이디테크놀로지</t>
        </is>
      </c>
      <c r="C101" s="2" t="inlineStr">
        <is>
          <t>코스닥</t>
        </is>
      </c>
      <c r="D101" s="2" t="inlineStr">
        <is>
          <t>200710</t>
        </is>
      </c>
      <c r="E101" s="4" t="inlineStr">
        <is>
          <t>기업설명회(IR)개최</t>
        </is>
      </c>
      <c r="F101" s="4" t="inlineStr">
        <is>
          <t>에이디테크놀로지</t>
        </is>
      </c>
      <c r="G101" s="2" t="inlineStr">
        <is>
          <t>20191122900344</t>
        </is>
      </c>
      <c r="H101" s="3">
        <f>HYPERLINK("https://dart.fss.or.kr/dsaf001/main.do?rcpNo=20191122900344", "공시열람")</f>
        <v/>
      </c>
    </row>
    <row r="102">
      <c r="A102" s="2" t="inlineStr">
        <is>
          <t>2019-08-28</t>
        </is>
      </c>
      <c r="B102" s="4" t="inlineStr">
        <is>
          <t>에이디테크놀로지</t>
        </is>
      </c>
      <c r="C102" s="2" t="inlineStr">
        <is>
          <t>코스닥</t>
        </is>
      </c>
      <c r="D102" s="2" t="inlineStr">
        <is>
          <t>200710</t>
        </is>
      </c>
      <c r="E102" s="4" t="inlineStr">
        <is>
          <t>증권발행결과(자율공시)</t>
        </is>
      </c>
      <c r="F102" s="4" t="inlineStr">
        <is>
          <t>에이디테크놀로지</t>
        </is>
      </c>
      <c r="G102" s="2" t="inlineStr">
        <is>
          <t>20190828900237</t>
        </is>
      </c>
      <c r="H102" s="3">
        <f>HYPERLINK("https://dart.fss.or.kr/dsaf001/main.do?rcpNo=20190828900237", "공시열람")</f>
        <v/>
      </c>
    </row>
    <row r="103">
      <c r="A103" s="2" t="inlineStr">
        <is>
          <t>2019-06-21</t>
        </is>
      </c>
      <c r="B103" s="4" t="inlineStr">
        <is>
          <t>에이디테크놀로지</t>
        </is>
      </c>
      <c r="C103" s="2" t="inlineStr">
        <is>
          <t>코스닥</t>
        </is>
      </c>
      <c r="D103" s="2" t="inlineStr">
        <is>
          <t>200710</t>
        </is>
      </c>
      <c r="E103" s="4" t="inlineStr">
        <is>
          <t>소속부변경</t>
        </is>
      </c>
      <c r="F103" s="4" t="inlineStr">
        <is>
          <t>코스닥시장본부</t>
        </is>
      </c>
      <c r="G103" s="2" t="inlineStr">
        <is>
          <t>20190621900697</t>
        </is>
      </c>
      <c r="H103" s="3">
        <f>HYPERLINK("https://dart.fss.or.kr/dsaf001/main.do?rcpNo=20190621900697", "공시열람")</f>
        <v/>
      </c>
    </row>
    <row r="104">
      <c r="A104" s="2" t="inlineStr">
        <is>
          <t>2019-03-14</t>
        </is>
      </c>
      <c r="B104" s="4" t="inlineStr">
        <is>
          <t>에이디테크놀로지</t>
        </is>
      </c>
      <c r="C104" s="2" t="inlineStr">
        <is>
          <t>코스닥</t>
        </is>
      </c>
      <c r="D104" s="2" t="inlineStr">
        <is>
          <t>200710</t>
        </is>
      </c>
      <c r="E104" s="4" t="inlineStr">
        <is>
          <t>감사보고서제출</t>
        </is>
      </c>
      <c r="F104" s="4" t="inlineStr">
        <is>
          <t>에이디테크놀로지</t>
        </is>
      </c>
      <c r="G104" s="2" t="inlineStr">
        <is>
          <t>20190314900888</t>
        </is>
      </c>
      <c r="H104" s="3">
        <f>HYPERLINK("https://dart.fss.or.kr/dsaf001/main.do?rcpNo=20190314900888", "공시열람")</f>
        <v/>
      </c>
    </row>
    <row r="105">
      <c r="A105" s="2" t="inlineStr">
        <is>
          <t>2019-03-11</t>
        </is>
      </c>
      <c r="B105" s="4" t="inlineStr">
        <is>
          <t>에이디테크놀로지</t>
        </is>
      </c>
      <c r="C105" s="2" t="inlineStr">
        <is>
          <t>코스닥</t>
        </is>
      </c>
      <c r="D105" s="2" t="inlineStr">
        <is>
          <t>200710</t>
        </is>
      </c>
      <c r="E105" s="4" t="inlineStr">
        <is>
          <t>[첨부정정]의결권대리행사권유참고서류</t>
        </is>
      </c>
      <c r="F105" s="4" t="inlineStr">
        <is>
          <t>에이디테크놀로지</t>
        </is>
      </c>
      <c r="G105" s="2" t="inlineStr">
        <is>
          <t>20190311000372</t>
        </is>
      </c>
      <c r="H105" s="3">
        <f>HYPERLINK("https://dart.fss.or.kr/dsaf001/main.do?rcpNo=20190311000372", "공시열람")</f>
        <v/>
      </c>
    </row>
    <row r="106">
      <c r="A106" s="2" t="inlineStr">
        <is>
          <t>2019-03-08</t>
        </is>
      </c>
      <c r="B106" s="4" t="inlineStr">
        <is>
          <t>에이디테크놀로지</t>
        </is>
      </c>
      <c r="C106" s="2" t="inlineStr">
        <is>
          <t>코스닥</t>
        </is>
      </c>
      <c r="D106" s="2" t="inlineStr">
        <is>
          <t>200710</t>
        </is>
      </c>
      <c r="E106" s="4" t="inlineStr">
        <is>
          <t>의결권대리행사권유참고서류</t>
        </is>
      </c>
      <c r="F106" s="4" t="inlineStr">
        <is>
          <t>에이디테크놀로지</t>
        </is>
      </c>
      <c r="G106" s="2" t="inlineStr">
        <is>
          <t>20190308000677</t>
        </is>
      </c>
      <c r="H106" s="3">
        <f>HYPERLINK("https://dart.fss.or.kr/dsaf001/main.do?rcpNo=20190308000677", "공시열람")</f>
        <v/>
      </c>
    </row>
    <row r="107">
      <c r="A107" s="2" t="inlineStr">
        <is>
          <t>2019-02-28</t>
        </is>
      </c>
      <c r="B107" s="4" t="inlineStr">
        <is>
          <t>에이디테크놀로지</t>
        </is>
      </c>
      <c r="C107" s="2" t="inlineStr">
        <is>
          <t>코스닥</t>
        </is>
      </c>
      <c r="D107" s="2" t="inlineStr">
        <is>
          <t>200710</t>
        </is>
      </c>
      <c r="E107" s="4" t="inlineStr">
        <is>
          <t>[기재정정]주식매수선택권부여에관한신고</t>
        </is>
      </c>
      <c r="F107" s="4" t="inlineStr">
        <is>
          <t>에이디테크놀로지</t>
        </is>
      </c>
      <c r="G107" s="2" t="inlineStr">
        <is>
          <t>20190228003815</t>
        </is>
      </c>
      <c r="H107" s="3">
        <f>HYPERLINK("https://dart.fss.or.kr/dsaf001/main.do?rcpNo=20190228003815", "공시열람")</f>
        <v/>
      </c>
    </row>
    <row r="108">
      <c r="A108" s="2" t="inlineStr">
        <is>
          <t>2019-02-25</t>
        </is>
      </c>
      <c r="B108" s="4" t="inlineStr">
        <is>
          <t>에이디테크놀로지</t>
        </is>
      </c>
      <c r="C108" s="2" t="inlineStr">
        <is>
          <t>코스닥</t>
        </is>
      </c>
      <c r="D108" s="2" t="inlineStr">
        <is>
          <t>200710</t>
        </is>
      </c>
      <c r="E108" s="4" t="inlineStr">
        <is>
          <t>단기차입금증가결정</t>
        </is>
      </c>
      <c r="F108" s="4" t="inlineStr">
        <is>
          <t>에이디테크놀로지</t>
        </is>
      </c>
      <c r="G108" s="2" t="inlineStr">
        <is>
          <t>20190225900764</t>
        </is>
      </c>
      <c r="H108" s="3">
        <f>HYPERLINK("https://dart.fss.or.kr/dsaf001/main.do?rcpNo=20190225900764", "공시열람")</f>
        <v/>
      </c>
    </row>
    <row r="109">
      <c r="A109" s="2" t="inlineStr">
        <is>
          <t>2019-02-01</t>
        </is>
      </c>
      <c r="B109" s="4" t="inlineStr">
        <is>
          <t>에이디테크놀로지</t>
        </is>
      </c>
      <c r="C109" s="2" t="inlineStr">
        <is>
          <t>코스닥</t>
        </is>
      </c>
      <c r="D109" s="2" t="inlineStr">
        <is>
          <t>200710</t>
        </is>
      </c>
      <c r="E109" s="4" t="inlineStr">
        <is>
          <t>매출액또는손익구조30%(대규모법인은15%)이상변동</t>
        </is>
      </c>
      <c r="F109" s="4" t="inlineStr">
        <is>
          <t>에이디테크놀로지</t>
        </is>
      </c>
      <c r="G109" s="2" t="inlineStr">
        <is>
          <t>20190201900499</t>
        </is>
      </c>
      <c r="H109" s="3">
        <f>HYPERLINK("https://dart.fss.or.kr/dsaf001/main.do?rcpNo=20190201900499", "공시열람")</f>
        <v/>
      </c>
    </row>
    <row r="110">
      <c r="A110" s="2" t="inlineStr">
        <is>
          <t>2019-01-31</t>
        </is>
      </c>
      <c r="B110" s="4" t="inlineStr">
        <is>
          <t>에이디테크놀로지</t>
        </is>
      </c>
      <c r="C110" s="2" t="inlineStr">
        <is>
          <t>코스닥</t>
        </is>
      </c>
      <c r="D110" s="2" t="inlineStr">
        <is>
          <t>200710</t>
        </is>
      </c>
      <c r="E110" s="4" t="inlineStr">
        <is>
          <t>연결재무제표기준영업(잠정)실적(공정공시)</t>
        </is>
      </c>
      <c r="F110" s="4" t="inlineStr">
        <is>
          <t>에이디테크놀로지</t>
        </is>
      </c>
      <c r="G110" s="2" t="inlineStr">
        <is>
          <t>20190131900857</t>
        </is>
      </c>
      <c r="H110" s="3">
        <f>HYPERLINK("https://dart.fss.or.kr/dsaf001/main.do?rcpNo=20190131900857", "공시열람")</f>
        <v/>
      </c>
    </row>
    <row r="111">
      <c r="A111" s="2" t="inlineStr">
        <is>
          <t>2018-12-26</t>
        </is>
      </c>
      <c r="B111" s="4" t="inlineStr">
        <is>
          <t>에이디테크놀로지</t>
        </is>
      </c>
      <c r="C111" s="2" t="inlineStr">
        <is>
          <t>코스닥</t>
        </is>
      </c>
      <c r="D111" s="2" t="inlineStr">
        <is>
          <t>200710</t>
        </is>
      </c>
      <c r="E111" s="4" t="inlineStr">
        <is>
          <t>[기재정정]현금ㆍ현물배당결정</t>
        </is>
      </c>
      <c r="F111" s="4" t="inlineStr">
        <is>
          <t>에이디테크놀로지</t>
        </is>
      </c>
      <c r="G111" s="2" t="inlineStr">
        <is>
          <t>20181226900508</t>
        </is>
      </c>
      <c r="H111" s="3">
        <f>HYPERLINK("https://dart.fss.or.kr/dsaf001/main.do?rcpNo=20181226900508", "공시열람")</f>
        <v/>
      </c>
    </row>
    <row r="112">
      <c r="A112" s="2" t="inlineStr">
        <is>
          <t>2018-12-17</t>
        </is>
      </c>
      <c r="B112" s="4" t="inlineStr">
        <is>
          <t>에이디테크놀로지</t>
        </is>
      </c>
      <c r="C112" s="2" t="inlineStr">
        <is>
          <t>코스닥</t>
        </is>
      </c>
      <c r="D112" s="2" t="inlineStr">
        <is>
          <t>200710</t>
        </is>
      </c>
      <c r="E112" s="4" t="inlineStr">
        <is>
          <t>현금ㆍ현물배당결정</t>
        </is>
      </c>
      <c r="F112" s="4" t="inlineStr">
        <is>
          <t>에이디테크놀로지</t>
        </is>
      </c>
      <c r="G112" s="2" t="inlineStr">
        <is>
          <t>20181217900388</t>
        </is>
      </c>
      <c r="H112" s="3">
        <f>HYPERLINK("https://dart.fss.or.kr/dsaf001/main.do?rcpNo=20181217900388", "공시열람")</f>
        <v/>
      </c>
    </row>
    <row r="113">
      <c r="A113" s="2" t="inlineStr">
        <is>
          <t>2018-12-17</t>
        </is>
      </c>
      <c r="B113" s="4" t="inlineStr">
        <is>
          <t>에이디테크놀로지</t>
        </is>
      </c>
      <c r="C113" s="2" t="inlineStr">
        <is>
          <t>코스닥</t>
        </is>
      </c>
      <c r="D113" s="2" t="inlineStr">
        <is>
          <t>200710</t>
        </is>
      </c>
      <c r="E113" s="4" t="inlineStr">
        <is>
          <t>단기차입금감소결정(자율공시)</t>
        </is>
      </c>
      <c r="F113" s="4" t="inlineStr">
        <is>
          <t>에이디테크놀로지</t>
        </is>
      </c>
      <c r="G113" s="2" t="inlineStr">
        <is>
          <t>20181217900546</t>
        </is>
      </c>
      <c r="H113" s="3">
        <f>HYPERLINK("https://dart.fss.or.kr/dsaf001/main.do?rcpNo=20181217900546", "공시열람")</f>
        <v/>
      </c>
    </row>
    <row r="114">
      <c r="A114" s="2" t="inlineStr">
        <is>
          <t>2018-12-14</t>
        </is>
      </c>
      <c r="B114" s="4" t="inlineStr">
        <is>
          <t>에이디테크놀로지</t>
        </is>
      </c>
      <c r="C114" s="2" t="inlineStr">
        <is>
          <t>코스닥</t>
        </is>
      </c>
      <c r="D114" s="2" t="inlineStr">
        <is>
          <t>200710</t>
        </is>
      </c>
      <c r="E114" s="4" t="inlineStr">
        <is>
          <t>주주명부폐쇄기간또는기준일설정</t>
        </is>
      </c>
      <c r="F114" s="4" t="inlineStr">
        <is>
          <t>에이디테크놀로지</t>
        </is>
      </c>
      <c r="G114" s="2" t="inlineStr">
        <is>
          <t>20181214900374</t>
        </is>
      </c>
      <c r="H114" s="3">
        <f>HYPERLINK("https://dart.fss.or.kr/dsaf001/main.do?rcpNo=20181214900374", "공시열람")</f>
        <v/>
      </c>
    </row>
    <row r="115">
      <c r="A115" s="2" t="inlineStr">
        <is>
          <t>2018-10-12</t>
        </is>
      </c>
      <c r="B115" s="4" t="inlineStr">
        <is>
          <t>에이디테크놀로지</t>
        </is>
      </c>
      <c r="C115" s="2" t="inlineStr">
        <is>
          <t>코스닥</t>
        </is>
      </c>
      <c r="D115" s="2" t="inlineStr">
        <is>
          <t>200710</t>
        </is>
      </c>
      <c r="E115" s="4" t="inlineStr">
        <is>
          <t>단기차입금증가결정</t>
        </is>
      </c>
      <c r="F115" s="4" t="inlineStr">
        <is>
          <t>에이디테크놀로지</t>
        </is>
      </c>
      <c r="G115" s="2" t="inlineStr">
        <is>
          <t>20181012900442</t>
        </is>
      </c>
      <c r="H115" s="3">
        <f>HYPERLINK("https://dart.fss.or.kr/dsaf001/main.do?rcpNo=20181012900442", "공시열람")</f>
        <v/>
      </c>
    </row>
    <row r="116">
      <c r="A116" s="2" t="inlineStr">
        <is>
          <t>2018-07-27</t>
        </is>
      </c>
      <c r="B116" s="4" t="inlineStr">
        <is>
          <t>에이디테크놀로지</t>
        </is>
      </c>
      <c r="C116" s="2" t="inlineStr">
        <is>
          <t>코스닥</t>
        </is>
      </c>
      <c r="D116" s="2" t="inlineStr">
        <is>
          <t>200710</t>
        </is>
      </c>
      <c r="E116" s="4" t="inlineStr">
        <is>
          <t>영업(잠정)실적(공정공시)</t>
        </is>
      </c>
      <c r="F116" s="4" t="inlineStr">
        <is>
          <t>에이디테크놀로지</t>
        </is>
      </c>
      <c r="G116" s="2" t="inlineStr">
        <is>
          <t>20180727900443</t>
        </is>
      </c>
      <c r="H116" s="3">
        <f>HYPERLINK("https://dart.fss.or.kr/dsaf001/main.do?rcpNo=20180727900443", "공시열람")</f>
        <v/>
      </c>
    </row>
    <row r="117">
      <c r="A117" s="2" t="inlineStr">
        <is>
          <t>2018-03-16</t>
        </is>
      </c>
      <c r="B117" s="4" t="inlineStr">
        <is>
          <t>에이디테크놀로지</t>
        </is>
      </c>
      <c r="C117" s="2" t="inlineStr">
        <is>
          <t>코스닥</t>
        </is>
      </c>
      <c r="D117" s="2" t="inlineStr">
        <is>
          <t>200710</t>
        </is>
      </c>
      <c r="E117" s="4" t="inlineStr">
        <is>
          <t>감사보고서제출</t>
        </is>
      </c>
      <c r="F117" s="4" t="inlineStr">
        <is>
          <t>에이디테크놀로지</t>
        </is>
      </c>
      <c r="G117" s="2" t="inlineStr">
        <is>
          <t>20180316900708</t>
        </is>
      </c>
      <c r="H117" s="3">
        <f>HYPERLINK("https://dart.fss.or.kr/dsaf001/main.do?rcpNo=20180316900708", "공시열람")</f>
        <v/>
      </c>
    </row>
    <row r="118">
      <c r="A118" s="2" t="inlineStr">
        <is>
          <t>2018-02-28</t>
        </is>
      </c>
      <c r="B118" s="4" t="inlineStr">
        <is>
          <t>에이디테크놀로지</t>
        </is>
      </c>
      <c r="C118" s="2" t="inlineStr">
        <is>
          <t>코스닥</t>
        </is>
      </c>
      <c r="D118" s="2" t="inlineStr">
        <is>
          <t>200710</t>
        </is>
      </c>
      <c r="E118" s="4" t="inlineStr">
        <is>
          <t>전환청구권행사(제2회차)</t>
        </is>
      </c>
      <c r="F118" s="4" t="inlineStr">
        <is>
          <t>에이디테크놀로지</t>
        </is>
      </c>
      <c r="G118" s="2" t="inlineStr">
        <is>
          <t>20180228900839</t>
        </is>
      </c>
      <c r="H118" s="3">
        <f>HYPERLINK("https://dart.fss.or.kr/dsaf001/main.do?rcpNo=20180228900839", "공시열람")</f>
        <v/>
      </c>
    </row>
    <row r="119">
      <c r="A119" s="2" t="inlineStr">
        <is>
          <t>2018-02-28</t>
        </is>
      </c>
      <c r="B119" s="4" t="inlineStr">
        <is>
          <t>에이디테크놀로지</t>
        </is>
      </c>
      <c r="C119" s="2" t="inlineStr">
        <is>
          <t>코스닥</t>
        </is>
      </c>
      <c r="D119" s="2" t="inlineStr">
        <is>
          <t>200710</t>
        </is>
      </c>
      <c r="E119" s="4" t="inlineStr">
        <is>
          <t>[기재정정]주식매수선택권부여에관한신고</t>
        </is>
      </c>
      <c r="F119" s="4" t="inlineStr">
        <is>
          <t>에이디테크놀로지</t>
        </is>
      </c>
      <c r="G119" s="2" t="inlineStr">
        <is>
          <t>20180228001531</t>
        </is>
      </c>
      <c r="H119" s="3">
        <f>HYPERLINK("https://dart.fss.or.kr/dsaf001/main.do?rcpNo=20180228001531", "공시열람")</f>
        <v/>
      </c>
    </row>
    <row r="120">
      <c r="A120" s="2" t="inlineStr">
        <is>
          <t>2018-02-13</t>
        </is>
      </c>
      <c r="B120" s="4" t="inlineStr">
        <is>
          <t>에이디테크놀로지</t>
        </is>
      </c>
      <c r="C120" s="2" t="inlineStr">
        <is>
          <t>코스닥</t>
        </is>
      </c>
      <c r="D120" s="2" t="inlineStr">
        <is>
          <t>200710</t>
        </is>
      </c>
      <c r="E120" s="4" t="inlineStr">
        <is>
          <t>기타주요경영사항(조회공시요구(현저한시황변동) 관련 조회공시 답변)</t>
        </is>
      </c>
      <c r="F120" s="4" t="inlineStr">
        <is>
          <t>에이디테크놀로지</t>
        </is>
      </c>
      <c r="G120" s="2" t="inlineStr">
        <is>
          <t>20180213900737</t>
        </is>
      </c>
      <c r="H120" s="3">
        <f>HYPERLINK("https://dart.fss.or.kr/dsaf001/main.do?rcpNo=20180213900737", "공시열람")</f>
        <v/>
      </c>
    </row>
    <row r="121">
      <c r="A121" s="2" t="inlineStr">
        <is>
          <t>2018-02-02</t>
        </is>
      </c>
      <c r="B121" s="4" t="inlineStr">
        <is>
          <t>에이디테크놀로지</t>
        </is>
      </c>
      <c r="C121" s="2" t="inlineStr">
        <is>
          <t>코스닥</t>
        </is>
      </c>
      <c r="D121" s="2" t="inlineStr">
        <is>
          <t>200710</t>
        </is>
      </c>
      <c r="E121" s="4" t="inlineStr">
        <is>
          <t>매출액또는손익구조30%(대규모법인은15%)이상변동</t>
        </is>
      </c>
      <c r="F121" s="4" t="inlineStr">
        <is>
          <t>에이디테크놀로지</t>
        </is>
      </c>
      <c r="G121" s="2" t="inlineStr">
        <is>
          <t>20180202900503</t>
        </is>
      </c>
      <c r="H121" s="3">
        <f>HYPERLINK("https://dart.fss.or.kr/dsaf001/main.do?rcpNo=20180202900503", "공시열람")</f>
        <v/>
      </c>
    </row>
    <row r="122">
      <c r="A122" s="2" t="inlineStr">
        <is>
          <t>2017-12-15</t>
        </is>
      </c>
      <c r="B122" s="4" t="inlineStr">
        <is>
          <t>에이디테크놀로지</t>
        </is>
      </c>
      <c r="C122" s="2" t="inlineStr">
        <is>
          <t>코스닥</t>
        </is>
      </c>
      <c r="D122" s="2" t="inlineStr">
        <is>
          <t>200710</t>
        </is>
      </c>
      <c r="E122" s="4" t="inlineStr">
        <is>
          <t>주주명부폐쇄기간또는기준일설정</t>
        </is>
      </c>
      <c r="F122" s="4" t="inlineStr">
        <is>
          <t>에이디테크놀로지</t>
        </is>
      </c>
      <c r="G122" s="2" t="inlineStr">
        <is>
          <t>20171215900780</t>
        </is>
      </c>
      <c r="H122" s="3">
        <f>HYPERLINK("https://dart.fss.or.kr/dsaf001/main.do?rcpNo=20171215900780", "공시열람")</f>
        <v/>
      </c>
    </row>
    <row r="123">
      <c r="A123" s="2" t="inlineStr">
        <is>
          <t>2017-12-13</t>
        </is>
      </c>
      <c r="B123" s="4" t="inlineStr">
        <is>
          <t>에이디테크놀로지</t>
        </is>
      </c>
      <c r="C123" s="2" t="inlineStr">
        <is>
          <t>코스닥</t>
        </is>
      </c>
      <c r="D123" s="2" t="inlineStr">
        <is>
          <t>200710</t>
        </is>
      </c>
      <c r="E123" s="4" t="inlineStr">
        <is>
          <t>전환청구권행사(제2회차)</t>
        </is>
      </c>
      <c r="F123" s="4" t="inlineStr">
        <is>
          <t>에이디테크놀로지</t>
        </is>
      </c>
      <c r="G123" s="2" t="inlineStr">
        <is>
          <t>20171213900544</t>
        </is>
      </c>
      <c r="H123" s="3">
        <f>HYPERLINK("https://dart.fss.or.kr/dsaf001/main.do?rcpNo=20171213900544", "공시열람")</f>
        <v/>
      </c>
    </row>
    <row r="124">
      <c r="A124" s="2" t="inlineStr">
        <is>
          <t>2017-11-13</t>
        </is>
      </c>
      <c r="B124" s="4" t="inlineStr">
        <is>
          <t>에이디테크놀로지</t>
        </is>
      </c>
      <c r="C124" s="2" t="inlineStr">
        <is>
          <t>코스닥</t>
        </is>
      </c>
      <c r="D124" s="2" t="inlineStr">
        <is>
          <t>200710</t>
        </is>
      </c>
      <c r="E124" s="4" t="inlineStr">
        <is>
          <t>조회공시요구(현저한시황변동)에대한답변(미확정)</t>
        </is>
      </c>
      <c r="F124" s="4" t="inlineStr">
        <is>
          <t>에이디테크놀로지</t>
        </is>
      </c>
      <c r="G124" s="2" t="inlineStr">
        <is>
          <t>20171113900470</t>
        </is>
      </c>
      <c r="H124" s="3">
        <f>HYPERLINK("https://dart.fss.or.kr/dsaf001/main.do?rcpNo=20171113900470", "공시열람")</f>
        <v/>
      </c>
    </row>
    <row r="125">
      <c r="A125" s="2" t="inlineStr">
        <is>
          <t>2017-11-07</t>
        </is>
      </c>
      <c r="B125" s="4" t="inlineStr">
        <is>
          <t>에이디테크놀로지</t>
        </is>
      </c>
      <c r="C125" s="2" t="inlineStr">
        <is>
          <t>코스닥</t>
        </is>
      </c>
      <c r="D125" s="2" t="inlineStr">
        <is>
          <t>200710</t>
        </is>
      </c>
      <c r="E125" s="4" t="inlineStr">
        <is>
          <t>전환청구권행사(제2회차)</t>
        </is>
      </c>
      <c r="F125" s="4" t="inlineStr">
        <is>
          <t>에이디테크놀로지</t>
        </is>
      </c>
      <c r="G125" s="2" t="inlineStr">
        <is>
          <t>20171107900455</t>
        </is>
      </c>
      <c r="H125" s="3">
        <f>HYPERLINK("https://dart.fss.or.kr/dsaf001/main.do?rcpNo=20171107900455", "공시열람")</f>
        <v/>
      </c>
    </row>
    <row r="126">
      <c r="A126" s="2" t="inlineStr">
        <is>
          <t>2017-10-13</t>
        </is>
      </c>
      <c r="B126" s="4" t="inlineStr">
        <is>
          <t>에이디테크놀로지</t>
        </is>
      </c>
      <c r="C126" s="2" t="inlineStr">
        <is>
          <t>코스닥</t>
        </is>
      </c>
      <c r="D126" s="2" t="inlineStr">
        <is>
          <t>200710</t>
        </is>
      </c>
      <c r="E126" s="4" t="inlineStr">
        <is>
          <t>조회공시요구(현저한시황변동)에대한답변(미확정)</t>
        </is>
      </c>
      <c r="F126" s="4" t="inlineStr">
        <is>
          <t>에이디테크놀로지</t>
        </is>
      </c>
      <c r="G126" s="2" t="inlineStr">
        <is>
          <t>20171013900326</t>
        </is>
      </c>
      <c r="H126" s="3">
        <f>HYPERLINK("https://dart.fss.or.kr/dsaf001/main.do?rcpNo=20171013900326", "공시열람")</f>
        <v/>
      </c>
    </row>
    <row r="127">
      <c r="A127" s="2" t="inlineStr">
        <is>
          <t>2017-09-13</t>
        </is>
      </c>
      <c r="B127" s="4" t="inlineStr">
        <is>
          <t>에이디테크놀로지</t>
        </is>
      </c>
      <c r="C127" s="2" t="inlineStr">
        <is>
          <t>코스닥</t>
        </is>
      </c>
      <c r="D127" s="2" t="inlineStr">
        <is>
          <t>200710</t>
        </is>
      </c>
      <c r="E127" s="4" t="inlineStr">
        <is>
          <t>조회공시요구(현저한시황변동)에대한답변(미확정)</t>
        </is>
      </c>
      <c r="F127" s="4" t="inlineStr">
        <is>
          <t>에이디테크놀로지</t>
        </is>
      </c>
      <c r="G127" s="2" t="inlineStr">
        <is>
          <t>20170913900228</t>
        </is>
      </c>
      <c r="H127" s="3">
        <f>HYPERLINK("https://dart.fss.or.kr/dsaf001/main.do?rcpNo=20170913900228", "공시열람")</f>
        <v/>
      </c>
    </row>
    <row r="128">
      <c r="A128" s="2" t="inlineStr">
        <is>
          <t>2017-09-12</t>
        </is>
      </c>
      <c r="B128" s="4" t="inlineStr">
        <is>
          <t>에이디테크놀로지</t>
        </is>
      </c>
      <c r="C128" s="2" t="inlineStr">
        <is>
          <t>코스닥</t>
        </is>
      </c>
      <c r="D128" s="2" t="inlineStr">
        <is>
          <t>200710</t>
        </is>
      </c>
      <c r="E128" s="4" t="inlineStr">
        <is>
          <t>조회공시요구(현저한시황변동)(주가급등)</t>
        </is>
      </c>
      <c r="F128" s="4" t="inlineStr">
        <is>
          <t>코스닥시장본부</t>
        </is>
      </c>
      <c r="G128" s="2" t="inlineStr">
        <is>
          <t>20170912900341</t>
        </is>
      </c>
      <c r="H128" s="3">
        <f>HYPERLINK("https://dart.fss.or.kr/dsaf001/main.do?rcpNo=20170912900341", "공시열람")</f>
        <v/>
      </c>
    </row>
    <row r="129">
      <c r="A129" s="2" t="inlineStr">
        <is>
          <t>2017-04-28</t>
        </is>
      </c>
      <c r="B129" s="4" t="inlineStr">
        <is>
          <t>에이디테크놀로지</t>
        </is>
      </c>
      <c r="C129" s="2" t="inlineStr">
        <is>
          <t>코스닥</t>
        </is>
      </c>
      <c r="D129" s="2" t="inlineStr">
        <is>
          <t>200710</t>
        </is>
      </c>
      <c r="E129" s="4" t="inlineStr">
        <is>
          <t>전환가액의조정(제2회차)</t>
        </is>
      </c>
      <c r="F129" s="4" t="inlineStr">
        <is>
          <t>에이디테크놀로지</t>
        </is>
      </c>
      <c r="G129" s="2" t="inlineStr">
        <is>
          <t>20170428900359</t>
        </is>
      </c>
      <c r="H129" s="3">
        <f>HYPERLINK("https://dart.fss.or.kr/dsaf001/main.do?rcpNo=20170428900359", "공시열람")</f>
        <v/>
      </c>
    </row>
    <row r="130">
      <c r="A130" s="2" t="inlineStr">
        <is>
          <t>2017-03-17</t>
        </is>
      </c>
      <c r="B130" s="4" t="inlineStr">
        <is>
          <t>에이디테크놀로지</t>
        </is>
      </c>
      <c r="C130" s="2" t="inlineStr">
        <is>
          <t>코스닥</t>
        </is>
      </c>
      <c r="D130" s="2" t="inlineStr">
        <is>
          <t>200710</t>
        </is>
      </c>
      <c r="E130" s="4" t="inlineStr">
        <is>
          <t>감사보고서제출</t>
        </is>
      </c>
      <c r="F130" s="4" t="inlineStr">
        <is>
          <t>에이디테크놀로지</t>
        </is>
      </c>
      <c r="G130" s="2" t="inlineStr">
        <is>
          <t>20170317900576</t>
        </is>
      </c>
      <c r="H130" s="3">
        <f>HYPERLINK("https://dart.fss.or.kr/dsaf001/main.do?rcpNo=20170317900576", "공시열람")</f>
        <v/>
      </c>
    </row>
    <row r="131">
      <c r="A131" s="2" t="inlineStr">
        <is>
          <t>2017-02-07</t>
        </is>
      </c>
      <c r="B131" s="4" t="inlineStr">
        <is>
          <t>에이디테크놀로지</t>
        </is>
      </c>
      <c r="C131" s="2" t="inlineStr">
        <is>
          <t>코스닥</t>
        </is>
      </c>
      <c r="D131" s="2" t="inlineStr">
        <is>
          <t>200710</t>
        </is>
      </c>
      <c r="E131" s="4" t="inlineStr">
        <is>
          <t>[기재정정]주식매수선택권부여에관한신고</t>
        </is>
      </c>
      <c r="F131" s="4" t="inlineStr">
        <is>
          <t>에이디테크놀로지</t>
        </is>
      </c>
      <c r="G131" s="2" t="inlineStr">
        <is>
          <t>20170207000202</t>
        </is>
      </c>
      <c r="H131" s="3">
        <f>HYPERLINK("https://dart.fss.or.kr/dsaf001/main.do?rcpNo=20170207000202", "공시열람")</f>
        <v/>
      </c>
    </row>
    <row r="132">
      <c r="A132" s="2" t="inlineStr">
        <is>
          <t>2017-02-03</t>
        </is>
      </c>
      <c r="B132" s="4" t="inlineStr">
        <is>
          <t>에이디테크놀로지</t>
        </is>
      </c>
      <c r="C132" s="2" t="inlineStr">
        <is>
          <t>코스닥</t>
        </is>
      </c>
      <c r="D132" s="2" t="inlineStr">
        <is>
          <t>200710</t>
        </is>
      </c>
      <c r="E132" s="4" t="inlineStr">
        <is>
          <t>매출액또는손익구조30%(대규모법인은15%)이상변동</t>
        </is>
      </c>
      <c r="F132" s="4" t="inlineStr">
        <is>
          <t>에이디테크놀로지</t>
        </is>
      </c>
      <c r="G132" s="2" t="inlineStr">
        <is>
          <t>20170203900454</t>
        </is>
      </c>
      <c r="H132" s="3">
        <f>HYPERLINK("https://dart.fss.or.kr/dsaf001/main.do?rcpNo=20170203900454", "공시열람")</f>
        <v/>
      </c>
    </row>
    <row r="133">
      <c r="A133" s="2" t="inlineStr">
        <is>
          <t>2016-12-15</t>
        </is>
      </c>
      <c r="B133" s="4" t="inlineStr">
        <is>
          <t>에이디테크놀로지</t>
        </is>
      </c>
      <c r="C133" s="2" t="inlineStr">
        <is>
          <t>코스닥</t>
        </is>
      </c>
      <c r="D133" s="2" t="inlineStr">
        <is>
          <t>200710</t>
        </is>
      </c>
      <c r="E133" s="4" t="inlineStr">
        <is>
          <t>주주명부폐쇄기간또는기준일설정</t>
        </is>
      </c>
      <c r="F133" s="4" t="inlineStr">
        <is>
          <t>에이디테크놀로지</t>
        </is>
      </c>
      <c r="G133" s="2" t="inlineStr">
        <is>
          <t>20161215900088</t>
        </is>
      </c>
      <c r="H133" s="3">
        <f>HYPERLINK("https://dart.fss.or.kr/dsaf001/main.do?rcpNo=20161215900088", "공시열람")</f>
        <v/>
      </c>
    </row>
    <row r="134">
      <c r="A134" s="2" t="inlineStr">
        <is>
          <t>2016-11-10</t>
        </is>
      </c>
      <c r="B134" s="4" t="inlineStr">
        <is>
          <t>에이디테크놀로지</t>
        </is>
      </c>
      <c r="C134" s="2" t="inlineStr">
        <is>
          <t>코스닥</t>
        </is>
      </c>
      <c r="D134" s="2" t="inlineStr">
        <is>
          <t>200710</t>
        </is>
      </c>
      <c r="E134" s="4" t="inlineStr">
        <is>
          <t>권리락(무상증자)</t>
        </is>
      </c>
      <c r="F134" s="4" t="inlineStr">
        <is>
          <t>코스닥시장본부</t>
        </is>
      </c>
      <c r="G134" s="2" t="inlineStr">
        <is>
          <t>20161110900455</t>
        </is>
      </c>
      <c r="H134" s="3">
        <f>HYPERLINK("https://dart.fss.or.kr/dsaf001/main.do?rcpNo=20161110900455", "공시열람")</f>
        <v/>
      </c>
    </row>
    <row r="135">
      <c r="A135" s="2" t="inlineStr">
        <is>
          <t>2016-10-28</t>
        </is>
      </c>
      <c r="B135" s="4" t="inlineStr">
        <is>
          <t>에이디테크놀로지</t>
        </is>
      </c>
      <c r="C135" s="2" t="inlineStr">
        <is>
          <t>코스닥</t>
        </is>
      </c>
      <c r="D135" s="2" t="inlineStr">
        <is>
          <t>200710</t>
        </is>
      </c>
      <c r="E135" s="4" t="inlineStr">
        <is>
          <t>증권발행결과(자율공시)(제2회차CB)</t>
        </is>
      </c>
      <c r="F135" s="4" t="inlineStr">
        <is>
          <t>에이디테크놀로지</t>
        </is>
      </c>
      <c r="G135" s="2" t="inlineStr">
        <is>
          <t>20161028900364</t>
        </is>
      </c>
      <c r="H135" s="3">
        <f>HYPERLINK("https://dart.fss.or.kr/dsaf001/main.do?rcpNo=20161028900364", "공시열람")</f>
        <v/>
      </c>
    </row>
    <row r="136">
      <c r="A136" s="2" t="inlineStr">
        <is>
          <t>2016-10-28</t>
        </is>
      </c>
      <c r="B136" s="4" t="inlineStr">
        <is>
          <t>에이디테크놀로지</t>
        </is>
      </c>
      <c r="C136" s="2" t="inlineStr">
        <is>
          <t>코스닥</t>
        </is>
      </c>
      <c r="D136" s="2" t="inlineStr">
        <is>
          <t>200710</t>
        </is>
      </c>
      <c r="E136" s="4" t="inlineStr">
        <is>
          <t>주권매매거래정지(무상증자)</t>
        </is>
      </c>
      <c r="F136" s="4" t="inlineStr">
        <is>
          <t>코스닥시장본부</t>
        </is>
      </c>
      <c r="G136" s="2" t="inlineStr">
        <is>
          <t>20161028900102</t>
        </is>
      </c>
      <c r="H136" s="3">
        <f>HYPERLINK("https://dart.fss.or.kr/dsaf001/main.do?rcpNo=20161028900102", "공시열람")</f>
        <v/>
      </c>
    </row>
    <row r="137">
      <c r="A137" s="2" t="inlineStr">
        <is>
          <t>2016-10-28</t>
        </is>
      </c>
      <c r="B137" s="4" t="inlineStr">
        <is>
          <t>에이디테크놀로지</t>
        </is>
      </c>
      <c r="C137" s="2" t="inlineStr">
        <is>
          <t>코스닥</t>
        </is>
      </c>
      <c r="D137" s="2" t="inlineStr">
        <is>
          <t>200710</t>
        </is>
      </c>
      <c r="E137" s="4" t="inlineStr">
        <is>
          <t>주주명부폐쇄기간또는기준일설정</t>
        </is>
      </c>
      <c r="F137" s="4" t="inlineStr">
        <is>
          <t>에이디테크놀로지</t>
        </is>
      </c>
      <c r="G137" s="2" t="inlineStr">
        <is>
          <t>20161028900114</t>
        </is>
      </c>
      <c r="H137" s="3">
        <f>HYPERLINK("https://dart.fss.or.kr/dsaf001/main.do?rcpNo=20161028900114", "공시열람")</f>
        <v/>
      </c>
    </row>
    <row r="138">
      <c r="A138" s="2" t="inlineStr">
        <is>
          <t>2016-03-18</t>
        </is>
      </c>
      <c r="B138" s="4" t="inlineStr">
        <is>
          <t>에이디테크놀로지</t>
        </is>
      </c>
      <c r="C138" s="2" t="inlineStr">
        <is>
          <t>코스닥</t>
        </is>
      </c>
      <c r="D138" s="2" t="inlineStr">
        <is>
          <t>200710</t>
        </is>
      </c>
      <c r="E138" s="4" t="inlineStr">
        <is>
          <t>주식매수선택권행사</t>
        </is>
      </c>
      <c r="F138" s="4" t="inlineStr">
        <is>
          <t>에이디테크놀로지</t>
        </is>
      </c>
      <c r="G138" s="2" t="inlineStr">
        <is>
          <t>20160318901189</t>
        </is>
      </c>
      <c r="H138" s="3">
        <f>HYPERLINK("https://dart.fss.or.kr/dsaf001/main.do?rcpNo=20160318901189", "공시열람")</f>
        <v/>
      </c>
    </row>
    <row r="139">
      <c r="A139" s="2" t="inlineStr">
        <is>
          <t>2016-03-17</t>
        </is>
      </c>
      <c r="B139" s="4" t="inlineStr">
        <is>
          <t>에이디테크놀로지</t>
        </is>
      </c>
      <c r="C139" s="2" t="inlineStr">
        <is>
          <t>코스닥</t>
        </is>
      </c>
      <c r="D139" s="2" t="inlineStr">
        <is>
          <t>200710</t>
        </is>
      </c>
      <c r="E139" s="4" t="inlineStr">
        <is>
          <t>감사보고서제출</t>
        </is>
      </c>
      <c r="F139" s="4" t="inlineStr">
        <is>
          <t>에이디테크놀로지</t>
        </is>
      </c>
      <c r="G139" s="2" t="inlineStr">
        <is>
          <t>20160317900484</t>
        </is>
      </c>
      <c r="H139" s="3">
        <f>HYPERLINK("https://dart.fss.or.kr/dsaf001/main.do?rcpNo=20160317900484", "공시열람")</f>
        <v/>
      </c>
    </row>
    <row r="140">
      <c r="A140" s="2" t="inlineStr">
        <is>
          <t>2016-03-09</t>
        </is>
      </c>
      <c r="B140" s="4" t="inlineStr">
        <is>
          <t>에이디테크놀로지</t>
        </is>
      </c>
      <c r="C140" s="2" t="inlineStr">
        <is>
          <t>코스닥</t>
        </is>
      </c>
      <c r="D140" s="2" t="inlineStr">
        <is>
          <t>200710</t>
        </is>
      </c>
      <c r="E140" s="4" t="inlineStr">
        <is>
          <t>주식매수선택권부여에관한신고</t>
        </is>
      </c>
      <c r="F140" s="4" t="inlineStr">
        <is>
          <t>에이디테크놀로지</t>
        </is>
      </c>
      <c r="G140" s="2" t="inlineStr">
        <is>
          <t>20160309000301</t>
        </is>
      </c>
      <c r="H140" s="3">
        <f>HYPERLINK("https://dart.fss.or.kr/dsaf001/main.do?rcpNo=20160309000301", "공시열람")</f>
        <v/>
      </c>
    </row>
    <row r="141">
      <c r="A141" s="2" t="inlineStr">
        <is>
          <t>2016-02-23</t>
        </is>
      </c>
      <c r="B141" s="4" t="inlineStr">
        <is>
          <t>에이디테크놀로지</t>
        </is>
      </c>
      <c r="C141" s="2" t="inlineStr">
        <is>
          <t>코스닥</t>
        </is>
      </c>
      <c r="D141" s="2" t="inlineStr">
        <is>
          <t>200710</t>
        </is>
      </c>
      <c r="E141" s="4" t="inlineStr">
        <is>
          <t>신탁계약해지결과보고서</t>
        </is>
      </c>
      <c r="F141" s="4" t="inlineStr">
        <is>
          <t>에이디테크놀로지</t>
        </is>
      </c>
      <c r="G141" s="2" t="inlineStr">
        <is>
          <t>20160223000029</t>
        </is>
      </c>
      <c r="H141" s="3">
        <f>HYPERLINK("https://dart.fss.or.kr/dsaf001/main.do?rcpNo=20160223000029", "공시열람")</f>
        <v/>
      </c>
    </row>
    <row r="142">
      <c r="A142" s="2" t="inlineStr">
        <is>
          <t>2016-02-02</t>
        </is>
      </c>
      <c r="B142" s="4" t="inlineStr">
        <is>
          <t>에이디테크놀로지</t>
        </is>
      </c>
      <c r="C142" s="2" t="inlineStr">
        <is>
          <t>코스닥</t>
        </is>
      </c>
      <c r="D142" s="2" t="inlineStr">
        <is>
          <t>200710</t>
        </is>
      </c>
      <c r="E142" s="4" t="inlineStr">
        <is>
          <t>매출액또는손익구조30%(대규모법인은15%)이상변동</t>
        </is>
      </c>
      <c r="F142" s="4" t="inlineStr">
        <is>
          <t>에이디테크놀로지</t>
        </is>
      </c>
      <c r="G142" s="2" t="inlineStr">
        <is>
          <t>20160202900288</t>
        </is>
      </c>
      <c r="H142" s="3">
        <f>HYPERLINK("https://dart.fss.or.kr/dsaf001/main.do?rcpNo=20160202900288", "공시열람")</f>
        <v/>
      </c>
    </row>
    <row r="143">
      <c r="A143" s="2" t="inlineStr">
        <is>
          <t>2015-12-29</t>
        </is>
      </c>
      <c r="B143" s="4" t="inlineStr">
        <is>
          <t>에이디테크놀로지</t>
        </is>
      </c>
      <c r="C143" s="2" t="inlineStr">
        <is>
          <t>코스닥</t>
        </is>
      </c>
      <c r="D143" s="2" t="inlineStr">
        <is>
          <t>200710</t>
        </is>
      </c>
      <c r="E143" s="4" t="inlineStr">
        <is>
          <t>[기재정정]현금ㆍ현물배당결정</t>
        </is>
      </c>
      <c r="F143" s="4" t="inlineStr">
        <is>
          <t>에이디테크놀로지</t>
        </is>
      </c>
      <c r="G143" s="2" t="inlineStr">
        <is>
          <t>20151229900105</t>
        </is>
      </c>
      <c r="H143" s="3">
        <f>HYPERLINK("https://dart.fss.or.kr/dsaf001/main.do?rcpNo=20151229900105", "공시열람")</f>
        <v/>
      </c>
    </row>
    <row r="144">
      <c r="A144" s="2" t="inlineStr">
        <is>
          <t>2015-12-16</t>
        </is>
      </c>
      <c r="B144" s="4" t="inlineStr">
        <is>
          <t>에이디테크놀로지</t>
        </is>
      </c>
      <c r="C144" s="2" t="inlineStr">
        <is>
          <t>코스닥</t>
        </is>
      </c>
      <c r="D144" s="2" t="inlineStr">
        <is>
          <t>200710</t>
        </is>
      </c>
      <c r="E144" s="4" t="inlineStr">
        <is>
          <t>주주명부폐쇄기간또는기준일설정</t>
        </is>
      </c>
      <c r="F144" s="4" t="inlineStr">
        <is>
          <t>에이디테크놀로지</t>
        </is>
      </c>
      <c r="G144" s="2" t="inlineStr">
        <is>
          <t>20151216900537</t>
        </is>
      </c>
      <c r="H144" s="3">
        <f>HYPERLINK("https://dart.fss.or.kr/dsaf001/main.do?rcpNo=20151216900537", "공시열람")</f>
        <v/>
      </c>
    </row>
    <row r="145">
      <c r="A145" s="2" t="inlineStr">
        <is>
          <t>2015-12-08</t>
        </is>
      </c>
      <c r="B145" s="4" t="inlineStr">
        <is>
          <t>에이디테크놀로지</t>
        </is>
      </c>
      <c r="C145" s="2" t="inlineStr">
        <is>
          <t>코스닥</t>
        </is>
      </c>
      <c r="D145" s="2" t="inlineStr">
        <is>
          <t>200710</t>
        </is>
      </c>
      <c r="E145" s="4" t="inlineStr">
        <is>
          <t>본점소재지변경</t>
        </is>
      </c>
      <c r="F145" s="4" t="inlineStr">
        <is>
          <t>에이디테크놀로지</t>
        </is>
      </c>
      <c r="G145" s="2" t="inlineStr">
        <is>
          <t>20151208900087</t>
        </is>
      </c>
      <c r="H145" s="3">
        <f>HYPERLINK("https://dart.fss.or.kr/dsaf001/main.do?rcpNo=20151208900087", "공시열람")</f>
        <v/>
      </c>
    </row>
    <row r="146">
      <c r="A146" s="2" t="inlineStr">
        <is>
          <t>2015-12-07</t>
        </is>
      </c>
      <c r="B146" s="4" t="inlineStr">
        <is>
          <t>에이디테크놀로지</t>
        </is>
      </c>
      <c r="C146" s="2" t="inlineStr">
        <is>
          <t>코스닥</t>
        </is>
      </c>
      <c r="D146" s="2" t="inlineStr">
        <is>
          <t>200710</t>
        </is>
      </c>
      <c r="E146" s="4" t="inlineStr">
        <is>
          <t>현금ㆍ현물배당결정</t>
        </is>
      </c>
      <c r="F146" s="4" t="inlineStr">
        <is>
          <t>에이디테크놀로지</t>
        </is>
      </c>
      <c r="G146" s="2" t="inlineStr">
        <is>
          <t>20151207900178</t>
        </is>
      </c>
      <c r="H146" s="3">
        <f>HYPERLINK("https://dart.fss.or.kr/dsaf001/main.do?rcpNo=20151207900178", "공시열람")</f>
        <v/>
      </c>
    </row>
    <row r="147">
      <c r="A147" s="2" t="inlineStr">
        <is>
          <t>2015-11-25</t>
        </is>
      </c>
      <c r="B147" s="4" t="inlineStr">
        <is>
          <t>에이디테크놀로지</t>
        </is>
      </c>
      <c r="C147" s="2" t="inlineStr">
        <is>
          <t>코스닥</t>
        </is>
      </c>
      <c r="D147" s="2" t="inlineStr">
        <is>
          <t>200710</t>
        </is>
      </c>
      <c r="E147" s="4" t="inlineStr">
        <is>
          <t>신탁계약에의한취득상황보고서</t>
        </is>
      </c>
      <c r="F147" s="4" t="inlineStr">
        <is>
          <t>에이디테크놀로지</t>
        </is>
      </c>
      <c r="G147" s="2" t="inlineStr">
        <is>
          <t>20151125000185</t>
        </is>
      </c>
      <c r="H147" s="3">
        <f>HYPERLINK("https://dart.fss.or.kr/dsaf001/main.do?rcpNo=20151125000185", "공시열람")</f>
        <v/>
      </c>
    </row>
    <row r="148">
      <c r="A148" s="2" t="inlineStr">
        <is>
          <t>2015-05-06</t>
        </is>
      </c>
      <c r="B148" s="4" t="inlineStr">
        <is>
          <t>에이디테크놀로지</t>
        </is>
      </c>
      <c r="C148" s="2" t="inlineStr">
        <is>
          <t>코스닥</t>
        </is>
      </c>
      <c r="D148" s="2" t="inlineStr">
        <is>
          <t>200710</t>
        </is>
      </c>
      <c r="E148" s="4" t="inlineStr">
        <is>
          <t>연결재무제표기준영업(잠정)실적(공정공시)</t>
        </is>
      </c>
      <c r="F148" s="4" t="inlineStr">
        <is>
          <t>에이디테크놀로지</t>
        </is>
      </c>
      <c r="G148" s="2" t="inlineStr">
        <is>
          <t>20150506900117</t>
        </is>
      </c>
      <c r="H148" s="3">
        <f>HYPERLINK("https://dart.fss.or.kr/dsaf001/main.do?rcpNo=20150506900117", "공시열람")</f>
        <v/>
      </c>
    </row>
    <row r="149">
      <c r="A149" s="2" t="inlineStr">
        <is>
          <t>2015-05-06</t>
        </is>
      </c>
      <c r="B149" s="4" t="inlineStr">
        <is>
          <t>에이디테크놀로지</t>
        </is>
      </c>
      <c r="C149" s="2" t="inlineStr">
        <is>
          <t>코스닥</t>
        </is>
      </c>
      <c r="D149" s="2" t="inlineStr">
        <is>
          <t>200710</t>
        </is>
      </c>
      <c r="E149" s="4" t="inlineStr">
        <is>
          <t>기업설명회(IR)개최</t>
        </is>
      </c>
      <c r="F149" s="4" t="inlineStr">
        <is>
          <t>에이디테크놀로지</t>
        </is>
      </c>
      <c r="G149" s="2" t="inlineStr">
        <is>
          <t>20150506900085</t>
        </is>
      </c>
      <c r="H149" s="3">
        <f>HYPERLINK("https://dart.fss.or.kr/dsaf001/main.do?rcpNo=20150506900085", "공시열람")</f>
        <v/>
      </c>
    </row>
    <row r="150">
      <c r="A150" s="2" t="inlineStr">
        <is>
          <t>2015-03-18</t>
        </is>
      </c>
      <c r="B150" s="4" t="inlineStr">
        <is>
          <t>에이디테크놀로지</t>
        </is>
      </c>
      <c r="C150" s="2" t="inlineStr">
        <is>
          <t>코스닥</t>
        </is>
      </c>
      <c r="D150" s="2" t="inlineStr">
        <is>
          <t>200710</t>
        </is>
      </c>
      <c r="E150" s="4" t="inlineStr">
        <is>
          <t>감사보고서제출</t>
        </is>
      </c>
      <c r="F150" s="4" t="inlineStr">
        <is>
          <t>에이디테크놀로지</t>
        </is>
      </c>
      <c r="G150" s="2" t="inlineStr">
        <is>
          <t>20150318900815</t>
        </is>
      </c>
      <c r="H150" s="3">
        <f>HYPERLINK("https://dart.fss.or.kr/dsaf001/main.do?rcpNo=20150318900815", "공시열람")</f>
        <v/>
      </c>
    </row>
    <row r="151">
      <c r="A151" s="2" t="inlineStr">
        <is>
          <t>2015-03-12</t>
        </is>
      </c>
      <c r="B151" s="4" t="inlineStr">
        <is>
          <t>에이디테크놀로지</t>
        </is>
      </c>
      <c r="C151" s="2" t="inlineStr">
        <is>
          <t>코스닥</t>
        </is>
      </c>
      <c r="D151" s="2" t="inlineStr">
        <is>
          <t>200710</t>
        </is>
      </c>
      <c r="E151" s="4" t="inlineStr">
        <is>
          <t>매출액또는손익구조30%(대규모법인은15%)이상변동</t>
        </is>
      </c>
      <c r="F151" s="4" t="inlineStr">
        <is>
          <t>에이디테크놀로지</t>
        </is>
      </c>
      <c r="G151" s="2" t="inlineStr">
        <is>
          <t>20150312900583</t>
        </is>
      </c>
      <c r="H151" s="3">
        <f>HYPERLINK("https://dart.fss.or.kr/dsaf001/main.do?rcpNo=20150312900583", "공시열람")</f>
        <v/>
      </c>
    </row>
    <row r="152">
      <c r="A152" s="2" t="inlineStr">
        <is>
          <t>2015-02-24</t>
        </is>
      </c>
      <c r="B152" s="4" t="inlineStr">
        <is>
          <t>에이디테크놀로지</t>
        </is>
      </c>
      <c r="C152" s="2" t="inlineStr">
        <is>
          <t>코스닥</t>
        </is>
      </c>
      <c r="D152" s="2" t="inlineStr">
        <is>
          <t>200710</t>
        </is>
      </c>
      <c r="E152" s="4" t="inlineStr">
        <is>
          <t>연결재무제표기준영업(잠정)실적(공정공시)</t>
        </is>
      </c>
      <c r="F152" s="4" t="inlineStr">
        <is>
          <t>에이디테크놀로지</t>
        </is>
      </c>
      <c r="G152" s="2" t="inlineStr">
        <is>
          <t>20150224900034</t>
        </is>
      </c>
      <c r="H152" s="3">
        <f>HYPERLINK("https://dart.fss.or.kr/dsaf001/main.do?rcpNo=20150224900034", "공시열람")</f>
        <v/>
      </c>
    </row>
    <row r="153">
      <c r="A153" s="2" t="inlineStr">
        <is>
          <t>2015-01-15</t>
        </is>
      </c>
      <c r="B153" s="4" t="inlineStr">
        <is>
          <t>에이디테크놀로지</t>
        </is>
      </c>
      <c r="C153" s="2" t="inlineStr">
        <is>
          <t>코스닥</t>
        </is>
      </c>
      <c r="D153" s="2" t="inlineStr">
        <is>
          <t>200710</t>
        </is>
      </c>
      <c r="E153" s="4" t="inlineStr">
        <is>
          <t>주식매수선택권행사</t>
        </is>
      </c>
      <c r="F153" s="4" t="inlineStr">
        <is>
          <t>에이디테크놀로지</t>
        </is>
      </c>
      <c r="G153" s="2" t="inlineStr">
        <is>
          <t>20150115900127</t>
        </is>
      </c>
      <c r="H153" s="3">
        <f>HYPERLINK("https://dart.fss.or.kr/dsaf001/main.do?rcpNo=20150115900127", "공시열람")</f>
        <v/>
      </c>
    </row>
    <row r="154">
      <c r="A154" s="2" t="inlineStr">
        <is>
          <t>2014-12-10</t>
        </is>
      </c>
      <c r="B154" s="4" t="inlineStr">
        <is>
          <t>에이디테크놀로지</t>
        </is>
      </c>
      <c r="C154" s="2" t="inlineStr">
        <is>
          <t>코스닥</t>
        </is>
      </c>
      <c r="D154" s="2" t="inlineStr">
        <is>
          <t>200710</t>
        </is>
      </c>
      <c r="E154" s="4" t="inlineStr">
        <is>
          <t>증권발행실적보고서</t>
        </is>
      </c>
      <c r="F154" s="4" t="inlineStr">
        <is>
          <t>에이디테크놀로지</t>
        </is>
      </c>
      <c r="G154" s="2" t="inlineStr">
        <is>
          <t>20141210000339</t>
        </is>
      </c>
      <c r="H154" s="3">
        <f>HYPERLINK("https://dart.fss.or.kr/dsaf001/main.do?rcpNo=20141210000339", "공시열람")</f>
        <v/>
      </c>
    </row>
    <row r="155">
      <c r="A155" s="2" t="inlineStr">
        <is>
          <t>2014-12-03</t>
        </is>
      </c>
      <c r="B155" s="4" t="inlineStr">
        <is>
          <t>에이디테크놀로지</t>
        </is>
      </c>
      <c r="C155" s="2" t="inlineStr">
        <is>
          <t>코스닥</t>
        </is>
      </c>
      <c r="D155" s="2" t="inlineStr">
        <is>
          <t>200710</t>
        </is>
      </c>
      <c r="E155" s="4" t="inlineStr">
        <is>
          <t>[기재정정]투자설명서</t>
        </is>
      </c>
      <c r="F155" s="4" t="inlineStr">
        <is>
          <t>에이디테크놀로지</t>
        </is>
      </c>
      <c r="G155" s="2" t="inlineStr">
        <is>
          <t>20141203000014</t>
        </is>
      </c>
      <c r="H155" s="3">
        <f>HYPERLINK("https://dart.fss.or.kr/dsaf001/main.do?rcpNo=20141203000014", "공시열람")</f>
        <v/>
      </c>
    </row>
    <row r="156">
      <c r="A156" s="2" t="inlineStr">
        <is>
          <t>2014-12-03</t>
        </is>
      </c>
      <c r="B156" s="4" t="inlineStr">
        <is>
          <t>에이디테크놀로지</t>
        </is>
      </c>
      <c r="C156" s="2" t="inlineStr">
        <is>
          <t>코스닥</t>
        </is>
      </c>
      <c r="D156" s="2" t="inlineStr">
        <is>
          <t>200710</t>
        </is>
      </c>
      <c r="E156" s="4" t="inlineStr">
        <is>
          <t>[첨부정정]증권신고서(지분증권)</t>
        </is>
      </c>
      <c r="F156" s="4" t="inlineStr">
        <is>
          <t>에이디테크놀로지</t>
        </is>
      </c>
      <c r="G156" s="2" t="inlineStr">
        <is>
          <t>20141203000016</t>
        </is>
      </c>
      <c r="H156" s="3">
        <f>HYPERLINK("https://dart.fss.or.kr/dsaf001/main.do?rcpNo=20141203000016", "공시열람")</f>
        <v/>
      </c>
    </row>
    <row r="157">
      <c r="A157" s="2" t="inlineStr">
        <is>
          <t>2014-12-03</t>
        </is>
      </c>
      <c r="B157" s="4" t="inlineStr">
        <is>
          <t>에이디테크놀로지</t>
        </is>
      </c>
      <c r="C157" s="2" t="inlineStr">
        <is>
          <t>코스닥</t>
        </is>
      </c>
      <c r="D157" s="2" t="inlineStr">
        <is>
          <t>200710</t>
        </is>
      </c>
      <c r="E157" s="4" t="inlineStr">
        <is>
          <t>[발행조건확정]증권신고서(지분증권)</t>
        </is>
      </c>
      <c r="F157" s="4" t="inlineStr">
        <is>
          <t>에이디테크놀로지</t>
        </is>
      </c>
      <c r="G157" s="2" t="inlineStr">
        <is>
          <t>20141203000018</t>
        </is>
      </c>
      <c r="H157" s="3">
        <f>HYPERLINK("https://dart.fss.or.kr/dsaf001/main.do?rcpNo=20141203000018", "공시열람")</f>
        <v/>
      </c>
    </row>
    <row r="158">
      <c r="A158" s="2" t="inlineStr">
        <is>
          <t>2014-11-28</t>
        </is>
      </c>
      <c r="B158" s="4" t="inlineStr">
        <is>
          <t>에이디테크놀로지</t>
        </is>
      </c>
      <c r="C158" s="2" t="inlineStr">
        <is>
          <t>코스닥</t>
        </is>
      </c>
      <c r="D158" s="2" t="inlineStr">
        <is>
          <t>200710</t>
        </is>
      </c>
      <c r="E158" s="4" t="inlineStr">
        <is>
          <t>투자설명서</t>
        </is>
      </c>
      <c r="F158" s="4" t="inlineStr">
        <is>
          <t>에이디테크놀로지</t>
        </is>
      </c>
      <c r="G158" s="2" t="inlineStr">
        <is>
          <t>20141128000015</t>
        </is>
      </c>
      <c r="H158" s="3">
        <f>HYPERLINK("https://dart.fss.or.kr/dsaf001/main.do?rcpNo=20141128000015", "공시열람")</f>
        <v/>
      </c>
    </row>
    <row r="159">
      <c r="A159" s="2" t="inlineStr">
        <is>
          <t>2014-11-27</t>
        </is>
      </c>
      <c r="B159" s="4" t="inlineStr">
        <is>
          <t>에이디테크놀로지</t>
        </is>
      </c>
      <c r="C159" s="2" t="inlineStr">
        <is>
          <t>코스닥</t>
        </is>
      </c>
      <c r="D159" s="2" t="inlineStr">
        <is>
          <t>200710</t>
        </is>
      </c>
      <c r="E159" s="4" t="inlineStr">
        <is>
          <t>[기재정정]증권신고서(지분증권)</t>
        </is>
      </c>
      <c r="F159" s="4" t="inlineStr">
        <is>
          <t>에이디테크놀로지</t>
        </is>
      </c>
      <c r="G159" s="2" t="inlineStr">
        <is>
          <t>20141127000304</t>
        </is>
      </c>
      <c r="H159" s="3">
        <f>HYPERLINK("https://dart.fss.or.kr/dsaf001/main.do?rcpNo=20141127000304", "공시열람")</f>
        <v/>
      </c>
    </row>
    <row r="160">
      <c r="A160" s="2" t="inlineStr">
        <is>
          <t>2014-11-26</t>
        </is>
      </c>
      <c r="B160" s="4" t="inlineStr">
        <is>
          <t>에이디테크놀로지</t>
        </is>
      </c>
      <c r="C160" s="2" t="inlineStr">
        <is>
          <t>코스닥</t>
        </is>
      </c>
      <c r="D160" s="2" t="inlineStr">
        <is>
          <t>200710</t>
        </is>
      </c>
      <c r="E160" s="4" t="inlineStr">
        <is>
          <t>[첨부정정]증권신고서(지분증권)</t>
        </is>
      </c>
      <c r="F160" s="4" t="inlineStr">
        <is>
          <t>에이디테크놀로지</t>
        </is>
      </c>
      <c r="G160" s="2" t="inlineStr">
        <is>
          <t>20141126000321</t>
        </is>
      </c>
      <c r="H160" s="3">
        <f>HYPERLINK("https://dart.fss.or.kr/dsaf001/main.do?rcpNo=20141126000321", "공시열람")</f>
        <v/>
      </c>
    </row>
    <row r="161">
      <c r="A161" s="2" t="inlineStr">
        <is>
          <t>2014-11-25</t>
        </is>
      </c>
      <c r="B161" s="4" t="inlineStr">
        <is>
          <t>에이디테크놀로지</t>
        </is>
      </c>
      <c r="C161" s="2" t="inlineStr">
        <is>
          <t>코스닥</t>
        </is>
      </c>
      <c r="D161" s="2" t="inlineStr">
        <is>
          <t>200710</t>
        </is>
      </c>
      <c r="E161" s="4" t="inlineStr">
        <is>
          <t>[기재정정]증권신고서(지분증권)</t>
        </is>
      </c>
      <c r="F161" s="4" t="inlineStr">
        <is>
          <t>에이디테크놀로지</t>
        </is>
      </c>
      <c r="G161" s="2" t="inlineStr">
        <is>
          <t>20141125000236</t>
        </is>
      </c>
      <c r="H161" s="3">
        <f>HYPERLINK("https://dart.fss.or.kr/dsaf001/main.do?rcpNo=20141125000236", "공시열람")</f>
        <v/>
      </c>
    </row>
    <row r="162">
      <c r="A162" s="2" t="inlineStr">
        <is>
          <t>2014-11-06</t>
        </is>
      </c>
      <c r="B162" s="4" t="inlineStr">
        <is>
          <t>에이디테크놀로지</t>
        </is>
      </c>
      <c r="C162" s="2" t="inlineStr">
        <is>
          <t>코스닥</t>
        </is>
      </c>
      <c r="D162" s="2" t="inlineStr">
        <is>
          <t>200710</t>
        </is>
      </c>
      <c r="E162" s="4" t="inlineStr">
        <is>
          <t>증권신고서(지분증권)</t>
        </is>
      </c>
      <c r="F162" s="4" t="inlineStr">
        <is>
          <t>에이디테크놀로지</t>
        </is>
      </c>
      <c r="G162" s="2" t="inlineStr">
        <is>
          <t>20141106003843</t>
        </is>
      </c>
      <c r="H162" s="3">
        <f>HYPERLINK("https://dart.fss.or.kr/dsaf001/main.do?rcpNo=20141106003843", "공시열람")</f>
        <v/>
      </c>
    </row>
    <row r="163">
      <c r="A163" s="2" t="inlineStr">
        <is>
          <t>2014-08-25</t>
        </is>
      </c>
      <c r="B163" s="4" t="inlineStr">
        <is>
          <t>에이디테크놀로지</t>
        </is>
      </c>
      <c r="C163" s="2" t="inlineStr">
        <is>
          <t>코스닥</t>
        </is>
      </c>
      <c r="D163" s="2" t="inlineStr">
        <is>
          <t>200710</t>
        </is>
      </c>
      <c r="E163" s="4" t="inlineStr">
        <is>
          <t>[기재정정]감사보고서 (2013.12)</t>
        </is>
      </c>
      <c r="F163" s="4" t="inlineStr">
        <is>
          <t>정일회계법인</t>
        </is>
      </c>
      <c r="G163" s="2" t="inlineStr">
        <is>
          <t>20140825000604</t>
        </is>
      </c>
      <c r="H163" s="3">
        <f>HYPERLINK("https://dart.fss.or.kr/dsaf001/main.do?rcpNo=20140825000604", "공시열람")</f>
        <v/>
      </c>
    </row>
    <row r="164">
      <c r="A164" s="2" t="inlineStr">
        <is>
          <t>2014-08-25</t>
        </is>
      </c>
      <c r="B164" s="4" t="inlineStr">
        <is>
          <t>에이디테크놀로지</t>
        </is>
      </c>
      <c r="C164" s="2" t="inlineStr">
        <is>
          <t>코스닥</t>
        </is>
      </c>
      <c r="D164" s="2" t="inlineStr">
        <is>
          <t>200710</t>
        </is>
      </c>
      <c r="E164" s="4" t="inlineStr">
        <is>
          <t>[기재정정]연결감사보고서 (2013.12)</t>
        </is>
      </c>
      <c r="F164" s="4" t="inlineStr">
        <is>
          <t>정일회계법인</t>
        </is>
      </c>
      <c r="G164" s="2" t="inlineStr">
        <is>
          <t>20140825000606</t>
        </is>
      </c>
      <c r="H164" s="3">
        <f>HYPERLINK("https://dart.fss.or.kr/dsaf001/main.do?rcpNo=20140825000606", "공시열람")</f>
        <v/>
      </c>
    </row>
    <row r="165">
      <c r="A165" s="2" t="inlineStr">
        <is>
          <t>2014-03-31</t>
        </is>
      </c>
      <c r="B165" s="4" t="inlineStr">
        <is>
          <t>에이디테크놀로지</t>
        </is>
      </c>
      <c r="C165" s="2" t="inlineStr">
        <is>
          <t>코스닥</t>
        </is>
      </c>
      <c r="D165" s="2" t="inlineStr">
        <is>
          <t>200710</t>
        </is>
      </c>
      <c r="E165" s="4" t="inlineStr">
        <is>
          <t>감사보고서 (2013.12)</t>
        </is>
      </c>
      <c r="F165" s="4" t="inlineStr">
        <is>
          <t>정일회계법인</t>
        </is>
      </c>
      <c r="G165" s="2" t="inlineStr">
        <is>
          <t>20140331002470</t>
        </is>
      </c>
      <c r="H165" s="3">
        <f>HYPERLINK("https://dart.fss.or.kr/dsaf001/main.do?rcpNo=20140331002470", "공시열람")</f>
        <v/>
      </c>
    </row>
    <row r="166">
      <c r="A166" s="2" t="inlineStr">
        <is>
          <t>2014-03-31</t>
        </is>
      </c>
      <c r="B166" s="4" t="inlineStr">
        <is>
          <t>에이디테크놀로지</t>
        </is>
      </c>
      <c r="C166" s="2" t="inlineStr">
        <is>
          <t>코스닥</t>
        </is>
      </c>
      <c r="D166" s="2" t="inlineStr">
        <is>
          <t>200710</t>
        </is>
      </c>
      <c r="E166" s="4" t="inlineStr">
        <is>
          <t>연결감사보고서 (2013.12)</t>
        </is>
      </c>
      <c r="F166" s="4" t="inlineStr">
        <is>
          <t>정일회계법인</t>
        </is>
      </c>
      <c r="G166" s="2" t="inlineStr">
        <is>
          <t>20140331002784</t>
        </is>
      </c>
      <c r="H166" s="3">
        <f>HYPERLINK("https://dart.fss.or.kr/dsaf001/main.do?rcpNo=20140331002784", "공시열람")</f>
        <v/>
      </c>
    </row>
    <row r="167">
      <c r="A167" s="2" t="inlineStr">
        <is>
          <t>2013-03-29</t>
        </is>
      </c>
      <c r="B167" s="4" t="inlineStr">
        <is>
          <t>에이디테크놀로지</t>
        </is>
      </c>
      <c r="C167" s="2" t="inlineStr">
        <is>
          <t>코스닥</t>
        </is>
      </c>
      <c r="D167" s="2" t="inlineStr">
        <is>
          <t>200710</t>
        </is>
      </c>
      <c r="E167" s="4" t="inlineStr">
        <is>
          <t>감사보고서 (2012.12)</t>
        </is>
      </c>
      <c r="F167" s="4" t="inlineStr">
        <is>
          <t>정일회계법인</t>
        </is>
      </c>
      <c r="G167" s="2" t="inlineStr">
        <is>
          <t>20130329000698</t>
        </is>
      </c>
      <c r="H167" s="3">
        <f>HYPERLINK("https://dart.fss.or.kr/dsaf001/main.do?rcpNo=20130329000698", "공시열람")</f>
        <v/>
      </c>
    </row>
    <row r="168">
      <c r="A168" s="2" t="inlineStr">
        <is>
          <t>2012-03-30</t>
        </is>
      </c>
      <c r="B168" s="4" t="inlineStr">
        <is>
          <t>에이디테크놀로지</t>
        </is>
      </c>
      <c r="C168" s="2" t="inlineStr">
        <is>
          <t>코스닥</t>
        </is>
      </c>
      <c r="D168" s="2" t="inlineStr">
        <is>
          <t>200710</t>
        </is>
      </c>
      <c r="E168" s="4" t="inlineStr">
        <is>
          <t>감사보고서 (2011.12)</t>
        </is>
      </c>
      <c r="F168" s="4" t="inlineStr">
        <is>
          <t>정일회계법인</t>
        </is>
      </c>
      <c r="G168" s="2" t="inlineStr">
        <is>
          <t>20120330000993</t>
        </is>
      </c>
      <c r="H168" s="3">
        <f>HYPERLINK("https://dart.fss.or.kr/dsaf001/main.do?rcpNo=20120330000993", "공시열람")</f>
        <v/>
      </c>
    </row>
    <row r="169">
      <c r="A169" s="2" t="inlineStr">
        <is>
          <t>2011-03-31</t>
        </is>
      </c>
      <c r="B169" s="4" t="inlineStr">
        <is>
          <t>에이디테크놀로지</t>
        </is>
      </c>
      <c r="C169" s="2" t="inlineStr">
        <is>
          <t>코스닥</t>
        </is>
      </c>
      <c r="D169" s="2" t="inlineStr">
        <is>
          <t>200710</t>
        </is>
      </c>
      <c r="E169" s="4" t="inlineStr">
        <is>
          <t>감사보고서 (2010.12)</t>
        </is>
      </c>
      <c r="F169" s="4" t="inlineStr">
        <is>
          <t>정일회계법인</t>
        </is>
      </c>
      <c r="G169" s="2" t="inlineStr">
        <is>
          <t>20110331000498</t>
        </is>
      </c>
      <c r="H169" s="3">
        <f>HYPERLINK("https://dart.fss.or.kr/dsaf001/main.do?rcpNo=20110331000498", "공시열람")</f>
        <v/>
      </c>
    </row>
    <row r="170">
      <c r="A170" s="2" t="inlineStr">
        <is>
          <t>2010-03-31</t>
        </is>
      </c>
      <c r="B170" s="4" t="inlineStr">
        <is>
          <t>에이디테크놀로지</t>
        </is>
      </c>
      <c r="C170" s="2" t="inlineStr">
        <is>
          <t>코스닥</t>
        </is>
      </c>
      <c r="D170" s="2" t="inlineStr">
        <is>
          <t>200710</t>
        </is>
      </c>
      <c r="E170" s="4" t="inlineStr">
        <is>
          <t>감사보고서 (2009.12)</t>
        </is>
      </c>
      <c r="F170" s="4" t="inlineStr">
        <is>
          <t>정일회계법인</t>
        </is>
      </c>
      <c r="G170" s="2" t="inlineStr">
        <is>
          <t>20100331000261</t>
        </is>
      </c>
      <c r="H170" s="3">
        <f>HYPERLINK("https://dart.fss.or.kr/dsaf001/main.do?rcpNo=20100331000261", "공시열람")</f>
        <v/>
      </c>
    </row>
    <row r="171">
      <c r="A171" s="2" t="inlineStr">
        <is>
          <t>2009-03-27</t>
        </is>
      </c>
      <c r="B171" s="4" t="inlineStr">
        <is>
          <t>에이디테크놀로지</t>
        </is>
      </c>
      <c r="C171" s="2" t="inlineStr">
        <is>
          <t>코스닥</t>
        </is>
      </c>
      <c r="D171" s="2" t="inlineStr">
        <is>
          <t>200710</t>
        </is>
      </c>
      <c r="E171" s="4" t="inlineStr">
        <is>
          <t>감사보고서 (2008.12)</t>
        </is>
      </c>
      <c r="F171" s="4" t="inlineStr">
        <is>
          <t>정일회계법인</t>
        </is>
      </c>
      <c r="G171" s="2" t="inlineStr">
        <is>
          <t>20090327000090</t>
        </is>
      </c>
      <c r="H171" s="3">
        <f>HYPERLINK("https://dart.fss.or.kr/dsaf001/main.do?rcpNo=20090327000090", "공시열람")</f>
        <v/>
      </c>
    </row>
  </sheetData>
  <autoFilter ref="A1:H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2026-09-14T05:56:51Z</dcterms:created>
  <dcterms:modified xmlns:dcterms="http://purl.org/dc/terms/" xmlns:xsi="http://www.w3.org/2001/XMLSchema-instance" xsi:type="dcterms:W3CDTF">2026-09-14T05:58:01Z</dcterms:modified>
</cp:coreProperties>
</file>