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2026Q1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inlineStr"/>
      <c r="AK12" s="12" t="inlineStr"/>
      <c r="AL12" s="12" t="inlineStr"/>
      <c r="AM12" s="13" t="inlineStr"/>
      <c r="AN12" s="13" t="inlineStr"/>
      <c r="AO12" s="13" t="inlineStr"/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세기상사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>
        <is>
          <t>2026Q2</t>
        </is>
      </c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4" t="n">
        <v>9545</v>
      </c>
      <c r="AK1961" s="12" t="inlineStr"/>
      <c r="AL1961" s="12" t="inlineStr"/>
      <c r="AM1961" s="13" t="n">
        <v>9.4</v>
      </c>
      <c r="AN1961" s="13" t="n">
        <v>46</v>
      </c>
      <c r="AO1961" s="13" t="inlineStr"/>
      <c r="AP1961" s="13" t="inlineStr"/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2026Q1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inlineStr"/>
      <c r="AK2144" s="12" t="inlineStr"/>
      <c r="AL2144" s="12" t="inlineStr"/>
      <c r="AM2144" s="13" t="inlineStr"/>
      <c r="AN2144" s="13" t="inlineStr"/>
      <c r="AO2144" s="13" t="inlineStr"/>
      <c r="AP2144" s="13" t="inlineStr"/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2026Q1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inlineStr"/>
      <c r="AK2398" s="12" t="inlineStr"/>
      <c r="AL2398" s="12" t="inlineStr"/>
      <c r="AM2398" s="13" t="inlineStr"/>
      <c r="AN2398" s="13" t="inlineStr"/>
      <c r="AO2398" s="13" t="inlineStr"/>
      <c r="AP2398" s="13" t="inlineStr"/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27166</v>
      </c>
      <c r="AK2493" s="12" t="n">
        <v>17399</v>
      </c>
      <c r="AL2493" s="12" t="n">
        <v>8930</v>
      </c>
      <c r="AM2493" s="13" t="inlineStr"/>
      <c r="AN2493" s="13" t="n">
        <v>3.8</v>
      </c>
      <c r="AO2493" s="13" t="inlineStr"/>
      <c r="AP2493" s="13" t="n">
        <v>12.6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2026Q1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inlineStr"/>
      <c r="AK2521" s="12" t="inlineStr"/>
      <c r="AL2521" s="12" t="inlineStr"/>
      <c r="AM2521" s="13" t="inlineStr"/>
      <c r="AN2521" s="13" t="inlineStr"/>
      <c r="AO2521" s="13" t="inlineStr"/>
      <c r="AP2521" s="13" t="inlineStr"/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2026Q1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inlineStr"/>
      <c r="AK2645" s="12" t="inlineStr"/>
      <c r="AL2645" s="12" t="inlineStr"/>
      <c r="AM2645" s="13" t="inlineStr"/>
      <c r="AN2645" s="13" t="inlineStr"/>
      <c r="AO2645" s="13" t="inlineStr"/>
      <c r="AP2645" s="13" t="inlineStr"/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2026Q1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inlineStr"/>
      <c r="AK2647" s="12" t="inlineStr"/>
      <c r="AL2647" s="12" t="inlineStr"/>
      <c r="AM2647" s="13" t="inlineStr"/>
      <c r="AN2647" s="13" t="inlineStr"/>
      <c r="AO2647" s="13" t="inlineStr"/>
      <c r="AP2647" s="13" t="inlineStr"/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2026Q1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inlineStr"/>
      <c r="AK2652" s="12" t="inlineStr"/>
      <c r="AL2652" s="12" t="inlineStr"/>
      <c r="AM2652" s="13" t="inlineStr"/>
      <c r="AN2652" s="13" t="inlineStr"/>
      <c r="AO2652" s="13" t="inlineStr"/>
      <c r="AP2652" s="13" t="inlineStr"/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2026Q1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2026Q1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inlineStr"/>
      <c r="AK2656" s="12" t="inlineStr"/>
      <c r="AL2656" s="12" t="inlineStr"/>
      <c r="AM2656" s="13" t="inlineStr"/>
      <c r="AN2656" s="13" t="inlineStr"/>
      <c r="AO2656" s="13" t="inlineStr"/>
      <c r="AP2656" s="13" t="inlineStr"/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2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하이즈항공</t>
        </is>
      </c>
      <c r="B639" s="6" t="inlineStr">
        <is>
          <t>221840</t>
        </is>
      </c>
      <c r="C639" s="6" t="inlineStr">
        <is>
          <t>2026Q2</t>
        </is>
      </c>
      <c r="D639" s="6" t="inlineStr">
        <is>
          <t>20260813</t>
        </is>
      </c>
      <c r="E639" s="16" t="n">
        <v>1759074</v>
      </c>
      <c r="F639" s="16" t="n">
        <v>575610</v>
      </c>
      <c r="G639" s="16" t="n">
        <v>1183464</v>
      </c>
      <c r="H639" s="6" t="inlineStr">
        <is>
          <t>백만원</t>
        </is>
      </c>
      <c r="I639" s="17" t="n">
        <v>2.2</v>
      </c>
      <c r="J639" s="18" t="n">
        <v>1131695</v>
      </c>
      <c r="K639" s="19" t="n">
        <v>1143199</v>
      </c>
      <c r="L639" s="18" t="n">
        <v>1116605</v>
      </c>
      <c r="M639" s="19" t="n">
        <v>1119912</v>
      </c>
      <c r="N639" s="18" t="n">
        <v>1140127</v>
      </c>
      <c r="O639" s="19" t="n">
        <v>1100188</v>
      </c>
      <c r="P639" s="18" t="n">
        <v>1076315</v>
      </c>
      <c r="Q639" s="19" t="n">
        <v>1162538</v>
      </c>
      <c r="R639" s="18" t="n">
        <v>1157968</v>
      </c>
      <c r="S639" s="20" t="n">
        <v>1183464</v>
      </c>
      <c r="T639" s="6" t="n">
        <v>2</v>
      </c>
      <c r="U639" s="5" t="inlineStr">
        <is>
          <t>조립 / - | 부품 / -</t>
        </is>
      </c>
      <c r="V639" s="21">
        <f>HYPERLINK("https://dart.fss.or.kr/dsaf001/main.do?rcpNo=20260813000891", "공시열람")</f>
        <v/>
      </c>
    </row>
    <row r="640">
      <c r="A640" s="5" t="inlineStr">
        <is>
          <t>SFA넥셀</t>
        </is>
      </c>
      <c r="B640" s="6" t="inlineStr">
        <is>
          <t>222080</t>
        </is>
      </c>
      <c r="C640" s="6" t="inlineStr">
        <is>
          <t>2026Q2</t>
        </is>
      </c>
      <c r="D640" s="6" t="inlineStr">
        <is>
          <t>20260811</t>
        </is>
      </c>
      <c r="E640" s="16" t="n">
        <v>30830301644</v>
      </c>
      <c r="F640" s="16" t="inlineStr"/>
      <c r="G640" s="16" t="n">
        <v>275070266501</v>
      </c>
      <c r="H640" s="6" t="inlineStr">
        <is>
          <t>원</t>
        </is>
      </c>
      <c r="I640" s="17" t="n">
        <v>-12.6</v>
      </c>
      <c r="J640" s="18" t="n">
        <v>879582723536</v>
      </c>
      <c r="K640" s="19" t="n">
        <v>861484499816</v>
      </c>
      <c r="L640" s="18" t="n">
        <v>593498709419</v>
      </c>
      <c r="M640" s="19" t="n">
        <v>578727566074</v>
      </c>
      <c r="N640" s="18" t="n">
        <v>499803876277</v>
      </c>
      <c r="O640" s="19" t="n">
        <v>370372106841</v>
      </c>
      <c r="P640" s="18" t="n">
        <v>315539623461</v>
      </c>
      <c r="Q640" s="19" t="n">
        <v>258638252519</v>
      </c>
      <c r="R640" s="18" t="n">
        <v>314657269846</v>
      </c>
      <c r="S640" s="20" t="n">
        <v>275070266501</v>
      </c>
      <c r="T640" s="6" t="n">
        <v>4</v>
      </c>
      <c r="U640" s="5" t="inlineStr">
        <is>
          <t>이차전지전극공정장비 등 / 국외 | 증착 및검사ㆍ측정장비 등 / 국외 | 이차전지전극공정장비 등 / 국내</t>
        </is>
      </c>
      <c r="V640" s="21">
        <f>HYPERLINK("https://dart.fss.or.kr/dsaf001/main.do?rcpNo=20260811000495", "공시열람")</f>
        <v/>
      </c>
    </row>
    <row r="641">
      <c r="A641" s="5" t="inlineStr">
        <is>
          <t>팬젠</t>
        </is>
      </c>
      <c r="B641" s="6" t="inlineStr">
        <is>
          <t>222110</t>
        </is>
      </c>
      <c r="C641" s="6" t="inlineStr">
        <is>
          <t>2026Q2</t>
        </is>
      </c>
      <c r="D641" s="6" t="inlineStr">
        <is>
          <t>20260813</t>
        </is>
      </c>
      <c r="E641" s="16" t="n">
        <v>15572618</v>
      </c>
      <c r="F641" s="16" t="n">
        <v>7869888</v>
      </c>
      <c r="G641" s="16" t="n">
        <v>7702730</v>
      </c>
      <c r="H641" s="6" t="inlineStr">
        <is>
          <t>천원,$</t>
        </is>
      </c>
      <c r="I641" s="17" t="n">
        <v>46.3</v>
      </c>
      <c r="J641" s="18" t="n">
        <v>2557174</v>
      </c>
      <c r="K641" s="19" t="n">
        <v>8104838</v>
      </c>
      <c r="L641" s="18" t="n">
        <v>7172031</v>
      </c>
      <c r="M641" s="19" t="n">
        <v>4703538</v>
      </c>
      <c r="N641" s="18" t="n">
        <v>4499182</v>
      </c>
      <c r="O641" s="19" t="n">
        <v>5311994</v>
      </c>
      <c r="P641" s="18" t="n">
        <v>4574962</v>
      </c>
      <c r="Q641" s="19" t="n">
        <v>4450667</v>
      </c>
      <c r="R641" s="18" t="n">
        <v>5265948</v>
      </c>
      <c r="S641" s="20" t="n">
        <v>7702730</v>
      </c>
      <c r="T641" s="6" t="n">
        <v>10</v>
      </c>
      <c r="U641" s="5" t="inlineStr">
        <is>
          <t>CDO / 26.06.22 / 28.12.31 | CMO / 26.04.15 / 26.07.30 | 시험용역 / 24.07.08 / 30.07.07</t>
        </is>
      </c>
      <c r="V641" s="21">
        <f>HYPERLINK("https://dart.fss.or.kr/dsaf001/main.do?rcpNo=20260813001197", "공시열람")</f>
        <v/>
      </c>
    </row>
    <row r="642">
      <c r="A642" s="5" t="inlineStr">
        <is>
          <t>NPX</t>
        </is>
      </c>
      <c r="B642" s="6" t="inlineStr">
        <is>
          <t>222160</t>
        </is>
      </c>
      <c r="C642" s="6" t="inlineStr">
        <is>
          <t>2026Q1</t>
        </is>
      </c>
      <c r="D642" s="6" t="inlineStr">
        <is>
          <t>20260515</t>
        </is>
      </c>
      <c r="E642" s="16" t="n">
        <v>53</v>
      </c>
      <c r="F642" s="16" t="inlineStr"/>
      <c r="G642" s="16" t="n">
        <v>53</v>
      </c>
      <c r="H642" s="6" t="inlineStr">
        <is>
          <t>대/억원</t>
        </is>
      </c>
      <c r="I642" s="17" t="n">
        <v>0</v>
      </c>
      <c r="J642" s="18" t="inlineStr"/>
      <c r="K642" s="19" t="inlineStr"/>
      <c r="L642" s="18" t="inlineStr"/>
      <c r="M642" s="19" t="inlineStr"/>
      <c r="N642" s="18" t="inlineStr"/>
      <c r="O642" s="19" t="inlineStr"/>
      <c r="P642" s="18" t="n">
        <v>3.4</v>
      </c>
      <c r="Q642" s="19" t="n">
        <v>53</v>
      </c>
      <c r="R642" s="18" t="n">
        <v>53</v>
      </c>
      <c r="S642" s="20" t="inlineStr"/>
      <c r="T642" s="6" t="n">
        <v>2</v>
      </c>
      <c r="U642" s="5" t="inlineStr">
        <is>
          <t>반도체기판 전기검사기 | 반도체기판 전기검사기</t>
        </is>
      </c>
      <c r="V642" s="21">
        <f>HYPERLINK("https://dart.fss.or.kr/dsaf001/main.do?rcpNo=20260515001601", "공시열람")</f>
        <v/>
      </c>
    </row>
    <row r="643">
      <c r="A643" s="5" t="inlineStr">
        <is>
          <t>쎄노텍</t>
        </is>
      </c>
      <c r="B643" s="6" t="inlineStr">
        <is>
          <t>222420</t>
        </is>
      </c>
      <c r="C643" s="6" t="inlineStr">
        <is>
          <t>2026Q2</t>
        </is>
      </c>
      <c r="D643" s="6" t="inlineStr">
        <is>
          <t>20260731</t>
        </is>
      </c>
      <c r="E643" s="16" t="n">
        <v>24165347</v>
      </c>
      <c r="F643" s="16" t="n">
        <v>15751360</v>
      </c>
      <c r="G643" s="16" t="n">
        <v>8413987</v>
      </c>
      <c r="H643" s="6" t="inlineStr">
        <is>
          <t>톤,USD</t>
        </is>
      </c>
      <c r="I643" s="17" t="n">
        <v>101.7</v>
      </c>
      <c r="J643" s="18" t="n">
        <v>4349493</v>
      </c>
      <c r="K643" s="19" t="n">
        <v>5246723</v>
      </c>
      <c r="L643" s="18" t="n">
        <v>5973493</v>
      </c>
      <c r="M643" s="19" t="n">
        <v>5911328</v>
      </c>
      <c r="N643" s="18" t="n">
        <v>1843996</v>
      </c>
      <c r="O643" s="19" t="n">
        <v>2107367</v>
      </c>
      <c r="P643" s="18" t="n">
        <v>1736150</v>
      </c>
      <c r="Q643" s="19" t="n">
        <v>3928292</v>
      </c>
      <c r="R643" s="18" t="n">
        <v>4172399</v>
      </c>
      <c r="S643" s="20" t="n">
        <v>8413987</v>
      </c>
      <c r="T643" s="6" t="n">
        <v>6</v>
      </c>
      <c r="U643" s="5" t="inlineStr">
        <is>
          <t>세라믹 비드 / 광산용 및 제지/잉크 등 / 2025- | 이차전지 첨가제 / 2026-01-08 | 플럭스 / 2026-01-08</t>
        </is>
      </c>
      <c r="V643" s="21">
        <f>HYPERLINK("https://dart.fss.or.kr/dsaf001/main.do?rcpNo=20260731000295", "공시열람")</f>
        <v/>
      </c>
    </row>
    <row r="644">
      <c r="A644" s="5" t="inlineStr">
        <is>
          <t>심텍</t>
        </is>
      </c>
      <c r="B644" s="6" t="inlineStr">
        <is>
          <t>222800</t>
        </is>
      </c>
      <c r="C644" s="6" t="inlineStr">
        <is>
          <t>2026Q2</t>
        </is>
      </c>
      <c r="D644" s="6" t="inlineStr">
        <is>
          <t>20260813</t>
        </is>
      </c>
      <c r="E644" s="16" t="n">
        <v>998848</v>
      </c>
      <c r="F644" s="16" t="n">
        <v>606493</v>
      </c>
      <c r="G644" s="16" t="n">
        <v>392355</v>
      </c>
      <c r="H644" s="6" t="inlineStr">
        <is>
          <t>㎡,천USD</t>
        </is>
      </c>
      <c r="I644" s="17" t="n">
        <v>18.7</v>
      </c>
      <c r="J644" s="18" t="n">
        <v>273020</v>
      </c>
      <c r="K644" s="19" t="n">
        <v>140227</v>
      </c>
      <c r="L644" s="18" t="n">
        <v>130125</v>
      </c>
      <c r="M644" s="19" t="n">
        <v>136721</v>
      </c>
      <c r="N644" s="18" t="n">
        <v>118259</v>
      </c>
      <c r="O644" s="19" t="n">
        <v>191263</v>
      </c>
      <c r="P644" s="18" t="n">
        <v>261706</v>
      </c>
      <c r="Q644" s="19" t="n">
        <v>294564</v>
      </c>
      <c r="R644" s="18" t="n">
        <v>330609</v>
      </c>
      <c r="S644" s="20" t="n">
        <v>392355</v>
      </c>
      <c r="T644" s="6" t="n">
        <v>1</v>
      </c>
      <c r="U644" s="5" t="inlineStr">
        <is>
          <t>인쇄회로기판 / 2026.01 ~ 2026.06 / -</t>
        </is>
      </c>
      <c r="V644" s="21">
        <f>HYPERLINK("https://dart.fss.or.kr/dsaf001/main.do?rcpNo=20260813001430", "공시열람")</f>
        <v/>
      </c>
    </row>
    <row r="645">
      <c r="A645" s="5" t="inlineStr">
        <is>
          <t>드림씨아이에스</t>
        </is>
      </c>
      <c r="B645" s="6" t="inlineStr">
        <is>
          <t>223250</t>
        </is>
      </c>
      <c r="C645" s="6" t="inlineStr">
        <is>
          <t>2026Q2</t>
        </is>
      </c>
      <c r="D645" s="6" t="inlineStr">
        <is>
          <t>20260813</t>
        </is>
      </c>
      <c r="E645" s="16" t="n">
        <v>36086726</v>
      </c>
      <c r="F645" s="16" t="inlineStr"/>
      <c r="G645" s="16" t="n">
        <v>251491876</v>
      </c>
      <c r="H645" s="6" t="inlineStr">
        <is>
          <t>천원</t>
        </is>
      </c>
      <c r="I645" s="17" t="n">
        <v>3.6</v>
      </c>
      <c r="J645" s="18" t="n">
        <v>160580539</v>
      </c>
      <c r="K645" s="19" t="n">
        <v>173048794</v>
      </c>
      <c r="L645" s="18" t="n">
        <v>179923823</v>
      </c>
      <c r="M645" s="19" t="n">
        <v>207552658</v>
      </c>
      <c r="N645" s="18" t="n">
        <v>202005742</v>
      </c>
      <c r="O645" s="19" t="n">
        <v>205979766</v>
      </c>
      <c r="P645" s="18" t="n">
        <v>218306863</v>
      </c>
      <c r="Q645" s="19" t="n">
        <v>247112303</v>
      </c>
      <c r="R645" s="18" t="n">
        <v>242848397</v>
      </c>
      <c r="S645" s="20" t="n">
        <v>251491876</v>
      </c>
      <c r="T645" s="6" t="n">
        <v>0</v>
      </c>
      <c r="U645" s="5" t="inlineStr"/>
      <c r="V645" s="21">
        <f>HYPERLINK("https://dart.fss.or.kr/dsaf001/main.do?rcpNo=20260813001135", "공시열람")</f>
        <v/>
      </c>
    </row>
    <row r="646">
      <c r="A646" s="5" t="inlineStr">
        <is>
          <t>더코디</t>
        </is>
      </c>
      <c r="B646" s="6" t="inlineStr">
        <is>
          <t>224060</t>
        </is>
      </c>
      <c r="C646" s="6" t="inlineStr">
        <is>
          <t>2026Q2</t>
        </is>
      </c>
      <c r="D646" s="6" t="inlineStr">
        <is>
          <t>20260814</t>
        </is>
      </c>
      <c r="E646" s="16" t="n">
        <v>12071</v>
      </c>
      <c r="F646" s="16" t="n">
        <v>7858</v>
      </c>
      <c r="G646" s="16" t="n">
        <v>4213</v>
      </c>
      <c r="H646" s="6" t="inlineStr">
        <is>
          <t>백만원</t>
        </is>
      </c>
      <c r="I646" s="17" t="n">
        <v>-3.7</v>
      </c>
      <c r="J646" s="18" t="n">
        <v>1579</v>
      </c>
      <c r="K646" s="19" t="n">
        <v>2283</v>
      </c>
      <c r="L646" s="18" t="n">
        <v>2628</v>
      </c>
      <c r="M646" s="19" t="n">
        <v>1782</v>
      </c>
      <c r="N646" s="18" t="n">
        <v>5615</v>
      </c>
      <c r="O646" s="19" t="n">
        <v>3453</v>
      </c>
      <c r="P646" s="18" t="n">
        <v>4260</v>
      </c>
      <c r="Q646" s="19" t="n">
        <v>4836</v>
      </c>
      <c r="R646" s="18" t="n">
        <v>4376</v>
      </c>
      <c r="S646" s="20" t="n">
        <v>4213</v>
      </c>
      <c r="T646" s="6" t="n">
        <v>1</v>
      </c>
      <c r="U646" s="5" t="inlineStr">
        <is>
          <t>전자부품 / 2026년 2분기 / -</t>
        </is>
      </c>
      <c r="V646" s="21">
        <f>HYPERLINK("https://dart.fss.or.kr/dsaf001/main.do?rcpNo=20260814002189", "공시열람")</f>
        <v/>
      </c>
    </row>
    <row r="647">
      <c r="A647" s="5" t="inlineStr">
        <is>
          <t>엔에스컴퍼니</t>
        </is>
      </c>
      <c r="B647" s="6" t="inlineStr">
        <is>
          <t>224760</t>
        </is>
      </c>
      <c r="C647" s="6" t="inlineStr">
        <is>
          <t>2023Q4</t>
        </is>
      </c>
      <c r="D647" s="6" t="inlineStr">
        <is>
          <t>20240321</t>
        </is>
      </c>
      <c r="E647" s="16" t="n">
        <v>198558319367</v>
      </c>
      <c r="F647" s="16" t="n">
        <v>108229395773</v>
      </c>
      <c r="G647" s="16" t="n">
        <v>90328893594</v>
      </c>
      <c r="H647" s="6" t="inlineStr"/>
      <c r="I647" s="17" t="inlineStr"/>
      <c r="J647" s="18" t="inlineStr"/>
      <c r="K647" s="19" t="inlineStr"/>
      <c r="L647" s="18" t="inlineStr"/>
      <c r="M647" s="19" t="inlineStr"/>
      <c r="N647" s="18" t="inlineStr"/>
      <c r="O647" s="19" t="inlineStr"/>
      <c r="P647" s="18" t="inlineStr"/>
      <c r="Q647" s="19" t="inlineStr"/>
      <c r="R647" s="18" t="inlineStr"/>
      <c r="S647" s="20" t="inlineStr"/>
      <c r="T647" s="6" t="n">
        <v>25</v>
      </c>
      <c r="U647" s="5" t="inlineStr">
        <is>
          <t>당진기지 LNG탱크 건설공사(1,4호기 탱크 본체 기계 | 배관공사(배관 및 소방설비공사) 및 기계공사(Liner | 1,4호기 보온보냉공사</t>
        </is>
      </c>
      <c r="V647" s="21">
        <f>HYPERLINK("https://dart.fss.or.kr/dsaf001/main.do?rcpNo=20240321000764", "공시열람")</f>
        <v/>
      </c>
    </row>
    <row r="648">
      <c r="A648" s="5" t="inlineStr">
        <is>
          <t>엄지하우스</t>
        </is>
      </c>
      <c r="B648" s="6" t="inlineStr">
        <is>
          <t>224810</t>
        </is>
      </c>
      <c r="C648" s="6" t="inlineStr">
        <is>
          <t>2025Q4</t>
        </is>
      </c>
      <c r="D648" s="6" t="inlineStr">
        <is>
          <t>20260323</t>
        </is>
      </c>
      <c r="E648" s="16" t="inlineStr"/>
      <c r="F648" s="16" t="inlineStr"/>
      <c r="G648" s="16" t="n">
        <v>39731310</v>
      </c>
      <c r="H648" s="6" t="inlineStr">
        <is>
          <t>천원</t>
        </is>
      </c>
      <c r="I648" s="17" t="n">
        <v>-26.6</v>
      </c>
      <c r="J648" s="18" t="inlineStr"/>
      <c r="K648" s="19" t="inlineStr"/>
      <c r="L648" s="18" t="inlineStr"/>
      <c r="M648" s="19" t="n">
        <v>54113100</v>
      </c>
      <c r="N648" s="18" t="inlineStr"/>
      <c r="O648" s="19" t="inlineStr"/>
      <c r="P648" s="18" t="inlineStr"/>
      <c r="Q648" s="19" t="n">
        <v>39731310</v>
      </c>
      <c r="R648" s="18" t="inlineStr"/>
      <c r="S648" s="20" t="inlineStr"/>
      <c r="T648" s="6" t="n">
        <v>4</v>
      </c>
      <c r="U648" s="5" t="inlineStr">
        <is>
          <t>C 공용부 시설 / 2025.07.08 / 2026.0 | D 사옥 / 2025.09.08 / 2026.04.30 | A 리조트 / 2025.01.15 / 2026.05.1</t>
        </is>
      </c>
      <c r="V648" s="21">
        <f>HYPERLINK("https://dart.fss.or.kr/dsaf001/main.do?rcpNo=20260323001051", "공시열람")</f>
        <v/>
      </c>
    </row>
    <row r="649">
      <c r="A649" s="5" t="inlineStr">
        <is>
          <t>제놀루션</t>
        </is>
      </c>
      <c r="B649" s="6" t="inlineStr">
        <is>
          <t>225220</t>
        </is>
      </c>
      <c r="C649" s="6" t="inlineStr">
        <is>
          <t>2025Q3</t>
        </is>
      </c>
      <c r="D649" s="6" t="inlineStr">
        <is>
          <t>20251114</t>
        </is>
      </c>
      <c r="E649" s="16" t="inlineStr"/>
      <c r="F649" s="16" t="n">
        <v>7131</v>
      </c>
      <c r="G649" s="16" t="n">
        <v>2193</v>
      </c>
      <c r="H649" s="6" t="inlineStr">
        <is>
          <t>kit,대</t>
        </is>
      </c>
      <c r="I649" s="17" t="n">
        <v>62.7</v>
      </c>
      <c r="J649" s="18" t="n">
        <v>7415</v>
      </c>
      <c r="K649" s="19" t="n">
        <v>1089</v>
      </c>
      <c r="L649" s="18" t="n">
        <v>7144</v>
      </c>
      <c r="M649" s="19" t="n">
        <v>1197</v>
      </c>
      <c r="N649" s="18" t="n">
        <v>878</v>
      </c>
      <c r="O649" s="19" t="n">
        <v>1348</v>
      </c>
      <c r="P649" s="18" t="n">
        <v>2193</v>
      </c>
      <c r="Q649" s="19" t="inlineStr"/>
      <c r="R649" s="18" t="inlineStr"/>
      <c r="S649" s="20" t="inlineStr"/>
      <c r="T649" s="6" t="n">
        <v>1</v>
      </c>
      <c r="U649" s="5" t="inlineStr">
        <is>
          <t>핵산추출시약</t>
        </is>
      </c>
      <c r="V649" s="21">
        <f>HYPERLINK("https://dart.fss.or.kr/dsaf001/main.do?rcpNo=20251114002436", "공시열람")</f>
        <v/>
      </c>
    </row>
    <row r="650">
      <c r="A650" s="5" t="inlineStr">
        <is>
          <t>신테카바이오</t>
        </is>
      </c>
      <c r="B650" s="6" t="inlineStr">
        <is>
          <t>226330</t>
        </is>
      </c>
      <c r="C650" s="6" t="inlineStr">
        <is>
          <t>2026Q2</t>
        </is>
      </c>
      <c r="D650" s="6" t="inlineStr">
        <is>
          <t>20260814</t>
        </is>
      </c>
      <c r="E650" s="16" t="n">
        <v>1061</v>
      </c>
      <c r="F650" s="16" t="n">
        <v>262</v>
      </c>
      <c r="G650" s="16" t="n">
        <v>799</v>
      </c>
      <c r="H650" s="6" t="inlineStr">
        <is>
          <t>백만원</t>
        </is>
      </c>
      <c r="I650" s="17" t="n">
        <v>14.5</v>
      </c>
      <c r="J650" s="18" t="n">
        <v>1000</v>
      </c>
      <c r="K650" s="19" t="n">
        <v>1000</v>
      </c>
      <c r="L650" s="18" t="n">
        <v>1000</v>
      </c>
      <c r="M650" s="19" t="n">
        <v>1000</v>
      </c>
      <c r="N650" s="18" t="n">
        <v>645</v>
      </c>
      <c r="O650" s="19" t="n">
        <v>618</v>
      </c>
      <c r="P650" s="18" t="n">
        <v>591</v>
      </c>
      <c r="Q650" s="19" t="n">
        <v>799</v>
      </c>
      <c r="R650" s="18" t="n">
        <v>698</v>
      </c>
      <c r="S650" s="20" t="n">
        <v>799</v>
      </c>
      <c r="T650" s="6" t="n">
        <v>3</v>
      </c>
      <c r="U650" s="5" t="inlineStr">
        <is>
          <t>DeepMatcher 플랫폼 서비스 / 2024-12- | IDC 서비스 / 2024-11-27 / 2026-12 | IDC 서비스 / 2025-09-01 / 2026-08</t>
        </is>
      </c>
      <c r="V650" s="21">
        <f>HYPERLINK("https://dart.fss.or.kr/dsaf001/main.do?rcpNo=20260814004304", "공시열람")</f>
        <v/>
      </c>
    </row>
    <row r="651">
      <c r="A651" s="5" t="inlineStr">
        <is>
          <t>본느</t>
        </is>
      </c>
      <c r="B651" s="6" t="inlineStr">
        <is>
          <t>226340</t>
        </is>
      </c>
      <c r="C651" s="6" t="inlineStr">
        <is>
          <t>2026Q1</t>
        </is>
      </c>
      <c r="D651" s="6" t="inlineStr">
        <is>
          <t>20260515</t>
        </is>
      </c>
      <c r="E651" s="16" t="n">
        <v>6780514.42</v>
      </c>
      <c r="F651" s="16" t="inlineStr"/>
      <c r="G651" s="16" t="n">
        <v>9046289.17</v>
      </c>
      <c r="H651" s="6" t="inlineStr"/>
      <c r="I651" s="17" t="n">
        <v>-99.90000000000001</v>
      </c>
      <c r="J651" s="18" t="n">
        <v>21677781379</v>
      </c>
      <c r="K651" s="19" t="n">
        <v>17475678328</v>
      </c>
      <c r="L651" s="18" t="n">
        <v>13174852104</v>
      </c>
      <c r="M651" s="19" t="n">
        <v>12496291561</v>
      </c>
      <c r="N651" s="18" t="n">
        <v>12422303518</v>
      </c>
      <c r="O651" s="19" t="n">
        <v>9321569237</v>
      </c>
      <c r="P651" s="18" t="n">
        <v>13211439893</v>
      </c>
      <c r="Q651" s="19" t="n">
        <v>13435653520</v>
      </c>
      <c r="R651" s="18" t="n">
        <v>9046289.17</v>
      </c>
      <c r="S651" s="20" t="inlineStr"/>
      <c r="T651" s="6" t="n">
        <v>16</v>
      </c>
      <c r="U651" s="5" t="inlineStr">
        <is>
          <t>원화환산금액 | 미국 / 기초 및 색조 화장품 / 2026.01~202 | 영국 / 기초 및 색조 화장품 / 2026.01~202</t>
        </is>
      </c>
      <c r="V651" s="21">
        <f>HYPERLINK("https://dart.fss.or.kr/dsaf001/main.do?rcpNo=20260515000479", "공시열람")</f>
        <v/>
      </c>
    </row>
    <row r="652">
      <c r="A652" s="5" t="inlineStr">
        <is>
          <t>LS에코에너지</t>
        </is>
      </c>
      <c r="B652" s="6" t="inlineStr">
        <is>
          <t>229640</t>
        </is>
      </c>
      <c r="C652" s="6" t="inlineStr">
        <is>
          <t>2026Q2</t>
        </is>
      </c>
      <c r="D652" s="6" t="inlineStr">
        <is>
          <t>20260814</t>
        </is>
      </c>
      <c r="E652" s="16" t="n">
        <v>1047999</v>
      </c>
      <c r="F652" s="16" t="inlineStr"/>
      <c r="G652" s="16" t="n">
        <v>245548</v>
      </c>
      <c r="H652" s="6" t="inlineStr">
        <is>
          <t>백만원</t>
        </is>
      </c>
      <c r="I652" s="17" t="n">
        <v>77.3</v>
      </c>
      <c r="J652" s="18" t="n">
        <v>213976</v>
      </c>
      <c r="K652" s="19" t="n">
        <v>215502</v>
      </c>
      <c r="L652" s="18" t="n">
        <v>210156</v>
      </c>
      <c r="M652" s="19" t="n">
        <v>182672</v>
      </c>
      <c r="N652" s="18" t="n">
        <v>194346</v>
      </c>
      <c r="O652" s="19" t="n">
        <v>219550</v>
      </c>
      <c r="P652" s="18" t="n">
        <v>164061</v>
      </c>
      <c r="Q652" s="19" t="n">
        <v>196201</v>
      </c>
      <c r="R652" s="18" t="n">
        <v>138465</v>
      </c>
      <c r="S652" s="20" t="n">
        <v>245548</v>
      </c>
      <c r="T652" s="6" t="n">
        <v>2</v>
      </c>
      <c r="U652" s="5" t="inlineStr">
        <is>
          <t>LS-VINA Cable &amp; System Joint S | LS Cable &amp; System Vietnam Co.,</t>
        </is>
      </c>
      <c r="V652" s="21">
        <f>HYPERLINK("https://dart.fss.or.kr/dsaf001/main.do?rcpNo=20260814002014", "공시열람")</f>
        <v/>
      </c>
    </row>
    <row r="653">
      <c r="A653" s="5" t="inlineStr">
        <is>
          <t>에치에프알</t>
        </is>
      </c>
      <c r="B653" s="6" t="inlineStr">
        <is>
          <t>230240</t>
        </is>
      </c>
      <c r="C653" s="6" t="inlineStr">
        <is>
          <t>2026Q2</t>
        </is>
      </c>
      <c r="D653" s="6" t="inlineStr">
        <is>
          <t>20260814</t>
        </is>
      </c>
      <c r="E653" s="16" t="n">
        <v>9725</v>
      </c>
      <c r="F653" s="16" t="n">
        <v>14177</v>
      </c>
      <c r="G653" s="16" t="n">
        <v>30456</v>
      </c>
      <c r="H653" s="6" t="inlineStr">
        <is>
          <t>백만원</t>
        </is>
      </c>
      <c r="I653" s="17" t="n">
        <v>1838.6</v>
      </c>
      <c r="J653" s="18" t="n">
        <v>19350</v>
      </c>
      <c r="K653" s="19" t="n">
        <v>9116</v>
      </c>
      <c r="L653" s="18" t="n">
        <v>7066</v>
      </c>
      <c r="M653" s="19" t="n">
        <v>10130</v>
      </c>
      <c r="N653" s="18" t="n">
        <v>19577</v>
      </c>
      <c r="O653" s="19" t="n">
        <v>20613</v>
      </c>
      <c r="P653" s="18" t="n">
        <v>24440</v>
      </c>
      <c r="Q653" s="19" t="n">
        <v>2469</v>
      </c>
      <c r="R653" s="18" t="n">
        <v>1571</v>
      </c>
      <c r="S653" s="20" t="n">
        <v>30456</v>
      </c>
      <c r="T653" s="6" t="n">
        <v>2</v>
      </c>
      <c r="U653" s="5" t="inlineStr">
        <is>
          <t>제품 및 솔루션(국내) | 제품 및 솔루션(해외)</t>
        </is>
      </c>
      <c r="V653" s="21">
        <f>HYPERLINK("https://dart.fss.or.kr/dsaf001/main.do?rcpNo=20260814002714", "공시열람")</f>
        <v/>
      </c>
    </row>
    <row r="654">
      <c r="A654" s="5" t="inlineStr">
        <is>
          <t>와이씨</t>
        </is>
      </c>
      <c r="B654" s="6" t="inlineStr">
        <is>
          <t>232140</t>
        </is>
      </c>
      <c r="C654" s="6" t="inlineStr">
        <is>
          <t>2026Q2</t>
        </is>
      </c>
      <c r="D654" s="6" t="inlineStr">
        <is>
          <t>20260814</t>
        </is>
      </c>
      <c r="E654" s="16" t="n">
        <v>243660</v>
      </c>
      <c r="F654" s="16" t="n">
        <v>29450</v>
      </c>
      <c r="G654" s="16" t="n">
        <v>214210</v>
      </c>
      <c r="H654" s="6" t="inlineStr">
        <is>
          <t>백만원</t>
        </is>
      </c>
      <c r="I654" s="17" t="n">
        <v>214.1</v>
      </c>
      <c r="J654" s="18" t="n">
        <v>75888</v>
      </c>
      <c r="K654" s="19" t="n">
        <v>40176</v>
      </c>
      <c r="L654" s="18" t="n">
        <v>119556</v>
      </c>
      <c r="M654" s="19" t="inlineStr"/>
      <c r="N654" s="18" t="inlineStr"/>
      <c r="O654" s="19" t="inlineStr"/>
      <c r="P654" s="18" t="inlineStr"/>
      <c r="Q654" s="19" t="n">
        <v>68200</v>
      </c>
      <c r="R654" s="18" t="inlineStr"/>
      <c r="S654" s="20" t="n">
        <v>214210</v>
      </c>
      <c r="T654" s="6" t="n">
        <v>1</v>
      </c>
      <c r="U654" s="5" t="inlineStr">
        <is>
          <t>Memory Tester / 2025-06-16 / 2</t>
        </is>
      </c>
      <c r="V654" s="21">
        <f>HYPERLINK("https://dart.fss.or.kr/dsaf001/main.do?rcpNo=20260814001745", "공시열람")</f>
        <v/>
      </c>
    </row>
    <row r="655">
      <c r="A655" s="5" t="inlineStr">
        <is>
          <t>232680</t>
        </is>
      </c>
      <c r="B655" s="6" t="inlineStr">
        <is>
          <t>232680</t>
        </is>
      </c>
      <c r="C655" s="6" t="inlineStr">
        <is>
          <t>2026Q2</t>
        </is>
      </c>
      <c r="D655" s="6" t="inlineStr">
        <is>
          <t>20260813</t>
        </is>
      </c>
      <c r="E655" s="16" t="n">
        <v>81498</v>
      </c>
      <c r="F655" s="16" t="n">
        <v>29146</v>
      </c>
      <c r="G655" s="16" t="n">
        <v>52352</v>
      </c>
      <c r="H655" s="6" t="inlineStr">
        <is>
          <t>백만원</t>
        </is>
      </c>
      <c r="I655" s="17" t="n">
        <v>78.5</v>
      </c>
      <c r="J655" s="18" t="n">
        <v>15636</v>
      </c>
      <c r="K655" s="19" t="n">
        <v>16868</v>
      </c>
      <c r="L655" s="18" t="n">
        <v>23497</v>
      </c>
      <c r="M655" s="19" t="n">
        <v>17694</v>
      </c>
      <c r="N655" s="18" t="n">
        <v>18151</v>
      </c>
      <c r="O655" s="19" t="n">
        <v>14453</v>
      </c>
      <c r="P655" s="18" t="n">
        <v>16402</v>
      </c>
      <c r="Q655" s="19" t="n">
        <v>14815</v>
      </c>
      <c r="R655" s="18" t="n">
        <v>29322</v>
      </c>
      <c r="S655" s="20" t="n">
        <v>52352</v>
      </c>
      <c r="T655" s="6" t="n">
        <v>1</v>
      </c>
      <c r="U655" s="5" t="inlineStr">
        <is>
          <t xml:space="preserve">반도체 웨이퍼 이송모듈 외 / 2026.06.30까지 </t>
        </is>
      </c>
      <c r="V655" s="21">
        <f>HYPERLINK("https://dart.fss.or.kr/dsaf001/main.do?rcpNo=20260813000995", "공시열람")</f>
        <v/>
      </c>
    </row>
    <row r="656">
      <c r="A656" s="5" t="inlineStr">
        <is>
          <t>아이티센피엔에스</t>
        </is>
      </c>
      <c r="B656" s="6" t="inlineStr">
        <is>
          <t>232830</t>
        </is>
      </c>
      <c r="C656" s="6" t="inlineStr">
        <is>
          <t>2026Q2</t>
        </is>
      </c>
      <c r="D656" s="6" t="inlineStr">
        <is>
          <t>20260812</t>
        </is>
      </c>
      <c r="E656" s="16" t="n">
        <v>11477813</v>
      </c>
      <c r="F656" s="16" t="inlineStr"/>
      <c r="G656" s="16" t="n">
        <v>5006140</v>
      </c>
      <c r="H656" s="6" t="inlineStr">
        <is>
          <t>천원</t>
        </is>
      </c>
      <c r="I656" s="17" t="n">
        <v>-2.1</v>
      </c>
      <c r="J656" s="18" t="n">
        <v>3770878</v>
      </c>
      <c r="K656" s="19" t="n">
        <v>7028331</v>
      </c>
      <c r="L656" s="18" t="n">
        <v>6652247</v>
      </c>
      <c r="M656" s="19" t="n">
        <v>4339476</v>
      </c>
      <c r="N656" s="18" t="n">
        <v>36956</v>
      </c>
      <c r="O656" s="19" t="n">
        <v>6453073</v>
      </c>
      <c r="P656" s="18" t="n">
        <v>7653515</v>
      </c>
      <c r="Q656" s="19" t="n">
        <v>6662854</v>
      </c>
      <c r="R656" s="18" t="n">
        <v>5113943</v>
      </c>
      <c r="S656" s="20" t="n">
        <v>5006140</v>
      </c>
      <c r="T656" s="6" t="n">
        <v>13</v>
      </c>
      <c r="U656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6" s="21">
        <f>HYPERLINK("https://dart.fss.or.kr/dsaf001/main.do?rcpNo=20260812000605", "공시열람")</f>
        <v/>
      </c>
    </row>
    <row r="657">
      <c r="A657" s="5" t="inlineStr">
        <is>
          <t>폴라리스세원</t>
        </is>
      </c>
      <c r="B657" s="6" t="inlineStr">
        <is>
          <t>234100</t>
        </is>
      </c>
      <c r="C657" s="6" t="inlineStr">
        <is>
          <t>2025Q2</t>
        </is>
      </c>
      <c r="D657" s="6" t="inlineStr">
        <is>
          <t>20250814</t>
        </is>
      </c>
      <c r="E657" s="16" t="n">
        <v>53300411</v>
      </c>
      <c r="F657" s="16" t="n">
        <v>43616063</v>
      </c>
      <c r="G657" s="16" t="n">
        <v>6300767</v>
      </c>
      <c r="H657" s="6" t="inlineStr">
        <is>
          <t>천원</t>
        </is>
      </c>
      <c r="I657" s="17" t="n">
        <v>81.59999999999999</v>
      </c>
      <c r="J657" s="18" t="n">
        <v>0</v>
      </c>
      <c r="K657" s="19" t="n">
        <v>8947876</v>
      </c>
      <c r="L657" s="18" t="n">
        <v>12396827</v>
      </c>
      <c r="M657" s="19" t="n">
        <v>4675002</v>
      </c>
      <c r="N657" s="18" t="n">
        <v>3468711</v>
      </c>
      <c r="O657" s="19" t="n">
        <v>6300767</v>
      </c>
      <c r="P657" s="18" t="inlineStr"/>
      <c r="Q657" s="19" t="inlineStr"/>
      <c r="R657" s="18" t="inlineStr"/>
      <c r="S657" s="20" t="inlineStr"/>
      <c r="T657" s="6" t="n">
        <v>3</v>
      </c>
      <c r="U657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7" s="21">
        <f>HYPERLINK("https://dart.fss.or.kr/dsaf001/main.do?rcpNo=20250814004110", "공시열람")</f>
        <v/>
      </c>
    </row>
    <row r="658">
      <c r="A658" s="5" t="inlineStr">
        <is>
          <t>에스트래픽</t>
        </is>
      </c>
      <c r="B658" s="6" t="inlineStr">
        <is>
          <t>234300</t>
        </is>
      </c>
      <c r="C658" s="6" t="inlineStr">
        <is>
          <t>2026Q2</t>
        </is>
      </c>
      <c r="D658" s="6" t="inlineStr">
        <is>
          <t>20260814</t>
        </is>
      </c>
      <c r="E658" s="16" t="inlineStr"/>
      <c r="F658" s="16" t="inlineStr"/>
      <c r="G658" s="16" t="n">
        <v>128705328</v>
      </c>
      <c r="H658" s="6" t="inlineStr">
        <is>
          <t>천원</t>
        </is>
      </c>
      <c r="I658" s="17" t="n">
        <v>-8.6</v>
      </c>
      <c r="J658" s="18" t="n">
        <v>196436449</v>
      </c>
      <c r="K658" s="19" t="n">
        <v>189955989</v>
      </c>
      <c r="L658" s="18" t="n">
        <v>179948385</v>
      </c>
      <c r="M658" s="19" t="n">
        <v>188290977</v>
      </c>
      <c r="N658" s="18" t="n">
        <v>152526910</v>
      </c>
      <c r="O658" s="19" t="n">
        <v>156402850</v>
      </c>
      <c r="P658" s="18" t="n">
        <v>145064228</v>
      </c>
      <c r="Q658" s="19" t="n">
        <v>139618090</v>
      </c>
      <c r="R658" s="18" t="n">
        <v>140798815</v>
      </c>
      <c r="S658" s="20" t="n">
        <v>128705328</v>
      </c>
      <c r="T658" s="6" t="n">
        <v>2</v>
      </c>
      <c r="U658" s="5" t="inlineStr">
        <is>
          <t>철도 | 도로</t>
        </is>
      </c>
      <c r="V658" s="21">
        <f>HYPERLINK("https://dart.fss.or.kr/dsaf001/main.do?rcpNo=20260814003282", "공시열람")</f>
        <v/>
      </c>
    </row>
    <row r="659">
      <c r="A659" s="5" t="inlineStr">
        <is>
          <t>자이글</t>
        </is>
      </c>
      <c r="B659" s="6" t="inlineStr">
        <is>
          <t>234920</t>
        </is>
      </c>
      <c r="C659" s="6" t="inlineStr">
        <is>
          <t>2025Q2</t>
        </is>
      </c>
      <c r="D659" s="6" t="inlineStr">
        <is>
          <t>20250814</t>
        </is>
      </c>
      <c r="E659" s="16" t="n">
        <v>2545</v>
      </c>
      <c r="F659" s="16" t="n">
        <v>862</v>
      </c>
      <c r="G659" s="16" t="n">
        <v>1683</v>
      </c>
      <c r="H659" s="6" t="inlineStr">
        <is>
          <t>EA,백만원</t>
        </is>
      </c>
      <c r="I659" s="17" t="n">
        <v>0</v>
      </c>
      <c r="J659" s="18" t="inlineStr"/>
      <c r="K659" s="19" t="inlineStr"/>
      <c r="L659" s="18" t="inlineStr"/>
      <c r="M659" s="19" t="n">
        <v>2057</v>
      </c>
      <c r="N659" s="18" t="n">
        <v>1683</v>
      </c>
      <c r="O659" s="19" t="n">
        <v>1683</v>
      </c>
      <c r="P659" s="18" t="inlineStr"/>
      <c r="Q659" s="19" t="inlineStr"/>
      <c r="R659" s="18" t="inlineStr"/>
      <c r="S659" s="20" t="inlineStr"/>
      <c r="T659" s="6" t="n">
        <v>1</v>
      </c>
      <c r="U659" s="5" t="inlineStr">
        <is>
          <t>고주파마사지기 외 / 2024.11.06 / 2025.</t>
        </is>
      </c>
      <c r="V659" s="21">
        <f>HYPERLINK("https://dart.fss.or.kr/dsaf001/main.do?rcpNo=20250814002203", "공시열람")</f>
        <v/>
      </c>
    </row>
    <row r="660">
      <c r="A660" s="5" t="inlineStr">
        <is>
          <t>에스티팜</t>
        </is>
      </c>
      <c r="B660" s="6" t="inlineStr">
        <is>
          <t>237690</t>
        </is>
      </c>
      <c r="C660" s="6" t="inlineStr">
        <is>
          <t>2026Q2</t>
        </is>
      </c>
      <c r="D660" s="6" t="inlineStr">
        <is>
          <t>20260814</t>
        </is>
      </c>
      <c r="E660" s="16" t="n">
        <v>765540</v>
      </c>
      <c r="F660" s="16" t="n">
        <v>490574</v>
      </c>
      <c r="G660" s="16" t="n">
        <v>274967</v>
      </c>
      <c r="H660" s="6" t="inlineStr">
        <is>
          <t>천USD,천CHF,백만KRW</t>
        </is>
      </c>
      <c r="I660" s="17" t="n">
        <v>-8.199999999999999</v>
      </c>
      <c r="J660" s="18" t="n">
        <v>142129</v>
      </c>
      <c r="K660" s="19" t="n">
        <v>144305</v>
      </c>
      <c r="L660" s="18" t="n">
        <v>205983</v>
      </c>
      <c r="M660" s="19" t="n">
        <v>212587</v>
      </c>
      <c r="N660" s="18" t="n">
        <v>229059</v>
      </c>
      <c r="O660" s="19" t="n">
        <v>255542</v>
      </c>
      <c r="P660" s="18" t="n">
        <v>224306</v>
      </c>
      <c r="Q660" s="19" t="n">
        <v>192994</v>
      </c>
      <c r="R660" s="18" t="n">
        <v>299658</v>
      </c>
      <c r="S660" s="20" t="n">
        <v>274967</v>
      </c>
      <c r="T660" s="6" t="n">
        <v>80</v>
      </c>
      <c r="U660" s="5" t="inlineStr">
        <is>
          <t>올리고핵산치료제 신약 원료의약품(Oligonucleot | 올리고핵산치료제 신약 원료의약품(Oligonucleot | 저분자 화학합성 신약원료 의약품</t>
        </is>
      </c>
      <c r="V660" s="21">
        <f>HYPERLINK("https://dart.fss.or.kr/dsaf001/main.do?rcpNo=20260814003399", "공시열람")</f>
        <v/>
      </c>
    </row>
    <row r="661">
      <c r="A661" s="5" t="inlineStr">
        <is>
          <t>피앤씨테크</t>
        </is>
      </c>
      <c r="B661" s="6" t="inlineStr">
        <is>
          <t>237750</t>
        </is>
      </c>
      <c r="C661" s="6" t="inlineStr">
        <is>
          <t>2026Q2</t>
        </is>
      </c>
      <c r="D661" s="6" t="inlineStr">
        <is>
          <t>20260814</t>
        </is>
      </c>
      <c r="E661" s="16" t="n">
        <v>2956</v>
      </c>
      <c r="F661" s="16" t="n">
        <v>754</v>
      </c>
      <c r="G661" s="16" t="n">
        <v>2201</v>
      </c>
      <c r="H661" s="6" t="inlineStr">
        <is>
          <t>백만원</t>
        </is>
      </c>
      <c r="I661" s="17" t="n">
        <v>206.5</v>
      </c>
      <c r="J661" s="18" t="n">
        <v>0</v>
      </c>
      <c r="K661" s="19" t="n">
        <v>0</v>
      </c>
      <c r="L661" s="18" t="n">
        <v>0</v>
      </c>
      <c r="M661" s="19" t="n">
        <v>0</v>
      </c>
      <c r="N661" s="18" t="n">
        <v>1375</v>
      </c>
      <c r="O661" s="19" t="n">
        <v>1375</v>
      </c>
      <c r="P661" s="18" t="n">
        <v>719</v>
      </c>
      <c r="Q661" s="19" t="n">
        <v>718</v>
      </c>
      <c r="R661" s="18" t="n">
        <v>718</v>
      </c>
      <c r="S661" s="20" t="n">
        <v>2201</v>
      </c>
      <c r="T661" s="6" t="n">
        <v>6</v>
      </c>
      <c r="U661" s="5" t="inlineStr">
        <is>
          <t>SYSTEM / 2026.06.30 / 2026.10. | SYSTEM / 2025.02.28 / 2027.01. | SYSTEM / 2025.08.28 / 2026.11.</t>
        </is>
      </c>
      <c r="V661" s="21">
        <f>HYPERLINK("https://dart.fss.or.kr/dsaf001/main.do?rcpNo=20260814003816", "공시열람")</f>
        <v/>
      </c>
    </row>
    <row r="662">
      <c r="A662" s="5" t="inlineStr">
        <is>
          <t>힘스</t>
        </is>
      </c>
      <c r="B662" s="6" t="inlineStr">
        <is>
          <t>238490</t>
        </is>
      </c>
      <c r="C662" s="6" t="inlineStr">
        <is>
          <t>2026Q2</t>
        </is>
      </c>
      <c r="D662" s="6" t="inlineStr">
        <is>
          <t>20260813</t>
        </is>
      </c>
      <c r="E662" s="16" t="n">
        <v>36756</v>
      </c>
      <c r="F662" s="16" t="n">
        <v>0</v>
      </c>
      <c r="G662" s="16" t="n">
        <v>36756</v>
      </c>
      <c r="H662" s="6" t="inlineStr">
        <is>
          <t>EA,백만원</t>
        </is>
      </c>
      <c r="I662" s="17" t="n">
        <v>-15</v>
      </c>
      <c r="J662" s="18" t="n">
        <v>140</v>
      </c>
      <c r="K662" s="19" t="n">
        <v>281895</v>
      </c>
      <c r="L662" s="18" t="n">
        <v>123</v>
      </c>
      <c r="M662" s="19" t="n">
        <v>25588</v>
      </c>
      <c r="N662" s="18" t="n">
        <v>47854</v>
      </c>
      <c r="O662" s="19" t="n">
        <v>36147</v>
      </c>
      <c r="P662" s="18" t="n">
        <v>32055</v>
      </c>
      <c r="Q662" s="19" t="n">
        <v>40120</v>
      </c>
      <c r="R662" s="18" t="n">
        <v>43227</v>
      </c>
      <c r="S662" s="20" t="n">
        <v>36756</v>
      </c>
      <c r="T662" s="6" t="n">
        <v>4</v>
      </c>
      <c r="U662" s="5" t="inlineStr">
        <is>
          <t>OLED장비 / ~25.12.03 / ~27.01.31 | NON-OLED장비 / ~26.02.26 / ~26.0 | 상품 및 기타 / ~23.05.08 / ~26.12.3</t>
        </is>
      </c>
      <c r="V662" s="21">
        <f>HYPERLINK("https://dart.fss.or.kr/dsaf001/main.do?rcpNo=20260813001330", "공시열람")</f>
        <v/>
      </c>
    </row>
    <row r="663">
      <c r="A663" s="5" t="inlineStr">
        <is>
          <t>유진테크놀로지</t>
        </is>
      </c>
      <c r="B663" s="6" t="inlineStr">
        <is>
          <t>240600</t>
        </is>
      </c>
      <c r="C663" s="6" t="inlineStr">
        <is>
          <t>2026Q1</t>
        </is>
      </c>
      <c r="D663" s="6" t="inlineStr">
        <is>
          <t>20260515</t>
        </is>
      </c>
      <c r="E663" s="16" t="n">
        <v>10764</v>
      </c>
      <c r="F663" s="16" t="n">
        <v>5844</v>
      </c>
      <c r="G663" s="16" t="n">
        <v>4830</v>
      </c>
      <c r="H663" s="6" t="inlineStr">
        <is>
          <t>백만원</t>
        </is>
      </c>
      <c r="I663" s="17" t="n">
        <v>-34.3</v>
      </c>
      <c r="J663" s="18" t="n">
        <v>7494</v>
      </c>
      <c r="K663" s="19" t="n">
        <v>22164</v>
      </c>
      <c r="L663" s="18" t="n">
        <v>7703</v>
      </c>
      <c r="M663" s="19" t="n">
        <v>1735</v>
      </c>
      <c r="N663" s="18" t="n">
        <v>1597</v>
      </c>
      <c r="O663" s="19" t="n">
        <v>1357</v>
      </c>
      <c r="P663" s="18" t="n">
        <v>6604</v>
      </c>
      <c r="Q663" s="19" t="n">
        <v>7353</v>
      </c>
      <c r="R663" s="18" t="n">
        <v>4830</v>
      </c>
      <c r="S663" s="20" t="inlineStr"/>
      <c r="T663" s="6" t="n">
        <v>3</v>
      </c>
      <c r="U663" s="5" t="inlineStr">
        <is>
          <t xml:space="preserve">정밀금형 / 2026년 2월 28일 이전 / 2026년 | 정밀기계부품 / 2026년 2월 28일 이전 / 202 | 리드탭 / 2026년 2월 28일 이전 / 2026년 </t>
        </is>
      </c>
      <c r="V663" s="21">
        <f>HYPERLINK("https://dart.fss.or.kr/dsaf001/main.do?rcpNo=20260515001575", "공시열람")</f>
        <v/>
      </c>
    </row>
    <row r="664">
      <c r="A664" s="5" t="inlineStr">
        <is>
          <t>원익IPS</t>
        </is>
      </c>
      <c r="B664" s="6" t="inlineStr">
        <is>
          <t>240810</t>
        </is>
      </c>
      <c r="C664" s="6" t="inlineStr">
        <is>
          <t>2026Q2</t>
        </is>
      </c>
      <c r="D664" s="6" t="inlineStr">
        <is>
          <t>20260814</t>
        </is>
      </c>
      <c r="E664" s="16" t="n">
        <v>1197393</v>
      </c>
      <c r="F664" s="16" t="n">
        <v>562803</v>
      </c>
      <c r="G664" s="16" t="n">
        <v>634590</v>
      </c>
      <c r="H664" s="6" t="inlineStr">
        <is>
          <t>백만원</t>
        </is>
      </c>
      <c r="I664" s="17" t="n">
        <v>58.5</v>
      </c>
      <c r="J664" s="18" t="n">
        <v>231645</v>
      </c>
      <c r="K664" s="19" t="n">
        <v>160431</v>
      </c>
      <c r="L664" s="18" t="n">
        <v>105167</v>
      </c>
      <c r="M664" s="19" t="n">
        <v>287864</v>
      </c>
      <c r="N664" s="18" t="n">
        <v>260680</v>
      </c>
      <c r="O664" s="19" t="n">
        <v>197749</v>
      </c>
      <c r="P664" s="18" t="n">
        <v>209252</v>
      </c>
      <c r="Q664" s="19" t="n">
        <v>298229</v>
      </c>
      <c r="R664" s="18" t="n">
        <v>400388</v>
      </c>
      <c r="S664" s="20" t="n">
        <v>634590</v>
      </c>
      <c r="T664" s="6" t="n">
        <v>1</v>
      </c>
      <c r="U664" s="5" t="inlineStr">
        <is>
          <t>반도체/Display 장비 / 2026년 반기 / -</t>
        </is>
      </c>
      <c r="V664" s="21">
        <f>HYPERLINK("https://dart.fss.or.kr/dsaf001/main.do?rcpNo=20260814001845", "공시열람")</f>
        <v/>
      </c>
    </row>
    <row r="665">
      <c r="A665" s="5" t="inlineStr">
        <is>
          <t>티이엠씨씨엔에스</t>
        </is>
      </c>
      <c r="B665" s="6" t="inlineStr">
        <is>
          <t>241790</t>
        </is>
      </c>
      <c r="C665" s="6" t="inlineStr">
        <is>
          <t>2026Q2</t>
        </is>
      </c>
      <c r="D665" s="6" t="inlineStr">
        <is>
          <t>20260814</t>
        </is>
      </c>
      <c r="E665" s="16" t="n">
        <v>413</v>
      </c>
      <c r="F665" s="16" t="n">
        <v>370</v>
      </c>
      <c r="G665" s="16" t="n">
        <v>1475</v>
      </c>
      <c r="H665" s="6" t="inlineStr">
        <is>
          <t>억</t>
        </is>
      </c>
      <c r="I665" s="17" t="n">
        <v>-8.5</v>
      </c>
      <c r="J665" s="18" t="n">
        <v>692</v>
      </c>
      <c r="K665" s="19" t="n">
        <v>623</v>
      </c>
      <c r="L665" s="18" t="n">
        <v>811</v>
      </c>
      <c r="M665" s="19" t="n">
        <v>766</v>
      </c>
      <c r="N665" s="18" t="n">
        <v>811</v>
      </c>
      <c r="O665" s="19" t="n">
        <v>580</v>
      </c>
      <c r="P665" s="18" t="n">
        <v>1271</v>
      </c>
      <c r="Q665" s="19" t="n">
        <v>1432</v>
      </c>
      <c r="R665" s="18" t="n">
        <v>1612</v>
      </c>
      <c r="S665" s="20" t="n">
        <v>1475</v>
      </c>
      <c r="T665" s="6" t="n">
        <v>1</v>
      </c>
      <c r="U665" s="5" t="inlineStr">
        <is>
          <t>장비 / 2026년</t>
        </is>
      </c>
      <c r="V665" s="21">
        <f>HYPERLINK("https://dart.fss.or.kr/dsaf001/main.do?rcpNo=20260814000992", "공시열람")</f>
        <v/>
      </c>
    </row>
    <row r="666">
      <c r="A666" s="5" t="inlineStr">
        <is>
          <t>아이티센코어</t>
        </is>
      </c>
      <c r="B666" s="6" t="inlineStr">
        <is>
          <t>243870</t>
        </is>
      </c>
      <c r="C666" s="6" t="inlineStr">
        <is>
          <t>2025Q4</t>
        </is>
      </c>
      <c r="D666" s="6" t="inlineStr">
        <is>
          <t>20260318</t>
        </is>
      </c>
      <c r="E666" s="16" t="n">
        <v>10558824</v>
      </c>
      <c r="F666" s="16" t="n">
        <v>9793315</v>
      </c>
      <c r="G666" s="16" t="n">
        <v>765509</v>
      </c>
      <c r="H666" s="6" t="inlineStr">
        <is>
          <t>천원</t>
        </is>
      </c>
      <c r="I666" s="17" t="inlineStr"/>
      <c r="J666" s="18" t="inlineStr"/>
      <c r="K666" s="19" t="inlineStr"/>
      <c r="L666" s="18" t="inlineStr"/>
      <c r="M666" s="19" t="n">
        <v>0</v>
      </c>
      <c r="N666" s="18" t="inlineStr"/>
      <c r="O666" s="19" t="inlineStr"/>
      <c r="P666" s="18" t="inlineStr"/>
      <c r="Q666" s="19" t="n">
        <v>765509</v>
      </c>
      <c r="R666" s="18" t="inlineStr"/>
      <c r="S666" s="20" t="inlineStr"/>
      <c r="T666" s="6" t="n">
        <v>5</v>
      </c>
      <c r="U666" s="5" t="inlineStr">
        <is>
          <t>건설계약 / 2025-09-15 / 2026-07-14 | 용역서비스 / 2025-01-01 / 2025-12-3 | 용역서비스 / 2025-01-01 / 2025-12-3</t>
        </is>
      </c>
      <c r="V666" s="21">
        <f>HYPERLINK("https://dart.fss.or.kr/dsaf001/main.do?rcpNo=20260318001360", "공시열람")</f>
        <v/>
      </c>
    </row>
    <row r="667">
      <c r="A667" s="5" t="inlineStr">
        <is>
          <t>나눔테크</t>
        </is>
      </c>
      <c r="B667" s="6" t="inlineStr">
        <is>
          <t>244880</t>
        </is>
      </c>
      <c r="C667" s="6" t="inlineStr">
        <is>
          <t>2024Q4</t>
        </is>
      </c>
      <c r="D667" s="6" t="inlineStr">
        <is>
          <t>20250321</t>
        </is>
      </c>
      <c r="E667" s="16" t="n">
        <v>120230</v>
      </c>
      <c r="F667" s="16" t="inlineStr"/>
      <c r="G667" s="16" t="n">
        <v>120230</v>
      </c>
      <c r="H667" s="6" t="inlineStr">
        <is>
          <t>천원</t>
        </is>
      </c>
      <c r="I667" s="17" t="n">
        <v>-7.1</v>
      </c>
      <c r="J667" s="18" t="inlineStr"/>
      <c r="K667" s="19" t="inlineStr"/>
      <c r="L667" s="18" t="inlineStr"/>
      <c r="M667" s="19" t="n">
        <v>120230</v>
      </c>
      <c r="N667" s="18" t="inlineStr"/>
      <c r="O667" s="19" t="inlineStr"/>
      <c r="P667" s="18" t="inlineStr"/>
      <c r="Q667" s="19" t="inlineStr"/>
      <c r="R667" s="18" t="inlineStr"/>
      <c r="S667" s="20" t="inlineStr"/>
      <c r="T667" s="6" t="n">
        <v>6</v>
      </c>
      <c r="U667" s="5" t="inlineStr">
        <is>
          <t>AED 외 / 2025-03-17 / 2025-03-2 | AED 외 / 2025-03-14 / 2025-03-2 | AED 외 / 2025-03-11 / 2025-03-2</t>
        </is>
      </c>
      <c r="V667" s="21">
        <f>HYPERLINK("https://dart.fss.or.kr/dsaf001/main.do?rcpNo=20250321000468", "공시열람")</f>
        <v/>
      </c>
    </row>
    <row r="668">
      <c r="A668" s="5" t="inlineStr">
        <is>
          <t>아스타</t>
        </is>
      </c>
      <c r="B668" s="6" t="inlineStr">
        <is>
          <t>246720</t>
        </is>
      </c>
      <c r="C668" s="6" t="inlineStr">
        <is>
          <t>2026Q1</t>
        </is>
      </c>
      <c r="D668" s="6" t="inlineStr">
        <is>
          <t>20260515</t>
        </is>
      </c>
      <c r="E668" s="16" t="n">
        <v>841669</v>
      </c>
      <c r="F668" s="16" t="inlineStr"/>
      <c r="G668" s="16" t="n">
        <v>841669</v>
      </c>
      <c r="H668" s="6" t="inlineStr">
        <is>
          <t>천원</t>
        </is>
      </c>
      <c r="I668" s="17" t="inlineStr"/>
      <c r="J668" s="18" t="inlineStr"/>
      <c r="K668" s="19" t="inlineStr"/>
      <c r="L668" s="18" t="inlineStr"/>
      <c r="M668" s="19" t="inlineStr"/>
      <c r="N668" s="18" t="inlineStr"/>
      <c r="O668" s="19" t="inlineStr"/>
      <c r="P668" s="18" t="inlineStr"/>
      <c r="Q668" s="19" t="inlineStr"/>
      <c r="R668" s="18" t="n">
        <v>841669</v>
      </c>
      <c r="S668" s="20" t="inlineStr"/>
      <c r="T668" s="6" t="n">
        <v>2</v>
      </c>
      <c r="U668" s="5" t="inlineStr">
        <is>
          <t>질량분석기(MALDI-MS) / 2026-03-20 / | 질량분석기(MALDI-MS) / 2026-04-21 /</t>
        </is>
      </c>
      <c r="V668" s="21">
        <f>HYPERLINK("https://dart.fss.or.kr/dsaf001/main.do?rcpNo=20260515000309", "공시열람")</f>
        <v/>
      </c>
    </row>
    <row r="669">
      <c r="A669" s="5" t="inlineStr">
        <is>
          <t>모비스</t>
        </is>
      </c>
      <c r="B669" s="6" t="inlineStr">
        <is>
          <t>250060</t>
        </is>
      </c>
      <c r="C669" s="6" t="inlineStr">
        <is>
          <t>2026Q2</t>
        </is>
      </c>
      <c r="D669" s="6" t="inlineStr">
        <is>
          <t>20260813</t>
        </is>
      </c>
      <c r="E669" s="16" t="inlineStr"/>
      <c r="F669" s="16" t="inlineStr"/>
      <c r="G669" s="16" t="n">
        <v>7208059797</v>
      </c>
      <c r="H669" s="6" t="inlineStr">
        <is>
          <t>원</t>
        </is>
      </c>
      <c r="I669" s="17" t="n">
        <v>119601.8</v>
      </c>
      <c r="J669" s="18" t="n">
        <v>25561508</v>
      </c>
      <c r="K669" s="19" t="n">
        <v>6974162</v>
      </c>
      <c r="L669" s="18" t="n">
        <v>7861922</v>
      </c>
      <c r="M669" s="19" t="n">
        <v>6232958</v>
      </c>
      <c r="N669" s="18" t="n">
        <v>6634185</v>
      </c>
      <c r="O669" s="19" t="n">
        <v>5528206</v>
      </c>
      <c r="P669" s="18" t="n">
        <v>4953188</v>
      </c>
      <c r="Q669" s="19" t="n">
        <v>4357048</v>
      </c>
      <c r="R669" s="18" t="n">
        <v>6021678</v>
      </c>
      <c r="S669" s="20" t="n">
        <v>7208059797</v>
      </c>
      <c r="T669" s="6" t="n">
        <v>2</v>
      </c>
      <c r="U669" s="5" t="inlineStr">
        <is>
          <t>기초과학 | 스마트팩토리</t>
        </is>
      </c>
      <c r="V669" s="21">
        <f>HYPERLINK("https://dart.fss.or.kr/dsaf001/main.do?rcpNo=20260813001010", "공시열람")</f>
        <v/>
      </c>
    </row>
    <row r="670">
      <c r="A670" s="5" t="inlineStr">
        <is>
          <t>브이원텍</t>
        </is>
      </c>
      <c r="B670" s="6" t="inlineStr">
        <is>
          <t>251630</t>
        </is>
      </c>
      <c r="C670" s="6" t="inlineStr">
        <is>
          <t>2026Q2</t>
        </is>
      </c>
      <c r="D670" s="6" t="inlineStr">
        <is>
          <t>20260814</t>
        </is>
      </c>
      <c r="E670" s="16" t="n">
        <v>77643</v>
      </c>
      <c r="F670" s="16" t="n">
        <v>31955</v>
      </c>
      <c r="G670" s="16" t="n">
        <v>45688</v>
      </c>
      <c r="H670" s="6" t="inlineStr">
        <is>
          <t>백만원</t>
        </is>
      </c>
      <c r="I670" s="17" t="n">
        <v>-8.4</v>
      </c>
      <c r="J670" s="18" t="n">
        <v>60624</v>
      </c>
      <c r="K670" s="19" t="n">
        <v>62575</v>
      </c>
      <c r="L670" s="18" t="n">
        <v>54780</v>
      </c>
      <c r="M670" s="19" t="n">
        <v>45967</v>
      </c>
      <c r="N670" s="18" t="n">
        <v>47878</v>
      </c>
      <c r="O670" s="19" t="n">
        <v>50180</v>
      </c>
      <c r="P670" s="18" t="n">
        <v>75011</v>
      </c>
      <c r="Q670" s="19" t="n">
        <v>56953</v>
      </c>
      <c r="R670" s="18" t="n">
        <v>49900</v>
      </c>
      <c r="S670" s="20" t="n">
        <v>45688</v>
      </c>
      <c r="T670" s="6" t="n">
        <v>3</v>
      </c>
      <c r="U670" s="5" t="inlineStr">
        <is>
          <t>2차전지 검사시스템 / - | 로보틱스/운반기계 / - | LCD/OLED 압흔검사기 / -</t>
        </is>
      </c>
      <c r="V670" s="21">
        <f>HYPERLINK("https://dart.fss.or.kr/dsaf001/main.do?rcpNo=20260814002781", "공시열람")</f>
        <v/>
      </c>
    </row>
    <row r="671">
      <c r="A671" s="5" t="inlineStr">
        <is>
          <t>253590</t>
        </is>
      </c>
      <c r="B671" s="6" t="inlineStr">
        <is>
          <t>253590</t>
        </is>
      </c>
      <c r="C671" s="6" t="inlineStr">
        <is>
          <t>2026Q2</t>
        </is>
      </c>
      <c r="D671" s="6" t="inlineStr">
        <is>
          <t>20260814</t>
        </is>
      </c>
      <c r="E671" s="16" t="n">
        <v>28463</v>
      </c>
      <c r="F671" s="16" t="n">
        <v>2203</v>
      </c>
      <c r="G671" s="16" t="n">
        <v>26260</v>
      </c>
      <c r="H671" s="6" t="inlineStr">
        <is>
          <t>K$,백만원</t>
        </is>
      </c>
      <c r="I671" s="17" t="n">
        <v>-1.7</v>
      </c>
      <c r="J671" s="18" t="n">
        <v>12761</v>
      </c>
      <c r="K671" s="19" t="n">
        <v>16315</v>
      </c>
      <c r="L671" s="18" t="n">
        <v>10598</v>
      </c>
      <c r="M671" s="19" t="n">
        <v>2573</v>
      </c>
      <c r="N671" s="18" t="n">
        <v>1518</v>
      </c>
      <c r="O671" s="19" t="n">
        <v>1315</v>
      </c>
      <c r="P671" s="18" t="inlineStr"/>
      <c r="Q671" s="19" t="n">
        <v>14152</v>
      </c>
      <c r="R671" s="18" t="n">
        <v>26712</v>
      </c>
      <c r="S671" s="20" t="n">
        <v>26260</v>
      </c>
      <c r="T671" s="6" t="n">
        <v>7</v>
      </c>
      <c r="U671" s="5" t="inlineStr">
        <is>
          <t>반도체 검사장비 외 / 2026-05-27 / 2026 | CLT Interface Board / 2026-05- | 반도체 검사장비 외 / 2026-05-06 / 2026</t>
        </is>
      </c>
      <c r="V671" s="21">
        <f>HYPERLINK("https://dart.fss.or.kr/dsaf001/main.do?rcpNo=20260814000817", "공시열람")</f>
        <v/>
      </c>
    </row>
    <row r="672">
      <c r="A672" s="5" t="inlineStr">
        <is>
          <t>자비스</t>
        </is>
      </c>
      <c r="B672" s="6" t="inlineStr">
        <is>
          <t>254120</t>
        </is>
      </c>
      <c r="C672" s="6" t="inlineStr">
        <is>
          <t>2026Q1</t>
        </is>
      </c>
      <c r="D672" s="6" t="inlineStr">
        <is>
          <t>20260514</t>
        </is>
      </c>
      <c r="E672" s="16" t="n">
        <v>3446854647</v>
      </c>
      <c r="F672" s="16" t="n">
        <v>3773390717</v>
      </c>
      <c r="G672" s="16" t="n">
        <v>15381628821</v>
      </c>
      <c r="H672" s="6" t="inlineStr">
        <is>
          <t>원</t>
        </is>
      </c>
      <c r="I672" s="17" t="n">
        <v>-2.1</v>
      </c>
      <c r="J672" s="18" t="n">
        <v>18127996948</v>
      </c>
      <c r="K672" s="19" t="n">
        <v>8191279519</v>
      </c>
      <c r="L672" s="18" t="n">
        <v>7224578397</v>
      </c>
      <c r="M672" s="19" t="n">
        <v>7657082097</v>
      </c>
      <c r="N672" s="18" t="n">
        <v>17189492624</v>
      </c>
      <c r="O672" s="19" t="n">
        <v>15585271210</v>
      </c>
      <c r="P672" s="18" t="n">
        <v>15735178060</v>
      </c>
      <c r="Q672" s="19" t="n">
        <v>15708789085</v>
      </c>
      <c r="R672" s="18" t="n">
        <v>15381628821</v>
      </c>
      <c r="S672" s="20" t="inlineStr"/>
      <c r="T672" s="6" t="n">
        <v>2</v>
      </c>
      <c r="U672" s="5" t="inlineStr">
        <is>
          <t xml:space="preserve">XSCAN / 2026.01.01~2026.03.31  | FSCAN / 2026.01.01~2026.03.31 </t>
        </is>
      </c>
      <c r="V672" s="21">
        <f>HYPERLINK("https://dart.fss.or.kr/dsaf001/main.do?rcpNo=20260514001372", "공시열람")</f>
        <v/>
      </c>
    </row>
    <row r="673">
      <c r="A673" s="5" t="inlineStr">
        <is>
          <t>254160</t>
        </is>
      </c>
      <c r="B673" s="6" t="inlineStr">
        <is>
          <t>254160</t>
        </is>
      </c>
      <c r="C673" s="6" t="inlineStr">
        <is>
          <t>2025Q4</t>
        </is>
      </c>
      <c r="D673" s="6" t="inlineStr">
        <is>
          <t>20260429</t>
        </is>
      </c>
      <c r="E673" s="16" t="n">
        <v>45950</v>
      </c>
      <c r="F673" s="16" t="n">
        <v>23741</v>
      </c>
      <c r="G673" s="16" t="n">
        <v>22209</v>
      </c>
      <c r="H673" s="6" t="inlineStr">
        <is>
          <t>건,백만원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n">
        <v>22209</v>
      </c>
      <c r="R673" s="18" t="inlineStr"/>
      <c r="S673" s="20" t="inlineStr"/>
      <c r="T673" s="6" t="n">
        <v>3</v>
      </c>
      <c r="U673" s="5" t="inlineStr">
        <is>
          <t>데크로드시스템 / (주)피플로드 / 2025.01.01 | 데크로드시스템 / (주)알티스멀티 / 2025.01.0 | 데크로드시스템 / (주)제이엠멀티 / 2025.01.0</t>
        </is>
      </c>
      <c r="V673" s="21">
        <f>HYPERLINK("https://dart.fss.or.kr/dsaf001/main.do?rcpNo=20260429000588", "공시열람")</f>
        <v/>
      </c>
    </row>
    <row r="674">
      <c r="A674" s="5" t="inlineStr">
        <is>
          <t>야스</t>
        </is>
      </c>
      <c r="B674" s="6" t="inlineStr">
        <is>
          <t>255440</t>
        </is>
      </c>
      <c r="C674" s="6" t="inlineStr">
        <is>
          <t>2026Q2</t>
        </is>
      </c>
      <c r="D674" s="6" t="inlineStr">
        <is>
          <t>20260814</t>
        </is>
      </c>
      <c r="E674" s="16" t="n">
        <v>26026113</v>
      </c>
      <c r="F674" s="16" t="inlineStr"/>
      <c r="G674" s="16" t="n">
        <v>14894831</v>
      </c>
      <c r="H674" s="6" t="inlineStr">
        <is>
          <t>천원</t>
        </is>
      </c>
      <c r="I674" s="17" t="n">
        <v>290247.6</v>
      </c>
      <c r="J674" s="18" t="n">
        <v>6849</v>
      </c>
      <c r="K674" s="19" t="n">
        <v>6571</v>
      </c>
      <c r="L674" s="18" t="n">
        <v>4187</v>
      </c>
      <c r="M674" s="19" t="n">
        <v>3863</v>
      </c>
      <c r="N674" s="18" t="n">
        <v>3490</v>
      </c>
      <c r="O674" s="19" t="n">
        <v>9046</v>
      </c>
      <c r="P674" s="18" t="n">
        <v>5130</v>
      </c>
      <c r="Q674" s="19" t="inlineStr"/>
      <c r="R674" s="18" t="inlineStr"/>
      <c r="S674" s="20" t="n">
        <v>14894831</v>
      </c>
      <c r="T674" s="6" t="n">
        <v>1</v>
      </c>
      <c r="U674" s="5" t="inlineStr">
        <is>
          <t>증착시스템 및 증발원 등</t>
        </is>
      </c>
      <c r="V674" s="21">
        <f>HYPERLINK("https://dart.fss.or.kr/dsaf001/main.do?rcpNo=20260814001714", "공시열람")</f>
        <v/>
      </c>
    </row>
    <row r="675">
      <c r="A675" s="5" t="inlineStr">
        <is>
          <t>한국비엔씨</t>
        </is>
      </c>
      <c r="B675" s="6" t="inlineStr">
        <is>
          <t>256840</t>
        </is>
      </c>
      <c r="C675" s="6" t="inlineStr">
        <is>
          <t>2026Q2</t>
        </is>
      </c>
      <c r="D675" s="6" t="inlineStr">
        <is>
          <t>20260814</t>
        </is>
      </c>
      <c r="E675" s="16" t="n">
        <v>10154025</v>
      </c>
      <c r="F675" s="16" t="n">
        <v>10154025</v>
      </c>
      <c r="G675" s="16" t="n">
        <v>0</v>
      </c>
      <c r="H675" s="6" t="inlineStr">
        <is>
          <t>천개,천원</t>
        </is>
      </c>
      <c r="I675" s="17" t="n">
        <v>-100</v>
      </c>
      <c r="J675" s="18" t="n">
        <v>9191310</v>
      </c>
      <c r="K675" s="19" t="n">
        <v>8557412</v>
      </c>
      <c r="L675" s="18" t="n">
        <v>7648468</v>
      </c>
      <c r="M675" s="19" t="n">
        <v>6057684</v>
      </c>
      <c r="N675" s="18" t="n">
        <v>5531430</v>
      </c>
      <c r="O675" s="19" t="n">
        <v>3972414</v>
      </c>
      <c r="P675" s="18" t="n">
        <v>3444900</v>
      </c>
      <c r="Q675" s="19" t="n">
        <v>2038169</v>
      </c>
      <c r="R675" s="18" t="n">
        <v>429256</v>
      </c>
      <c r="S675" s="20" t="n">
        <v>0</v>
      </c>
      <c r="T675" s="6" t="n">
        <v>1</v>
      </c>
      <c r="U675" s="5" t="inlineStr">
        <is>
          <t>메조테라피 등 6개품목 / 2024.01.01 / 20</t>
        </is>
      </c>
      <c r="V675" s="21">
        <f>HYPERLINK("https://dart.fss.or.kr/dsaf001/main.do?rcpNo=20260814004180", "공시열람")</f>
        <v/>
      </c>
    </row>
    <row r="676">
      <c r="A676" s="5" t="inlineStr">
        <is>
          <t>킵스파마</t>
        </is>
      </c>
      <c r="B676" s="6" t="inlineStr">
        <is>
          <t>256940</t>
        </is>
      </c>
      <c r="C676" s="6" t="inlineStr">
        <is>
          <t>2025Q1</t>
        </is>
      </c>
      <c r="D676" s="6" t="inlineStr">
        <is>
          <t>20250515</t>
        </is>
      </c>
      <c r="E676" s="16" t="n">
        <v>51890</v>
      </c>
      <c r="F676" s="16" t="n">
        <v>54140</v>
      </c>
      <c r="G676" s="16" t="n">
        <v>1151</v>
      </c>
      <c r="H676" s="6" t="inlineStr">
        <is>
          <t>백만원</t>
        </is>
      </c>
      <c r="I676" s="17" t="n">
        <v>-0.3</v>
      </c>
      <c r="J676" s="18" t="n">
        <v>3983</v>
      </c>
      <c r="K676" s="19" t="n">
        <v>3983</v>
      </c>
      <c r="L676" s="18" t="n">
        <v>1038</v>
      </c>
      <c r="M676" s="19" t="n">
        <v>1154</v>
      </c>
      <c r="N676" s="18" t="n">
        <v>1151</v>
      </c>
      <c r="O676" s="19" t="inlineStr"/>
      <c r="P676" s="18" t="inlineStr"/>
      <c r="Q676" s="19" t="inlineStr"/>
      <c r="R676" s="18" t="inlineStr"/>
      <c r="S676" s="20" t="inlineStr"/>
      <c r="T676" s="6" t="n">
        <v>4</v>
      </c>
      <c r="U676" s="5" t="inlineStr">
        <is>
          <t>OLED 장비 / 2023년 | OLED 장비 / 2016년 / 2017년 | OLED 장비 / 2024년</t>
        </is>
      </c>
      <c r="V676" s="21">
        <f>HYPERLINK("https://dart.fss.or.kr/dsaf001/main.do?rcpNo=20250515002869", "공시열람")</f>
        <v/>
      </c>
    </row>
    <row r="677">
      <c r="A677" s="5" t="inlineStr">
        <is>
          <t>피엔티엠에스</t>
        </is>
      </c>
      <c r="B677" s="6" t="inlineStr">
        <is>
          <t>257370</t>
        </is>
      </c>
      <c r="C677" s="6" t="inlineStr">
        <is>
          <t>2026Q2</t>
        </is>
      </c>
      <c r="D677" s="6" t="inlineStr">
        <is>
          <t>20260812</t>
        </is>
      </c>
      <c r="E677" s="16" t="n">
        <v>29172</v>
      </c>
      <c r="F677" s="16" t="n">
        <v>6383</v>
      </c>
      <c r="G677" s="16" t="n">
        <v>22789</v>
      </c>
      <c r="H677" s="6" t="inlineStr">
        <is>
          <t>백만원</t>
        </is>
      </c>
      <c r="I677" s="17" t="n">
        <v>-21.9</v>
      </c>
      <c r="J677" s="18" t="n">
        <v>38920</v>
      </c>
      <c r="K677" s="19" t="n">
        <v>41984</v>
      </c>
      <c r="L677" s="18" t="n">
        <v>36550</v>
      </c>
      <c r="M677" s="19" t="n">
        <v>34600</v>
      </c>
      <c r="N677" s="18" t="n">
        <v>30500</v>
      </c>
      <c r="O677" s="19" t="n">
        <v>27000</v>
      </c>
      <c r="P677" s="18" t="n">
        <v>27000</v>
      </c>
      <c r="Q677" s="19" t="n">
        <v>27000</v>
      </c>
      <c r="R677" s="18" t="n">
        <v>29172</v>
      </c>
      <c r="S677" s="20" t="n">
        <v>22789</v>
      </c>
      <c r="T677" s="6" t="n">
        <v>3</v>
      </c>
      <c r="U677" s="5" t="inlineStr">
        <is>
          <t>SEPARATOR FILM LINE 설비(제작, 설치) | Tentar Cure Machine 제작_1SET /  | HP 03/04 Line Swelling 추출조 건조조</t>
        </is>
      </c>
      <c r="V677" s="21">
        <f>HYPERLINK("https://dart.fss.or.kr/dsaf001/main.do?rcpNo=20260812000533", "공시열람")</f>
        <v/>
      </c>
    </row>
    <row r="678">
      <c r="A678" s="5" t="inlineStr">
        <is>
          <t>테크트랜스</t>
        </is>
      </c>
      <c r="B678" s="6" t="inlineStr">
        <is>
          <t>258050</t>
        </is>
      </c>
      <c r="C678" s="6" t="inlineStr">
        <is>
          <t>2023Q4</t>
        </is>
      </c>
      <c r="D678" s="6" t="inlineStr">
        <is>
          <t>20240320</t>
        </is>
      </c>
      <c r="E678" s="16" t="n">
        <v>13000000000</v>
      </c>
      <c r="F678" s="16" t="n">
        <v>197810</v>
      </c>
      <c r="G678" s="16" t="n">
        <v>12802190</v>
      </c>
      <c r="H678" s="6" t="inlineStr"/>
      <c r="I678" s="17" t="inlineStr"/>
      <c r="J678" s="18" t="inlineStr"/>
      <c r="K678" s="19" t="inlineStr"/>
      <c r="L678" s="18" t="inlineStr"/>
      <c r="M678" s="19" t="inlineStr"/>
      <c r="N678" s="18" t="inlineStr"/>
      <c r="O678" s="19" t="inlineStr"/>
      <c r="P678" s="18" t="inlineStr"/>
      <c r="Q678" s="19" t="inlineStr"/>
      <c r="R678" s="18" t="inlineStr"/>
      <c r="S678" s="20" t="inlineStr"/>
      <c r="T678" s="6" t="n">
        <v>1</v>
      </c>
      <c r="U678" s="5" t="inlineStr">
        <is>
          <t>안마의자부품</t>
        </is>
      </c>
      <c r="V678" s="21">
        <f>HYPERLINK("https://dart.fss.or.kr/dsaf001/main.do?rcpNo=20240320000610", "공시열람")</f>
        <v/>
      </c>
    </row>
    <row r="679">
      <c r="A679" s="5" t="inlineStr">
        <is>
          <t>케일럼</t>
        </is>
      </c>
      <c r="B679" s="6" t="inlineStr">
        <is>
          <t>258610</t>
        </is>
      </c>
      <c r="C679" s="6" t="inlineStr">
        <is>
          <t>2026Q2</t>
        </is>
      </c>
      <c r="D679" s="6" t="inlineStr">
        <is>
          <t>20260814</t>
        </is>
      </c>
      <c r="E679" s="16" t="n">
        <v>302066</v>
      </c>
      <c r="F679" s="16" t="n">
        <v>139452</v>
      </c>
      <c r="G679" s="16" t="n">
        <v>162614</v>
      </c>
      <c r="H679" s="6" t="inlineStr">
        <is>
          <t>백만원</t>
        </is>
      </c>
      <c r="I679" s="17" t="n">
        <v>-3.9</v>
      </c>
      <c r="J679" s="18" t="n">
        <v>245607</v>
      </c>
      <c r="K679" s="19" t="n">
        <v>241091</v>
      </c>
      <c r="L679" s="18" t="n">
        <v>236443</v>
      </c>
      <c r="M679" s="19" t="n">
        <v>231564</v>
      </c>
      <c r="N679" s="18" t="n">
        <v>219019</v>
      </c>
      <c r="O679" s="19" t="n">
        <v>214777</v>
      </c>
      <c r="P679" s="18" t="n">
        <v>180785</v>
      </c>
      <c r="Q679" s="19" t="n">
        <v>175561</v>
      </c>
      <c r="R679" s="18" t="n">
        <v>169247</v>
      </c>
      <c r="S679" s="20" t="n">
        <v>162614</v>
      </c>
      <c r="T679" s="6" t="n">
        <v>12</v>
      </c>
      <c r="U679" s="5" t="inlineStr">
        <is>
          <t>MTU Seal 2차 / 2019년 / 2035년 | LM2500 LPT / 2015년 / 2030년 | LEAP 1B VANE 1단계 / 2022년 / 203</t>
        </is>
      </c>
      <c r="V679" s="21">
        <f>HYPERLINK("https://dart.fss.or.kr/dsaf001/main.do?rcpNo=20260814000985", "공시열람")</f>
        <v/>
      </c>
    </row>
    <row r="680">
      <c r="A680" s="5" t="inlineStr">
        <is>
          <t>엠플러스</t>
        </is>
      </c>
      <c r="B680" s="6" t="inlineStr">
        <is>
          <t>259630</t>
        </is>
      </c>
      <c r="C680" s="6" t="inlineStr">
        <is>
          <t>2026Q2</t>
        </is>
      </c>
      <c r="D680" s="6" t="inlineStr">
        <is>
          <t>20260814</t>
        </is>
      </c>
      <c r="E680" s="16" t="n">
        <v>1461</v>
      </c>
      <c r="F680" s="16" t="n">
        <v>830</v>
      </c>
      <c r="G680" s="16" t="n">
        <v>631</v>
      </c>
      <c r="H680" s="6" t="inlineStr">
        <is>
          <t>억원</t>
        </is>
      </c>
      <c r="I680" s="17" t="n">
        <v>-42.3</v>
      </c>
      <c r="J680" s="18" t="n">
        <v>3097</v>
      </c>
      <c r="K680" s="19" t="n">
        <v>2847</v>
      </c>
      <c r="L680" s="18" t="n">
        <v>2746</v>
      </c>
      <c r="M680" s="19" t="n">
        <v>2225</v>
      </c>
      <c r="N680" s="18" t="n">
        <v>2604</v>
      </c>
      <c r="O680" s="19" t="n">
        <v>2262</v>
      </c>
      <c r="P680" s="18" t="n">
        <v>1706</v>
      </c>
      <c r="Q680" s="19" t="n">
        <v>1721</v>
      </c>
      <c r="R680" s="18" t="n">
        <v>1094</v>
      </c>
      <c r="S680" s="20" t="n">
        <v>631</v>
      </c>
      <c r="T680" s="6" t="n">
        <v>1</v>
      </c>
      <c r="U680" s="5" t="inlineStr">
        <is>
          <t>이차전지 조립장비 / -</t>
        </is>
      </c>
      <c r="V680" s="21">
        <f>HYPERLINK("https://dart.fss.or.kr/dsaf001/main.do?rcpNo=20260814003181", "공시열람")</f>
        <v/>
      </c>
    </row>
    <row r="681">
      <c r="A681" s="5" t="inlineStr">
        <is>
          <t>아이퀘스트</t>
        </is>
      </c>
      <c r="B681" s="6" t="inlineStr">
        <is>
          <t>262840</t>
        </is>
      </c>
      <c r="C681" s="6" t="inlineStr">
        <is>
          <t>2026Q2</t>
        </is>
      </c>
      <c r="D681" s="6" t="inlineStr">
        <is>
          <t>20260812</t>
        </is>
      </c>
      <c r="E681" s="16" t="n">
        <v>25051</v>
      </c>
      <c r="F681" s="16" t="n">
        <v>10595</v>
      </c>
      <c r="G681" s="16" t="n">
        <v>14456</v>
      </c>
      <c r="H681" s="6" t="inlineStr">
        <is>
          <t>백만원</t>
        </is>
      </c>
      <c r="I681" s="17" t="n">
        <v>-3.4</v>
      </c>
      <c r="J681" s="18" t="n">
        <v>13970</v>
      </c>
      <c r="K681" s="19" t="n">
        <v>10609</v>
      </c>
      <c r="L681" s="18" t="n">
        <v>9930</v>
      </c>
      <c r="M681" s="19" t="n">
        <v>7320</v>
      </c>
      <c r="N681" s="18" t="n">
        <v>14588</v>
      </c>
      <c r="O681" s="19" t="n">
        <v>13817</v>
      </c>
      <c r="P681" s="18" t="n">
        <v>10002</v>
      </c>
      <c r="Q681" s="19" t="n">
        <v>7292</v>
      </c>
      <c r="R681" s="18" t="n">
        <v>14959</v>
      </c>
      <c r="S681" s="20" t="n">
        <v>14456</v>
      </c>
      <c r="T681" s="6" t="n">
        <v>2</v>
      </c>
      <c r="U681" s="5" t="inlineStr">
        <is>
          <t>IT 컨설팅 / 시스템 구축 및 운영/유지 보수 / ' | B2B 소프트웨어 / SAP B1 ERP 공급 및 구축</t>
        </is>
      </c>
      <c r="V681" s="21">
        <f>HYPERLINK("https://dart.fss.or.kr/dsaf001/main.do?rcpNo=20260812000182", "공시열람")</f>
        <v/>
      </c>
    </row>
    <row r="682">
      <c r="A682" s="5" t="inlineStr">
        <is>
          <t>디케이앤디</t>
        </is>
      </c>
      <c r="B682" s="6" t="inlineStr">
        <is>
          <t>263020</t>
        </is>
      </c>
      <c r="C682" s="6" t="inlineStr">
        <is>
          <t>2026Q2</t>
        </is>
      </c>
      <c r="D682" s="6" t="inlineStr">
        <is>
          <t>20260813</t>
        </is>
      </c>
      <c r="E682" s="16" t="n">
        <v>18443</v>
      </c>
      <c r="F682" s="16" t="n">
        <v>15255</v>
      </c>
      <c r="G682" s="16" t="n">
        <v>3188</v>
      </c>
      <c r="H682" s="6" t="inlineStr">
        <is>
          <t>YD,백만원</t>
        </is>
      </c>
      <c r="I682" s="17" t="n">
        <v>-37.9</v>
      </c>
      <c r="J682" s="18" t="inlineStr"/>
      <c r="K682" s="19" t="inlineStr"/>
      <c r="L682" s="18" t="inlineStr"/>
      <c r="M682" s="19" t="inlineStr"/>
      <c r="N682" s="18" t="n">
        <v>14575</v>
      </c>
      <c r="O682" s="19" t="inlineStr"/>
      <c r="P682" s="18" t="inlineStr"/>
      <c r="Q682" s="19" t="inlineStr"/>
      <c r="R682" s="18" t="n">
        <v>5130</v>
      </c>
      <c r="S682" s="20" t="n">
        <v>3188</v>
      </c>
      <c r="T682" s="6" t="n">
        <v>1</v>
      </c>
      <c r="U682" s="5" t="inlineStr">
        <is>
          <t>헤드셋용 합성피혁 / 2024.10.23 / 2027.</t>
        </is>
      </c>
      <c r="V682" s="21">
        <f>HYPERLINK("https://dart.fss.or.kr/dsaf001/main.do?rcpNo=20260813001190", "공시열람")</f>
        <v/>
      </c>
    </row>
    <row r="683">
      <c r="A683" s="5" t="inlineStr">
        <is>
          <t>유틸렉스</t>
        </is>
      </c>
      <c r="B683" s="6" t="inlineStr">
        <is>
          <t>263050</t>
        </is>
      </c>
      <c r="C683" s="6" t="inlineStr">
        <is>
          <t>2026Q2</t>
        </is>
      </c>
      <c r="D683" s="6" t="inlineStr">
        <is>
          <t>20260814</t>
        </is>
      </c>
      <c r="E683" s="16" t="n">
        <v>3359832</v>
      </c>
      <c r="F683" s="16" t="n">
        <v>1527457</v>
      </c>
      <c r="G683" s="16" t="n">
        <v>1832375</v>
      </c>
      <c r="H683" s="6" t="inlineStr">
        <is>
          <t>천원</t>
        </is>
      </c>
      <c r="I683" s="17" t="n">
        <v>-53.5</v>
      </c>
      <c r="J683" s="18" t="inlineStr"/>
      <c r="K683" s="19" t="n">
        <v>1905455</v>
      </c>
      <c r="L683" s="18" t="n">
        <v>960566</v>
      </c>
      <c r="M683" s="19" t="n">
        <v>690673</v>
      </c>
      <c r="N683" s="18" t="n">
        <v>512050</v>
      </c>
      <c r="O683" s="19" t="n">
        <v>1967977</v>
      </c>
      <c r="P683" s="18" t="n">
        <v>3756945</v>
      </c>
      <c r="Q683" s="19" t="n">
        <v>1939095</v>
      </c>
      <c r="R683" s="18" t="n">
        <v>3939263</v>
      </c>
      <c r="S683" s="20" t="n">
        <v>1832375</v>
      </c>
      <c r="T683" s="6" t="n">
        <v>3</v>
      </c>
      <c r="U683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3" s="21">
        <f>HYPERLINK("https://dart.fss.or.kr/dsaf001/main.do?rcpNo=20260814003647", "공시열람")</f>
        <v/>
      </c>
    </row>
    <row r="684">
      <c r="A684" s="5" t="inlineStr">
        <is>
          <t>데이타솔루션</t>
        </is>
      </c>
      <c r="B684" s="6" t="inlineStr">
        <is>
          <t>263800</t>
        </is>
      </c>
      <c r="C684" s="6" t="inlineStr">
        <is>
          <t>2024Q4</t>
        </is>
      </c>
      <c r="D684" s="6" t="inlineStr">
        <is>
          <t>20250312</t>
        </is>
      </c>
      <c r="E684" s="16" t="n">
        <v>5985</v>
      </c>
      <c r="F684" s="16" t="n">
        <v>5664</v>
      </c>
      <c r="G684" s="16" t="n">
        <v>321</v>
      </c>
      <c r="H684" s="6" t="inlineStr"/>
      <c r="I684" s="17" t="n">
        <v>365.2</v>
      </c>
      <c r="J684" s="18" t="n">
        <v>535</v>
      </c>
      <c r="K684" s="19" t="n">
        <v>203</v>
      </c>
      <c r="L684" s="18" t="n">
        <v>69</v>
      </c>
      <c r="M684" s="19" t="n">
        <v>321</v>
      </c>
      <c r="N684" s="18" t="inlineStr"/>
      <c r="O684" s="19" t="inlineStr"/>
      <c r="P684" s="18" t="inlineStr"/>
      <c r="Q684" s="19" t="inlineStr"/>
      <c r="R684" s="18" t="inlineStr"/>
      <c r="S684" s="20" t="inlineStr"/>
      <c r="T684" s="6" t="n">
        <v>1</v>
      </c>
      <c r="U684" s="5" t="inlineStr">
        <is>
          <t>시스템통합 / 2020-10-16 / 2025-03-3</t>
        </is>
      </c>
      <c r="V684" s="21">
        <f>HYPERLINK("https://dart.fss.or.kr/dsaf001/main.do?rcpNo=20250312000588", "공시열람")</f>
        <v/>
      </c>
    </row>
    <row r="685">
      <c r="A685" s="5" t="inlineStr">
        <is>
          <t>유비쿼스</t>
        </is>
      </c>
      <c r="B685" s="6" t="inlineStr">
        <is>
          <t>264450</t>
        </is>
      </c>
      <c r="C685" s="6" t="inlineStr">
        <is>
          <t>2026Q2</t>
        </is>
      </c>
      <c r="D685" s="6" t="inlineStr">
        <is>
          <t>20260814</t>
        </is>
      </c>
      <c r="E685" s="16" t="n">
        <v>179424</v>
      </c>
      <c r="F685" s="16" t="n">
        <v>91937</v>
      </c>
      <c r="G685" s="16" t="n">
        <v>87487</v>
      </c>
      <c r="H685" s="6" t="inlineStr">
        <is>
          <t>백만원</t>
        </is>
      </c>
      <c r="I685" s="17" t="n">
        <v>-15.1</v>
      </c>
      <c r="J685" s="18" t="n">
        <v>171554</v>
      </c>
      <c r="K685" s="19" t="n">
        <v>167430</v>
      </c>
      <c r="L685" s="18" t="n">
        <v>161375</v>
      </c>
      <c r="M685" s="19" t="n">
        <v>147635</v>
      </c>
      <c r="N685" s="18" t="n">
        <v>141886</v>
      </c>
      <c r="O685" s="19" t="n">
        <v>136578</v>
      </c>
      <c r="P685" s="18" t="n">
        <v>124743</v>
      </c>
      <c r="Q685" s="19" t="n">
        <v>112050</v>
      </c>
      <c r="R685" s="18" t="n">
        <v>103021</v>
      </c>
      <c r="S685" s="20" t="n">
        <v>87487</v>
      </c>
      <c r="T685" s="6" t="n">
        <v>1</v>
      </c>
      <c r="U685" s="5" t="inlineStr">
        <is>
          <t>LGU+ 가입자망용 EPON/스위치 단가계약</t>
        </is>
      </c>
      <c r="V685" s="21">
        <f>HYPERLINK("https://dart.fss.or.kr/dsaf001/main.do?rcpNo=20260814001072", "공시열람")</f>
        <v/>
      </c>
    </row>
    <row r="686">
      <c r="A686" s="5" t="inlineStr">
        <is>
          <t>씨앤지하이테크</t>
        </is>
      </c>
      <c r="B686" s="6" t="inlineStr">
        <is>
          <t>264660</t>
        </is>
      </c>
      <c r="C686" s="6" t="inlineStr">
        <is>
          <t>2026Q2</t>
        </is>
      </c>
      <c r="D686" s="6" t="inlineStr">
        <is>
          <t>20260813</t>
        </is>
      </c>
      <c r="E686" s="16" t="n">
        <v>58524</v>
      </c>
      <c r="F686" s="16" t="n">
        <v>33338</v>
      </c>
      <c r="G686" s="16" t="n">
        <v>25186</v>
      </c>
      <c r="H686" s="6" t="inlineStr">
        <is>
          <t>백만원</t>
        </is>
      </c>
      <c r="I686" s="17" t="inlineStr"/>
      <c r="J686" s="18" t="n">
        <v>50912</v>
      </c>
      <c r="K686" s="19" t="n">
        <v>4592</v>
      </c>
      <c r="L686" s="18" t="n">
        <v>18563</v>
      </c>
      <c r="M686" s="19" t="n">
        <v>3163</v>
      </c>
      <c r="N686" s="18" t="n">
        <v>24074</v>
      </c>
      <c r="O686" s="19" t="n">
        <v>19107</v>
      </c>
      <c r="P686" s="18" t="n">
        <v>9322</v>
      </c>
      <c r="Q686" s="19" t="n">
        <v>0</v>
      </c>
      <c r="R686" s="18" t="n">
        <v>0</v>
      </c>
      <c r="S686" s="20" t="n">
        <v>25186</v>
      </c>
      <c r="T686" s="6" t="n">
        <v>2</v>
      </c>
      <c r="U686" s="5" t="inlineStr">
        <is>
          <t>반도체 등 제조장비 / 2026.06.27 / 2026 | 반도체 등 제조장비 / 2026.04.10 / 2026</t>
        </is>
      </c>
      <c r="V686" s="21">
        <f>HYPERLINK("https://dart.fss.or.kr/dsaf001/main.do?rcpNo=20260813000962", "공시열람")</f>
        <v/>
      </c>
    </row>
    <row r="687">
      <c r="A687" s="5" t="inlineStr">
        <is>
          <t>AP시스템</t>
        </is>
      </c>
      <c r="B687" s="6" t="inlineStr">
        <is>
          <t>265520</t>
        </is>
      </c>
      <c r="C687" s="6" t="inlineStr">
        <is>
          <t>2026Q2</t>
        </is>
      </c>
      <c r="D687" s="6" t="inlineStr">
        <is>
          <t>20260814</t>
        </is>
      </c>
      <c r="E687" s="16" t="n">
        <v>804989</v>
      </c>
      <c r="F687" s="16" t="n">
        <v>591790</v>
      </c>
      <c r="G687" s="16" t="n">
        <v>213199</v>
      </c>
      <c r="H687" s="6" t="inlineStr">
        <is>
          <t>백만원</t>
        </is>
      </c>
      <c r="I687" s="17" t="n">
        <v>14.4</v>
      </c>
      <c r="J687" s="18" t="n">
        <v>211401</v>
      </c>
      <c r="K687" s="19" t="n">
        <v>190627</v>
      </c>
      <c r="L687" s="18" t="n">
        <v>175169</v>
      </c>
      <c r="M687" s="19" t="n">
        <v>140816</v>
      </c>
      <c r="N687" s="18" t="n">
        <v>91781</v>
      </c>
      <c r="O687" s="19" t="n">
        <v>131161</v>
      </c>
      <c r="P687" s="18" t="n">
        <v>211308</v>
      </c>
      <c r="Q687" s="19" t="n">
        <v>228659</v>
      </c>
      <c r="R687" s="18" t="n">
        <v>186441</v>
      </c>
      <c r="S687" s="20" t="n">
        <v>213199</v>
      </c>
      <c r="T687" s="6" t="n">
        <v>3</v>
      </c>
      <c r="U687" s="5" t="inlineStr">
        <is>
          <t>디스플레이 제조장비 / - | 반도체 제조장비 / - | 이차전지 제조장비 / -</t>
        </is>
      </c>
      <c r="V687" s="21">
        <f>HYPERLINK("https://dart.fss.or.kr/dsaf001/main.do?rcpNo=20260814003234", "공시열람")</f>
        <v/>
      </c>
    </row>
    <row r="688">
      <c r="A688" s="5" t="inlineStr">
        <is>
          <t>HD현대</t>
        </is>
      </c>
      <c r="B688" s="6" t="inlineStr">
        <is>
          <t>267250</t>
        </is>
      </c>
      <c r="C688" s="6" t="inlineStr">
        <is>
          <t>2026Q2</t>
        </is>
      </c>
      <c r="D688" s="6" t="inlineStr">
        <is>
          <t>20260814</t>
        </is>
      </c>
      <c r="E688" s="16" t="inlineStr"/>
      <c r="F688" s="16" t="inlineStr"/>
      <c r="G688" s="16" t="n">
        <v>2243852713</v>
      </c>
      <c r="H688" s="6" t="inlineStr">
        <is>
          <t>천원,천USD,천JPY</t>
        </is>
      </c>
      <c r="I688" s="17" t="n">
        <v>2418.6</v>
      </c>
      <c r="J688" s="18" t="n">
        <v>77179596</v>
      </c>
      <c r="K688" s="19" t="n">
        <v>78510928</v>
      </c>
      <c r="L688" s="18" t="n">
        <v>77076074</v>
      </c>
      <c r="M688" s="19" t="n">
        <v>83508459</v>
      </c>
      <c r="N688" s="18" t="n">
        <v>84046817</v>
      </c>
      <c r="O688" s="19" t="n">
        <v>81442477</v>
      </c>
      <c r="P688" s="18" t="n">
        <v>79890507</v>
      </c>
      <c r="Q688" s="19" t="n">
        <v>82236880</v>
      </c>
      <c r="R688" s="18" t="n">
        <v>89093027</v>
      </c>
      <c r="S688" s="20" t="n">
        <v>2243852713</v>
      </c>
      <c r="T688" s="6" t="n">
        <v>3</v>
      </c>
      <c r="U688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8" s="21">
        <f>HYPERLINK("https://dart.fss.or.kr/dsaf001/main.do?rcpNo=20260814003420", "공시열람")</f>
        <v/>
      </c>
    </row>
    <row r="689">
      <c r="A689" s="5" t="inlineStr">
        <is>
          <t>HD현대일렉트릭</t>
        </is>
      </c>
      <c r="B689" s="6" t="inlineStr">
        <is>
          <t>267260</t>
        </is>
      </c>
      <c r="C689" s="6" t="inlineStr">
        <is>
          <t>2026Q2</t>
        </is>
      </c>
      <c r="D689" s="6" t="inlineStr">
        <is>
          <t>20260814</t>
        </is>
      </c>
      <c r="E689" s="16" t="n">
        <v>14488813</v>
      </c>
      <c r="F689" s="16" t="n">
        <v>2178313</v>
      </c>
      <c r="G689" s="16" t="n">
        <v>12310500</v>
      </c>
      <c r="H689" s="6" t="inlineStr">
        <is>
          <t>백만원</t>
        </is>
      </c>
      <c r="I689" s="17" t="n">
        <v>7.6</v>
      </c>
      <c r="J689" s="18" t="inlineStr"/>
      <c r="K689" s="19" t="n">
        <v>7090200</v>
      </c>
      <c r="L689" s="18" t="n">
        <v>7180670</v>
      </c>
      <c r="M689" s="19" t="n">
        <v>7646580</v>
      </c>
      <c r="N689" s="18" t="n">
        <v>8493900</v>
      </c>
      <c r="O689" s="19" t="n">
        <v>8711500</v>
      </c>
      <c r="P689" s="18" t="n">
        <v>9566710</v>
      </c>
      <c r="Q689" s="19" t="n">
        <v>9423400</v>
      </c>
      <c r="R689" s="18" t="n">
        <v>11437600</v>
      </c>
      <c r="S689" s="20" t="n">
        <v>12310500</v>
      </c>
      <c r="T689" s="6" t="n">
        <v>1</v>
      </c>
      <c r="U689" s="5" t="inlineStr">
        <is>
          <t>전기전자부문 / 변압기, 고압차단기회전기, 저압전동기배</t>
        </is>
      </c>
      <c r="V689" s="21">
        <f>HYPERLINK("https://dart.fss.or.kr/dsaf001/main.do?rcpNo=20260814003228", "공시열람")</f>
        <v/>
      </c>
    </row>
    <row r="690">
      <c r="A690" s="5" t="inlineStr">
        <is>
          <t>아시아나IDT</t>
        </is>
      </c>
      <c r="B690" s="6" t="inlineStr">
        <is>
          <t>267850</t>
        </is>
      </c>
      <c r="C690" s="6" t="inlineStr">
        <is>
          <t>2026Q2</t>
        </is>
      </c>
      <c r="D690" s="6" t="inlineStr">
        <is>
          <t>20260812</t>
        </is>
      </c>
      <c r="E690" s="16" t="n">
        <v>2526</v>
      </c>
      <c r="F690" s="16" t="n">
        <v>1418</v>
      </c>
      <c r="G690" s="16" t="n">
        <v>1108</v>
      </c>
      <c r="H690" s="6" t="inlineStr">
        <is>
          <t>억원</t>
        </is>
      </c>
      <c r="I690" s="17" t="n">
        <v>-19.1</v>
      </c>
      <c r="J690" s="18" t="n">
        <v>479</v>
      </c>
      <c r="K690" s="19" t="n">
        <v>502</v>
      </c>
      <c r="L690" s="18" t="n">
        <v>441</v>
      </c>
      <c r="M690" s="19" t="n">
        <v>551</v>
      </c>
      <c r="N690" s="18" t="n">
        <v>446</v>
      </c>
      <c r="O690" s="19" t="n">
        <v>324</v>
      </c>
      <c r="P690" s="18" t="n">
        <v>634</v>
      </c>
      <c r="Q690" s="19" t="n">
        <v>768</v>
      </c>
      <c r="R690" s="18" t="n">
        <v>1370</v>
      </c>
      <c r="S690" s="20" t="n">
        <v>1108</v>
      </c>
      <c r="T690" s="6" t="n">
        <v>2</v>
      </c>
      <c r="U690" s="5" t="inlineStr">
        <is>
          <t>운영유지보수 / - | 컨설팅/SI 등 / -</t>
        </is>
      </c>
      <c r="V690" s="21">
        <f>HYPERLINK("https://dart.fss.or.kr/dsaf001/main.do?rcpNo=20260812000800", "공시열람")</f>
        <v/>
      </c>
    </row>
    <row r="691">
      <c r="A691" s="5" t="inlineStr">
        <is>
          <t>에스알바이오텍</t>
        </is>
      </c>
      <c r="B691" s="6" t="inlineStr">
        <is>
          <t>270210</t>
        </is>
      </c>
      <c r="C691" s="6" t="inlineStr">
        <is>
          <t>2024Q4</t>
        </is>
      </c>
      <c r="D691" s="6" t="inlineStr">
        <is>
          <t>20250319</t>
        </is>
      </c>
      <c r="E691" s="16" t="n">
        <v>8125274</v>
      </c>
      <c r="F691" s="16" t="inlineStr"/>
      <c r="G691" s="16" t="n">
        <v>3735917</v>
      </c>
      <c r="H691" s="6" t="inlineStr"/>
      <c r="I691" s="17" t="n">
        <v>80.59999999999999</v>
      </c>
      <c r="J691" s="18" t="inlineStr"/>
      <c r="K691" s="19" t="inlineStr"/>
      <c r="L691" s="18" t="inlineStr"/>
      <c r="M691" s="19" t="n">
        <v>3735917</v>
      </c>
      <c r="N691" s="18" t="inlineStr"/>
      <c r="O691" s="19" t="inlineStr"/>
      <c r="P691" s="18" t="inlineStr"/>
      <c r="Q691" s="19" t="inlineStr"/>
      <c r="R691" s="18" t="inlineStr"/>
      <c r="S691" s="20" t="inlineStr"/>
      <c r="T691" s="6" t="n">
        <v>6</v>
      </c>
      <c r="U691" s="5" t="inlineStr">
        <is>
          <t>주식회사 스킨천사 / 제품 / 5월~12월 | (주)제이크리컴퍼니 / 제품 / 12월 | 엔비엘케이 / 제품 / 12월</t>
        </is>
      </c>
      <c r="V691" s="21">
        <f>HYPERLINK("https://dart.fss.or.kr/dsaf001/main.do?rcpNo=20250319000677", "공시열람")</f>
        <v/>
      </c>
    </row>
    <row r="692">
      <c r="A692" s="5" t="inlineStr">
        <is>
          <t>에브리봇</t>
        </is>
      </c>
      <c r="B692" s="6" t="inlineStr">
        <is>
          <t>270660</t>
        </is>
      </c>
      <c r="C692" s="6" t="inlineStr">
        <is>
          <t>2025Q3</t>
        </is>
      </c>
      <c r="D692" s="6" t="inlineStr">
        <is>
          <t>20251114</t>
        </is>
      </c>
      <c r="E692" s="16" t="n">
        <v>2066000000</v>
      </c>
      <c r="F692" s="16" t="n">
        <v>2066000000</v>
      </c>
      <c r="G692" s="16" t="n">
        <v>0</v>
      </c>
      <c r="H692" s="6" t="inlineStr">
        <is>
          <t>원</t>
        </is>
      </c>
      <c r="I692" s="17" t="inlineStr"/>
      <c r="J692" s="18" t="inlineStr"/>
      <c r="K692" s="19" t="inlineStr"/>
      <c r="L692" s="18" t="inlineStr"/>
      <c r="M692" s="19" t="inlineStr"/>
      <c r="N692" s="18" t="n">
        <v>1850000000</v>
      </c>
      <c r="O692" s="19" t="n">
        <v>0</v>
      </c>
      <c r="P692" s="18" t="n">
        <v>0</v>
      </c>
      <c r="Q692" s="19" t="inlineStr"/>
      <c r="R692" s="18" t="inlineStr"/>
      <c r="S692" s="20" t="inlineStr"/>
      <c r="T692" s="6" t="n">
        <v>2</v>
      </c>
      <c r="U692" s="5" t="inlineStr">
        <is>
          <t>AI 자율주행 공기청정기 개발용역 / 2025.3.31 | S/W 추가 개발용역 / 2025.7.24 / 2025</t>
        </is>
      </c>
      <c r="V692" s="21">
        <f>HYPERLINK("https://dart.fss.or.kr/dsaf001/main.do?rcpNo=20251114000204", "공시열람")</f>
        <v/>
      </c>
    </row>
    <row r="693">
      <c r="A693" s="5" t="inlineStr">
        <is>
          <t>팸텍</t>
        </is>
      </c>
      <c r="B693" s="6" t="inlineStr">
        <is>
          <t>271830</t>
        </is>
      </c>
      <c r="C693" s="6" t="inlineStr">
        <is>
          <t>2026Q2</t>
        </is>
      </c>
      <c r="D693" s="6" t="inlineStr">
        <is>
          <t>20260814</t>
        </is>
      </c>
      <c r="E693" s="16" t="n">
        <v>43295</v>
      </c>
      <c r="F693" s="16" t="n">
        <v>12569</v>
      </c>
      <c r="G693" s="16" t="n">
        <v>30727</v>
      </c>
      <c r="H693" s="6" t="inlineStr">
        <is>
          <t>백만원</t>
        </is>
      </c>
      <c r="I693" s="17" t="n">
        <v>85.2</v>
      </c>
      <c r="J693" s="18" t="n">
        <v>15082</v>
      </c>
      <c r="K693" s="19" t="n">
        <v>16199</v>
      </c>
      <c r="L693" s="18" t="n">
        <v>15198</v>
      </c>
      <c r="M693" s="19" t="n">
        <v>6392</v>
      </c>
      <c r="N693" s="18" t="n">
        <v>10791</v>
      </c>
      <c r="O693" s="19" t="n">
        <v>23451</v>
      </c>
      <c r="P693" s="18" t="n">
        <v>27024</v>
      </c>
      <c r="Q693" s="19" t="n">
        <v>10669</v>
      </c>
      <c r="R693" s="18" t="n">
        <v>16594</v>
      </c>
      <c r="S693" s="20" t="n">
        <v>30727</v>
      </c>
      <c r="T693" s="6" t="n">
        <v>4</v>
      </c>
      <c r="U693" s="5" t="inlineStr">
        <is>
          <t>카메라모듈 / 제품 | 반도체 / 제품 | 모빌리티 / 제품</t>
        </is>
      </c>
      <c r="V693" s="21">
        <f>HYPERLINK("https://dart.fss.or.kr/dsaf001/main.do?rcpNo=20260814002911", "공시열람")</f>
        <v/>
      </c>
    </row>
    <row r="694">
      <c r="A694" s="5" t="inlineStr">
        <is>
          <t>한화시스템</t>
        </is>
      </c>
      <c r="B694" s="6" t="inlineStr">
        <is>
          <t>272210</t>
        </is>
      </c>
      <c r="C694" s="6" t="inlineStr">
        <is>
          <t>2026Q2</t>
        </is>
      </c>
      <c r="D694" s="6" t="inlineStr">
        <is>
          <t>20260813</t>
        </is>
      </c>
      <c r="E694" s="16" t="n">
        <v>13245410</v>
      </c>
      <c r="F694" s="16" t="n">
        <v>1926822</v>
      </c>
      <c r="G694" s="16" t="n">
        <v>11318588</v>
      </c>
      <c r="H694" s="6" t="inlineStr">
        <is>
          <t>백만원</t>
        </is>
      </c>
      <c r="I694" s="17" t="n">
        <v>-7.2</v>
      </c>
      <c r="J694" s="18" t="n">
        <v>7049779</v>
      </c>
      <c r="K694" s="19" t="n">
        <v>6967870</v>
      </c>
      <c r="L694" s="18" t="n">
        <v>7923594</v>
      </c>
      <c r="M694" s="19" t="n">
        <v>10557886</v>
      </c>
      <c r="N694" s="18" t="n">
        <v>10498985</v>
      </c>
      <c r="O694" s="19" t="n">
        <v>10362144</v>
      </c>
      <c r="P694" s="18" t="n">
        <v>11175820</v>
      </c>
      <c r="Q694" s="19" t="n">
        <v>12216300</v>
      </c>
      <c r="R694" s="18" t="n">
        <v>12196397</v>
      </c>
      <c r="S694" s="20" t="n">
        <v>11318588</v>
      </c>
      <c r="T694" s="6" t="n">
        <v>3</v>
      </c>
      <c r="U694" s="5" t="inlineStr">
        <is>
          <t>방산 / 한화시스템 / 군수장비 | 기타 / H FOUNDATION PTE. LTD.Han | ICT / 한화시스템 / 전산시스템 설계 및 구축,전산</t>
        </is>
      </c>
      <c r="V694" s="21">
        <f>HYPERLINK("https://dart.fss.or.kr/dsaf001/main.do?rcpNo=20260813001258", "공시열람")</f>
        <v/>
      </c>
    </row>
    <row r="695">
      <c r="A695" s="5" t="inlineStr">
        <is>
          <t>와이엠텍</t>
        </is>
      </c>
      <c r="B695" s="6" t="inlineStr">
        <is>
          <t>273640</t>
        </is>
      </c>
      <c r="C695" s="6" t="inlineStr">
        <is>
          <t>2023Q4</t>
        </is>
      </c>
      <c r="D695" s="6" t="inlineStr">
        <is>
          <t>20240315</t>
        </is>
      </c>
      <c r="E695" s="16" t="n">
        <v>36701182</v>
      </c>
      <c r="F695" s="16" t="n">
        <v>34852927</v>
      </c>
      <c r="G695" s="16" t="n">
        <v>1848254</v>
      </c>
      <c r="H695" s="6" t="inlineStr">
        <is>
          <t>EA/천원</t>
        </is>
      </c>
      <c r="I695" s="17" t="inlineStr"/>
      <c r="J695" s="18" t="inlineStr"/>
      <c r="K695" s="19" t="inlineStr"/>
      <c r="L695" s="18" t="inlineStr"/>
      <c r="M695" s="19" t="inlineStr"/>
      <c r="N695" s="18" t="inlineStr"/>
      <c r="O695" s="19" t="inlineStr"/>
      <c r="P695" s="18" t="inlineStr"/>
      <c r="Q695" s="19" t="inlineStr"/>
      <c r="R695" s="18" t="inlineStr"/>
      <c r="S695" s="20" t="inlineStr"/>
      <c r="T695" s="6" t="n">
        <v>1</v>
      </c>
      <c r="U695" s="5" t="inlineStr">
        <is>
          <t>EV Relay / 23.12.31 / 23.01~24</t>
        </is>
      </c>
      <c r="V695" s="21">
        <f>HYPERLINK("https://dart.fss.or.kr/dsaf001/main.do?rcpNo=20240315000026", "공시열람")</f>
        <v/>
      </c>
    </row>
    <row r="696">
      <c r="A696" s="5" t="inlineStr">
        <is>
          <t>이노시뮬레이션</t>
        </is>
      </c>
      <c r="B696" s="6" t="inlineStr">
        <is>
          <t>274400</t>
        </is>
      </c>
      <c r="C696" s="6" t="inlineStr">
        <is>
          <t>2026Q2</t>
        </is>
      </c>
      <c r="D696" s="6" t="inlineStr">
        <is>
          <t>20260814</t>
        </is>
      </c>
      <c r="E696" s="16" t="inlineStr"/>
      <c r="F696" s="16" t="inlineStr"/>
      <c r="G696" s="16" t="n">
        <v>27474718</v>
      </c>
      <c r="H696" s="6" t="inlineStr">
        <is>
          <t>천원</t>
        </is>
      </c>
      <c r="I696" s="17" t="n">
        <v>149073.2</v>
      </c>
      <c r="J696" s="18" t="n">
        <v>11025</v>
      </c>
      <c r="K696" s="19" t="n">
        <v>17251</v>
      </c>
      <c r="L696" s="18" t="n">
        <v>15840</v>
      </c>
      <c r="M696" s="19" t="n">
        <v>15401</v>
      </c>
      <c r="N696" s="18" t="n">
        <v>21465</v>
      </c>
      <c r="O696" s="19" t="n">
        <v>17996</v>
      </c>
      <c r="P696" s="18" t="n">
        <v>16114</v>
      </c>
      <c r="Q696" s="19" t="n">
        <v>15574</v>
      </c>
      <c r="R696" s="18" t="n">
        <v>18418</v>
      </c>
      <c r="S696" s="20" t="n">
        <v>27474718</v>
      </c>
      <c r="T696" s="6" t="n">
        <v>2</v>
      </c>
      <c r="U696" s="5" t="inlineStr">
        <is>
          <t>당반기 | 전반기</t>
        </is>
      </c>
      <c r="V696" s="21">
        <f>HYPERLINK("https://dart.fss.or.kr/dsaf001/main.do?rcpNo=20260814003512", "공시열람")</f>
        <v/>
      </c>
    </row>
    <row r="697">
      <c r="A697" s="5" t="inlineStr">
        <is>
          <t>스코넥</t>
        </is>
      </c>
      <c r="B697" s="6" t="inlineStr">
        <is>
          <t>276040</t>
        </is>
      </c>
      <c r="C697" s="6" t="inlineStr">
        <is>
          <t>2026Q2</t>
        </is>
      </c>
      <c r="D697" s="6" t="inlineStr">
        <is>
          <t>20260814</t>
        </is>
      </c>
      <c r="E697" s="16" t="n">
        <v>1433</v>
      </c>
      <c r="F697" s="16" t="n">
        <v>1433</v>
      </c>
      <c r="G697" s="16" t="n">
        <v>0</v>
      </c>
      <c r="H697" s="6" t="inlineStr">
        <is>
          <t>백만원</t>
        </is>
      </c>
      <c r="I697" s="17" t="n">
        <v>-100</v>
      </c>
      <c r="J697" s="18" t="n">
        <v>0</v>
      </c>
      <c r="K697" s="19" t="n">
        <v>1812</v>
      </c>
      <c r="L697" s="18" t="n">
        <v>2360</v>
      </c>
      <c r="M697" s="19" t="n">
        <v>1074</v>
      </c>
      <c r="N697" s="18" t="n">
        <v>3211</v>
      </c>
      <c r="O697" s="19" t="n">
        <v>3158</v>
      </c>
      <c r="P697" s="18" t="n">
        <v>2233</v>
      </c>
      <c r="Q697" s="19" t="n">
        <v>142</v>
      </c>
      <c r="R697" s="18" t="n">
        <v>431</v>
      </c>
      <c r="S697" s="20" t="n">
        <v>0</v>
      </c>
      <c r="T697" s="6" t="n">
        <v>3</v>
      </c>
      <c r="U697" s="5" t="inlineStr">
        <is>
          <t>XR 콘텐츠 개발 및 제작 / 2025-08-28 /  | XR 콘텐츠 개발 및 제작 / 2026-01-30 /  | 콘텐츠 개발 등</t>
        </is>
      </c>
      <c r="V697" s="21">
        <f>HYPERLINK("https://dart.fss.or.kr/dsaf001/main.do?rcpNo=20260814003564", "공시열람")</f>
        <v/>
      </c>
    </row>
    <row r="698">
      <c r="A698" s="5" t="inlineStr">
        <is>
          <t>엘리비젼</t>
        </is>
      </c>
      <c r="B698" s="6" t="inlineStr">
        <is>
          <t>276240</t>
        </is>
      </c>
      <c r="C698" s="6" t="inlineStr">
        <is>
          <t>2025Q4</t>
        </is>
      </c>
      <c r="D698" s="6" t="inlineStr">
        <is>
          <t>20260323</t>
        </is>
      </c>
      <c r="E698" s="16" t="n">
        <v>800500</v>
      </c>
      <c r="F698" s="16" t="inlineStr"/>
      <c r="G698" s="16" t="n">
        <v>800500</v>
      </c>
      <c r="H698" s="6" t="inlineStr">
        <is>
          <t>천원</t>
        </is>
      </c>
      <c r="I698" s="17" t="n">
        <v>369.5</v>
      </c>
      <c r="J698" s="18" t="inlineStr"/>
      <c r="K698" s="19" t="inlineStr"/>
      <c r="L698" s="18" t="inlineStr"/>
      <c r="M698" s="19" t="n">
        <v>170486</v>
      </c>
      <c r="N698" s="18" t="inlineStr"/>
      <c r="O698" s="19" t="inlineStr"/>
      <c r="P698" s="18" t="inlineStr"/>
      <c r="Q698" s="19" t="n">
        <v>800500</v>
      </c>
      <c r="R698" s="18" t="inlineStr"/>
      <c r="S698" s="20" t="inlineStr"/>
      <c r="T698" s="6" t="n">
        <v>6</v>
      </c>
      <c r="U698" s="5" t="inlineStr">
        <is>
          <t>Interactive KIOSK | Interactive KIOSK | Interactive KIOSK</t>
        </is>
      </c>
      <c r="V698" s="21">
        <f>HYPERLINK("https://dart.fss.or.kr/dsaf001/main.do?rcpNo=20260323000763", "공시열람")</f>
        <v/>
      </c>
    </row>
    <row r="699">
      <c r="A699" s="5" t="inlineStr">
        <is>
          <t>티에스아이</t>
        </is>
      </c>
      <c r="B699" s="6" t="inlineStr">
        <is>
          <t>277880</t>
        </is>
      </c>
      <c r="C699" s="6" t="inlineStr">
        <is>
          <t>2026Q2</t>
        </is>
      </c>
      <c r="D699" s="6" t="inlineStr">
        <is>
          <t>20260814</t>
        </is>
      </c>
      <c r="E699" s="16" t="n">
        <v>753663</v>
      </c>
      <c r="F699" s="16" t="n">
        <v>545504</v>
      </c>
      <c r="G699" s="16" t="n">
        <v>208160</v>
      </c>
      <c r="H699" s="6" t="inlineStr">
        <is>
          <t>백만원</t>
        </is>
      </c>
      <c r="I699" s="17" t="n">
        <v>-39.3</v>
      </c>
      <c r="J699" s="18" t="n">
        <v>465915</v>
      </c>
      <c r="K699" s="19" t="n">
        <v>103345</v>
      </c>
      <c r="L699" s="18" t="n">
        <v>507077</v>
      </c>
      <c r="M699" s="19" t="n">
        <v>492364</v>
      </c>
      <c r="N699" s="18" t="n">
        <v>465313</v>
      </c>
      <c r="O699" s="19" t="n">
        <v>274355</v>
      </c>
      <c r="P699" s="18" t="n">
        <v>208298</v>
      </c>
      <c r="Q699" s="19" t="n">
        <v>293628</v>
      </c>
      <c r="R699" s="18" t="n">
        <v>342659</v>
      </c>
      <c r="S699" s="20" t="n">
        <v>208160</v>
      </c>
      <c r="T699" s="6" t="n">
        <v>3</v>
      </c>
      <c r="U699" s="5" t="inlineStr">
        <is>
          <t>믹싱시스템 / - | 공사 / - | 제작품 / -</t>
        </is>
      </c>
      <c r="V699" s="21">
        <f>HYPERLINK("https://dart.fss.or.kr/dsaf001/main.do?rcpNo=20260814001782", "공시열람")</f>
        <v/>
      </c>
    </row>
    <row r="700">
      <c r="A700" s="5" t="inlineStr">
        <is>
          <t>HLB바이오스텝</t>
        </is>
      </c>
      <c r="B700" s="6" t="inlineStr">
        <is>
          <t>278650</t>
        </is>
      </c>
      <c r="C700" s="6" t="inlineStr">
        <is>
          <t>2026Q2</t>
        </is>
      </c>
      <c r="D700" s="6" t="inlineStr">
        <is>
          <t>20260814</t>
        </is>
      </c>
      <c r="E700" s="16" t="inlineStr"/>
      <c r="F700" s="16" t="inlineStr"/>
      <c r="G700" s="16" t="n">
        <v>34083</v>
      </c>
      <c r="H700" s="6" t="inlineStr">
        <is>
          <t>천원</t>
        </is>
      </c>
      <c r="I700" s="17" t="n">
        <v>-99.90000000000001</v>
      </c>
      <c r="J700" s="18" t="inlineStr"/>
      <c r="K700" s="19" t="inlineStr"/>
      <c r="L700" s="18" t="inlineStr"/>
      <c r="M700" s="19" t="inlineStr"/>
      <c r="N700" s="18" t="inlineStr"/>
      <c r="O700" s="19" t="inlineStr"/>
      <c r="P700" s="18" t="n">
        <v>31970718</v>
      </c>
      <c r="Q700" s="19" t="inlineStr"/>
      <c r="R700" s="18" t="n">
        <v>24648959</v>
      </c>
      <c r="S700" s="20" t="n">
        <v>34083</v>
      </c>
      <c r="T700" s="6" t="n">
        <v>3</v>
      </c>
      <c r="U700" s="5" t="inlineStr">
        <is>
          <t>CRO용역(독성) / - / 2026년 04월~2026 | CRO용역(유효성) / - / 2026년 04월~202 | 구축사업 / - / 2026년 04월~2026년 11월</t>
        </is>
      </c>
      <c r="V700" s="21">
        <f>HYPERLINK("https://dart.fss.or.kr/dsaf001/main.do?rcpNo=20260814003288", "공시열람")</f>
        <v/>
      </c>
    </row>
    <row r="701">
      <c r="A701" s="5" t="inlineStr">
        <is>
          <t>이노벡스</t>
        </is>
      </c>
      <c r="B701" s="6" t="inlineStr">
        <is>
          <t>279060</t>
        </is>
      </c>
      <c r="C701" s="6" t="inlineStr">
        <is>
          <t>2025Q4</t>
        </is>
      </c>
      <c r="D701" s="6" t="inlineStr">
        <is>
          <t>20260331</t>
        </is>
      </c>
      <c r="E701" s="16" t="n">
        <v>10452000</v>
      </c>
      <c r="F701" s="16" t="n">
        <v>7306900</v>
      </c>
      <c r="G701" s="16" t="n">
        <v>3145100</v>
      </c>
      <c r="H701" s="6" t="inlineStr">
        <is>
          <t>천원</t>
        </is>
      </c>
      <c r="I701" s="17" t="n">
        <v>-71</v>
      </c>
      <c r="J701" s="18" t="inlineStr"/>
      <c r="K701" s="19" t="inlineStr"/>
      <c r="L701" s="18" t="inlineStr"/>
      <c r="M701" s="19" t="n">
        <v>10860600</v>
      </c>
      <c r="N701" s="18" t="inlineStr"/>
      <c r="O701" s="19" t="inlineStr"/>
      <c r="P701" s="18" t="inlineStr"/>
      <c r="Q701" s="19" t="n">
        <v>3145100</v>
      </c>
      <c r="R701" s="18" t="inlineStr"/>
      <c r="S701" s="20" t="inlineStr"/>
      <c r="T701" s="6" t="n">
        <v>6</v>
      </c>
      <c r="U701" s="5" t="inlineStr">
        <is>
          <t>2차전지활성화공정장비 / 2024-12-05 / 202 | TAS사업 / 2025-12-26 / 2026-04-3 | 2차전지활성화공정장비 / 2024-12-13 / 202</t>
        </is>
      </c>
      <c r="V701" s="21">
        <f>HYPERLINK("https://dart.fss.or.kr/dsaf001/main.do?rcpNo=20260331004637", "공시열람")</f>
        <v/>
      </c>
    </row>
    <row r="702">
      <c r="A702" s="5" t="inlineStr">
        <is>
          <t>미디어젠</t>
        </is>
      </c>
      <c r="B702" s="6" t="inlineStr">
        <is>
          <t>279600</t>
        </is>
      </c>
      <c r="C702" s="6" t="inlineStr">
        <is>
          <t>2026Q2</t>
        </is>
      </c>
      <c r="D702" s="6" t="inlineStr">
        <is>
          <t>20260813</t>
        </is>
      </c>
      <c r="E702" s="16" t="n">
        <v>14368</v>
      </c>
      <c r="F702" s="16" t="n">
        <v>6159</v>
      </c>
      <c r="G702" s="16" t="n">
        <v>8210</v>
      </c>
      <c r="H702" s="6" t="inlineStr">
        <is>
          <t>백만원</t>
        </is>
      </c>
      <c r="I702" s="17" t="n">
        <v>3.4</v>
      </c>
      <c r="J702" s="18" t="n">
        <v>3337</v>
      </c>
      <c r="K702" s="19" t="n">
        <v>9729</v>
      </c>
      <c r="L702" s="18" t="n">
        <v>9627</v>
      </c>
      <c r="M702" s="19" t="n">
        <v>15285</v>
      </c>
      <c r="N702" s="18" t="n">
        <v>9319</v>
      </c>
      <c r="O702" s="19" t="n">
        <v>8581</v>
      </c>
      <c r="P702" s="18" t="n">
        <v>11503</v>
      </c>
      <c r="Q702" s="19" t="n">
        <v>7181</v>
      </c>
      <c r="R702" s="18" t="n">
        <v>7938</v>
      </c>
      <c r="S702" s="20" t="n">
        <v>8210</v>
      </c>
      <c r="T702" s="6" t="n">
        <v>6</v>
      </c>
      <c r="U702" s="5" t="inlineStr">
        <is>
          <t>음성인식용역 / 전년도 수주이월(주1) / - | 음성인식용역 / 2026.1~2026.6 / - | 기타개발용역 / 2026.1~2026.6 / -</t>
        </is>
      </c>
      <c r="V702" s="21">
        <f>HYPERLINK("https://dart.fss.or.kr/dsaf001/main.do?rcpNo=20260813000915", "공시열람")</f>
        <v/>
      </c>
    </row>
    <row r="703">
      <c r="A703" s="5" t="inlineStr">
        <is>
          <t>케이씨텍</t>
        </is>
      </c>
      <c r="B703" s="6" t="inlineStr">
        <is>
          <t>281820</t>
        </is>
      </c>
      <c r="C703" s="6" t="inlineStr">
        <is>
          <t>2024Q4</t>
        </is>
      </c>
      <c r="D703" s="6" t="inlineStr">
        <is>
          <t>20250318</t>
        </is>
      </c>
      <c r="E703" s="16" t="inlineStr"/>
      <c r="F703" s="16" t="inlineStr"/>
      <c r="G703" s="16" t="n">
        <v>40755952</v>
      </c>
      <c r="H703" s="6" t="inlineStr">
        <is>
          <t>천원</t>
        </is>
      </c>
      <c r="I703" s="17" t="n">
        <v>-4.6</v>
      </c>
      <c r="J703" s="18" t="n">
        <v>40755952</v>
      </c>
      <c r="K703" s="19" t="n">
        <v>40755952</v>
      </c>
      <c r="L703" s="18" t="n">
        <v>42728355</v>
      </c>
      <c r="M703" s="19" t="n">
        <v>40755952</v>
      </c>
      <c r="N703" s="18" t="inlineStr"/>
      <c r="O703" s="19" t="inlineStr"/>
      <c r="P703" s="18" t="inlineStr"/>
      <c r="Q703" s="19" t="inlineStr"/>
      <c r="R703" s="18" t="inlineStr"/>
      <c r="S703" s="20" t="inlineStr"/>
      <c r="T703" s="6" t="n">
        <v>2</v>
      </c>
      <c r="U703" s="5" t="inlineStr">
        <is>
          <t>디스플레이부문 | 반도체부문</t>
        </is>
      </c>
      <c r="V703" s="21">
        <f>HYPERLINK("https://dart.fss.or.kr/dsaf001/main.do?rcpNo=20250318001445", "공시열람")</f>
        <v/>
      </c>
    </row>
    <row r="704">
      <c r="A704" s="5" t="inlineStr">
        <is>
          <t>금양그린파워</t>
        </is>
      </c>
      <c r="B704" s="6" t="inlineStr">
        <is>
          <t>282720</t>
        </is>
      </c>
      <c r="C704" s="6" t="inlineStr">
        <is>
          <t>2026Q2</t>
        </is>
      </c>
      <c r="D704" s="6" t="inlineStr">
        <is>
          <t>20260813</t>
        </is>
      </c>
      <c r="E704" s="16" t="n">
        <v>955164337</v>
      </c>
      <c r="F704" s="16" t="n">
        <v>690688046</v>
      </c>
      <c r="G704" s="16" t="n">
        <v>264476291</v>
      </c>
      <c r="H704" s="6" t="inlineStr">
        <is>
          <t>천원</t>
        </is>
      </c>
      <c r="I704" s="17" t="n">
        <v>11.2</v>
      </c>
      <c r="J704" s="18" t="n">
        <v>114143303</v>
      </c>
      <c r="K704" s="19" t="n">
        <v>140437022</v>
      </c>
      <c r="L704" s="18" t="n">
        <v>238060040</v>
      </c>
      <c r="M704" s="19" t="n">
        <v>307278734</v>
      </c>
      <c r="N704" s="18" t="n">
        <v>340992707</v>
      </c>
      <c r="O704" s="19" t="n">
        <v>310093799</v>
      </c>
      <c r="P704" s="18" t="n">
        <v>276403054</v>
      </c>
      <c r="Q704" s="19" t="n">
        <v>293047761</v>
      </c>
      <c r="R704" s="18" t="n">
        <v>237793433</v>
      </c>
      <c r="S704" s="20" t="n">
        <v>264476291</v>
      </c>
      <c r="T704" s="6" t="n">
        <v>48</v>
      </c>
      <c r="U704" s="5" t="inlineStr">
        <is>
          <t>Saudi ARAMCO / 사우디 Amiral | 현대건설 / 신한울3,4호기 전기계장 | 동백마울풍력발전소 / 제주 동백마을 풍력발전</t>
        </is>
      </c>
      <c r="V704" s="21">
        <f>HYPERLINK("https://dart.fss.or.kr/dsaf001/main.do?rcpNo=20260813001497", "공시열람")</f>
        <v/>
      </c>
    </row>
    <row r="705">
      <c r="A705" s="5" t="inlineStr">
        <is>
          <t>코윈테크</t>
        </is>
      </c>
      <c r="B705" s="6" t="inlineStr">
        <is>
          <t>282880</t>
        </is>
      </c>
      <c r="C705" s="6" t="inlineStr">
        <is>
          <t>2026Q2</t>
        </is>
      </c>
      <c r="D705" s="6" t="inlineStr">
        <is>
          <t>20260814</t>
        </is>
      </c>
      <c r="E705" s="16" t="inlineStr"/>
      <c r="F705" s="16" t="inlineStr"/>
      <c r="G705" s="16" t="n">
        <v>281816</v>
      </c>
      <c r="H705" s="6" t="inlineStr">
        <is>
          <t>백만원</t>
        </is>
      </c>
      <c r="I705" s="17" t="n">
        <v>-4.9</v>
      </c>
      <c r="J705" s="18" t="n">
        <v>387003</v>
      </c>
      <c r="K705" s="19" t="n">
        <v>347996</v>
      </c>
      <c r="L705" s="18" t="n">
        <v>262705</v>
      </c>
      <c r="M705" s="19" t="n">
        <v>276601</v>
      </c>
      <c r="N705" s="18" t="n">
        <v>286189</v>
      </c>
      <c r="O705" s="19" t="n">
        <v>250320</v>
      </c>
      <c r="P705" s="18" t="n">
        <v>256779</v>
      </c>
      <c r="Q705" s="19" t="n">
        <v>243857</v>
      </c>
      <c r="R705" s="18" t="n">
        <v>296373</v>
      </c>
      <c r="S705" s="20" t="n">
        <v>281816</v>
      </c>
      <c r="T705" s="6" t="n">
        <v>2</v>
      </c>
      <c r="U705" s="5" t="inlineStr">
        <is>
          <t>로봇 자동화 | 2차전지 시스템엔지니어링</t>
        </is>
      </c>
      <c r="V705" s="21">
        <f>HYPERLINK("https://dart.fss.or.kr/dsaf001/main.do?rcpNo=20260814001249", "공시열람")</f>
        <v/>
      </c>
    </row>
    <row r="706">
      <c r="A706" s="5" t="inlineStr">
        <is>
          <t>SK케미칼</t>
        </is>
      </c>
      <c r="B706" s="6" t="inlineStr">
        <is>
          <t>285130</t>
        </is>
      </c>
      <c r="C706" s="6" t="inlineStr">
        <is>
          <t>2026Q2</t>
        </is>
      </c>
      <c r="D706" s="6" t="inlineStr">
        <is>
          <t>20260813</t>
        </is>
      </c>
      <c r="E706" s="16" t="n">
        <v>2511572</v>
      </c>
      <c r="F706" s="16" t="n">
        <v>1933255</v>
      </c>
      <c r="G706" s="16" t="n">
        <v>578317</v>
      </c>
      <c r="H706" s="6" t="inlineStr">
        <is>
          <t>백만원</t>
        </is>
      </c>
      <c r="I706" s="17" t="n">
        <v>-30.1</v>
      </c>
      <c r="J706" s="18" t="n">
        <v>114955</v>
      </c>
      <c r="K706" s="19" t="n">
        <v>141644</v>
      </c>
      <c r="L706" s="18" t="n">
        <v>107602</v>
      </c>
      <c r="M706" s="19" t="n">
        <v>979319</v>
      </c>
      <c r="N706" s="18" t="n">
        <v>882738</v>
      </c>
      <c r="O706" s="19" t="n">
        <v>804123</v>
      </c>
      <c r="P706" s="18" t="n">
        <v>720658</v>
      </c>
      <c r="Q706" s="19" t="n">
        <v>801010</v>
      </c>
      <c r="R706" s="18" t="n">
        <v>827917</v>
      </c>
      <c r="S706" s="20" t="n">
        <v>578317</v>
      </c>
      <c r="T706" s="6" t="n">
        <v>2</v>
      </c>
      <c r="U706" s="5" t="inlineStr">
        <is>
          <t>CDMO / 2015년~(계약별 상이) / ~2029년 | 백신 원액 및 완제 생산 / 2022년~(계약별 상이)</t>
        </is>
      </c>
      <c r="V706" s="21">
        <f>HYPERLINK("https://dart.fss.or.kr/dsaf001/main.do?rcpNo=20260813001371", "공시열람")</f>
        <v/>
      </c>
    </row>
    <row r="707">
      <c r="A707" s="5" t="inlineStr">
        <is>
          <t>나노실리칸첨단소재</t>
        </is>
      </c>
      <c r="B707" s="6" t="inlineStr">
        <is>
          <t>286750</t>
        </is>
      </c>
      <c r="C707" s="6" t="inlineStr">
        <is>
          <t>2026Q2</t>
        </is>
      </c>
      <c r="D707" s="6" t="inlineStr">
        <is>
          <t>20260814</t>
        </is>
      </c>
      <c r="E707" s="16" t="n">
        <v>3091515</v>
      </c>
      <c r="F707" s="16" t="n">
        <v>1933260</v>
      </c>
      <c r="G707" s="16" t="n">
        <v>1158255</v>
      </c>
      <c r="H707" s="6" t="inlineStr">
        <is>
          <t>EA,천원</t>
        </is>
      </c>
      <c r="I707" s="17" t="n">
        <v>-0.2</v>
      </c>
      <c r="J707" s="18" t="inlineStr"/>
      <c r="K707" s="19" t="inlineStr"/>
      <c r="L707" s="18" t="inlineStr"/>
      <c r="M707" s="19" t="n">
        <v>1959205</v>
      </c>
      <c r="N707" s="18" t="n">
        <v>1284649</v>
      </c>
      <c r="O707" s="19" t="n">
        <v>2812123</v>
      </c>
      <c r="P707" s="18" t="n">
        <v>438228</v>
      </c>
      <c r="Q707" s="19" t="n">
        <v>1519455</v>
      </c>
      <c r="R707" s="18" t="n">
        <v>1160381</v>
      </c>
      <c r="S707" s="20" t="n">
        <v>1158255</v>
      </c>
      <c r="T707" s="6" t="n">
        <v>2</v>
      </c>
      <c r="U707" s="5" t="inlineStr">
        <is>
          <t>M-Tag / 2026-04-22 / 2026-09-1 | M-Tag / 2025-11-26 / 2026-06-3</t>
        </is>
      </c>
      <c r="V707" s="21">
        <f>HYPERLINK("https://dart.fss.or.kr/dsaf001/main.do?rcpNo=20260814002695", "공시열람")</f>
        <v/>
      </c>
    </row>
    <row r="708">
      <c r="A708" s="5" t="inlineStr">
        <is>
          <t>롯데이노베이트</t>
        </is>
      </c>
      <c r="B708" s="6" t="inlineStr">
        <is>
          <t>286940</t>
        </is>
      </c>
      <c r="C708" s="6" t="inlineStr">
        <is>
          <t>2026Q2</t>
        </is>
      </c>
      <c r="D708" s="6" t="inlineStr">
        <is>
          <t>20260813</t>
        </is>
      </c>
      <c r="E708" s="16" t="n">
        <v>326973</v>
      </c>
      <c r="F708" s="16" t="n">
        <v>151834</v>
      </c>
      <c r="G708" s="16" t="n">
        <v>175140</v>
      </c>
      <c r="H708" s="6" t="inlineStr">
        <is>
          <t>백만원</t>
        </is>
      </c>
      <c r="I708" s="17" t="n">
        <v>5.5</v>
      </c>
      <c r="J708" s="18" t="n">
        <v>104192</v>
      </c>
      <c r="K708" s="19" t="n">
        <v>168416</v>
      </c>
      <c r="L708" s="18" t="n">
        <v>185820</v>
      </c>
      <c r="M708" s="19" t="n">
        <v>156942</v>
      </c>
      <c r="N708" s="18" t="n">
        <v>171681</v>
      </c>
      <c r="O708" s="19" t="n">
        <v>157710</v>
      </c>
      <c r="P708" s="18" t="n">
        <v>123869</v>
      </c>
      <c r="Q708" s="19" t="n">
        <v>97278</v>
      </c>
      <c r="R708" s="18" t="n">
        <v>165974</v>
      </c>
      <c r="S708" s="20" t="n">
        <v>175140</v>
      </c>
      <c r="T708" s="6" t="n">
        <v>1</v>
      </c>
      <c r="U708" s="5" t="inlineStr">
        <is>
          <t>시스템 구축 및 운영/유지보수 / -</t>
        </is>
      </c>
      <c r="V708" s="21">
        <f>HYPERLINK("https://dart.fss.or.kr/dsaf001/main.do?rcpNo=20260813001539", "공시열람")</f>
        <v/>
      </c>
    </row>
    <row r="709">
      <c r="A709" s="5" t="inlineStr">
        <is>
          <t>에스프리즘</t>
        </is>
      </c>
      <c r="B709" s="6" t="inlineStr">
        <is>
          <t>288620</t>
        </is>
      </c>
      <c r="C709" s="6" t="inlineStr">
        <is>
          <t>2026Q2</t>
        </is>
      </c>
      <c r="D709" s="6" t="inlineStr">
        <is>
          <t>20260814</t>
        </is>
      </c>
      <c r="E709" s="16" t="n">
        <v>19987</v>
      </c>
      <c r="F709" s="16" t="n">
        <v>6023</v>
      </c>
      <c r="G709" s="16" t="n">
        <v>13964</v>
      </c>
      <c r="H709" s="6" t="inlineStr">
        <is>
          <t>백만원</t>
        </is>
      </c>
      <c r="I709" s="17" t="n">
        <v>18.9</v>
      </c>
      <c r="J709" s="18" t="n">
        <v>18659958</v>
      </c>
      <c r="K709" s="19" t="n">
        <v>20171792</v>
      </c>
      <c r="L709" s="18" t="n">
        <v>20810552</v>
      </c>
      <c r="M709" s="19" t="n">
        <v>18869499</v>
      </c>
      <c r="N709" s="18" t="n">
        <v>15320</v>
      </c>
      <c r="O709" s="19" t="n">
        <v>13401</v>
      </c>
      <c r="P709" s="18" t="n">
        <v>10314</v>
      </c>
      <c r="Q709" s="19" t="n">
        <v>5212</v>
      </c>
      <c r="R709" s="18" t="n">
        <v>11741</v>
      </c>
      <c r="S709" s="20" t="n">
        <v>13964</v>
      </c>
      <c r="T709" s="6" t="n">
        <v>2</v>
      </c>
      <c r="U709" s="5" t="inlineStr">
        <is>
          <t>건물용 연료전지 / ~2026.06.30 / ~2026 | 발전용 연료전지 / ~2026.06.30 / ~2033</t>
        </is>
      </c>
      <c r="V709" s="21">
        <f>HYPERLINK("https://dart.fss.or.kr/dsaf001/main.do?rcpNo=20260814003226", "공시열람")</f>
        <v/>
      </c>
    </row>
    <row r="710">
      <c r="A710" s="5" t="inlineStr">
        <is>
          <t>모아데이타</t>
        </is>
      </c>
      <c r="B710" s="6" t="inlineStr">
        <is>
          <t>288980</t>
        </is>
      </c>
      <c r="C710" s="6" t="inlineStr">
        <is>
          <t>2026Q2</t>
        </is>
      </c>
      <c r="D710" s="6" t="inlineStr">
        <is>
          <t>20260814</t>
        </is>
      </c>
      <c r="E710" s="16" t="n">
        <v>2392870</v>
      </c>
      <c r="F710" s="16" t="inlineStr"/>
      <c r="G710" s="16" t="n">
        <v>2392870</v>
      </c>
      <c r="H710" s="6" t="inlineStr">
        <is>
          <t>천원</t>
        </is>
      </c>
      <c r="I710" s="17" t="n">
        <v>0</v>
      </c>
      <c r="J710" s="18" t="n">
        <v>2392870</v>
      </c>
      <c r="K710" s="19" t="n">
        <v>2392870</v>
      </c>
      <c r="L710" s="18" t="n">
        <v>2392870</v>
      </c>
      <c r="M710" s="19" t="n">
        <v>4847938</v>
      </c>
      <c r="N710" s="18" t="n">
        <v>4132870</v>
      </c>
      <c r="O710" s="19" t="n">
        <v>3791226</v>
      </c>
      <c r="P710" s="18" t="n">
        <v>3791226</v>
      </c>
      <c r="Q710" s="19" t="n">
        <v>2392870</v>
      </c>
      <c r="R710" s="18" t="n">
        <v>2392870</v>
      </c>
      <c r="S710" s="20" t="n">
        <v>2392870</v>
      </c>
      <c r="T710" s="6" t="n">
        <v>1</v>
      </c>
      <c r="U710" s="5" t="inlineStr">
        <is>
          <t>AI 탄소중립 융복합구축(주1) / 2024-02-28</t>
        </is>
      </c>
      <c r="V710" s="21">
        <f>HYPERLINK("https://dart.fss.or.kr/dsaf001/main.do?rcpNo=20260814002441", "공시열람")</f>
        <v/>
      </c>
    </row>
    <row r="711">
      <c r="A711" s="5" t="inlineStr">
        <is>
          <t>자이언트스텝</t>
        </is>
      </c>
      <c r="B711" s="6" t="inlineStr">
        <is>
          <t>289220</t>
        </is>
      </c>
      <c r="C711" s="6" t="inlineStr">
        <is>
          <t>2026Q2</t>
        </is>
      </c>
      <c r="D711" s="6" t="inlineStr">
        <is>
          <t>20260814</t>
        </is>
      </c>
      <c r="E711" s="16" t="n">
        <v>48</v>
      </c>
      <c r="F711" s="16" t="n">
        <v>3.6</v>
      </c>
      <c r="G711" s="16" t="n">
        <v>44.4</v>
      </c>
      <c r="H711" s="6" t="inlineStr">
        <is>
          <t>억원</t>
        </is>
      </c>
      <c r="I711" s="17" t="n">
        <v>0</v>
      </c>
      <c r="J711" s="18" t="n">
        <v>44.4</v>
      </c>
      <c r="K711" s="19" t="n">
        <v>44.4</v>
      </c>
      <c r="L711" s="18" t="n">
        <v>44.4</v>
      </c>
      <c r="M711" s="19" t="n">
        <v>44</v>
      </c>
      <c r="N711" s="18" t="n">
        <v>44.4</v>
      </c>
      <c r="O711" s="19" t="n">
        <v>44.4</v>
      </c>
      <c r="P711" s="18" t="n">
        <v>44.4</v>
      </c>
      <c r="Q711" s="19" t="n">
        <v>44.4</v>
      </c>
      <c r="R711" s="18" t="n">
        <v>44.4</v>
      </c>
      <c r="S711" s="20" t="n">
        <v>44.4</v>
      </c>
      <c r="T711" s="6" t="n">
        <v>1</v>
      </c>
      <c r="U711" s="5" t="inlineStr">
        <is>
          <t xml:space="preserve">영화 "하이브(HIVE)" VFX 계약 / 2021년 </t>
        </is>
      </c>
      <c r="V711" s="21">
        <f>HYPERLINK("https://dart.fss.or.kr/dsaf001/main.do?rcpNo=20260814002501", "공시열람")</f>
        <v/>
      </c>
    </row>
    <row r="712">
      <c r="A712" s="5" t="inlineStr">
        <is>
          <t>웨이비스</t>
        </is>
      </c>
      <c r="B712" s="6" t="inlineStr">
        <is>
          <t>289930</t>
        </is>
      </c>
      <c r="C712" s="6" t="inlineStr">
        <is>
          <t>2026Q2</t>
        </is>
      </c>
      <c r="D712" s="6" t="inlineStr">
        <is>
          <t>20260813</t>
        </is>
      </c>
      <c r="E712" s="16" t="n">
        <v>16629129536</v>
      </c>
      <c r="F712" s="16" t="inlineStr"/>
      <c r="G712" s="16" t="n">
        <v>94135747</v>
      </c>
      <c r="H712" s="6" t="inlineStr">
        <is>
          <t>원</t>
        </is>
      </c>
      <c r="I712" s="17" t="n">
        <v>0</v>
      </c>
      <c r="J712" s="18" t="inlineStr"/>
      <c r="K712" s="19" t="inlineStr"/>
      <c r="L712" s="18" t="inlineStr"/>
      <c r="M712" s="19" t="n">
        <v>4393222104</v>
      </c>
      <c r="N712" s="18" t="n">
        <v>3117911353</v>
      </c>
      <c r="O712" s="19" t="n">
        <v>2936596693</v>
      </c>
      <c r="P712" s="18" t="n">
        <v>1235472408</v>
      </c>
      <c r="Q712" s="19" t="n">
        <v>94135747</v>
      </c>
      <c r="R712" s="18" t="n">
        <v>94135747</v>
      </c>
      <c r="S712" s="20" t="n">
        <v>94135747</v>
      </c>
      <c r="T712" s="6" t="n">
        <v>1</v>
      </c>
      <c r="U712" s="5" t="inlineStr">
        <is>
          <t>프로젝트A / 2021.05.24 / 2030.12.3</t>
        </is>
      </c>
      <c r="V712" s="21">
        <f>HYPERLINK("https://dart.fss.or.kr/dsaf001/main.do?rcpNo=20260813000472", "공시열람")</f>
        <v/>
      </c>
    </row>
    <row r="713">
      <c r="A713" s="5" t="inlineStr">
        <is>
          <t>트윔</t>
        </is>
      </c>
      <c r="B713" s="6" t="inlineStr">
        <is>
          <t>290090</t>
        </is>
      </c>
      <c r="C713" s="6" t="inlineStr">
        <is>
          <t>2026Q2</t>
        </is>
      </c>
      <c r="D713" s="6" t="inlineStr">
        <is>
          <t>20260814</t>
        </is>
      </c>
      <c r="E713" s="16" t="n">
        <v>17975</v>
      </c>
      <c r="F713" s="16" t="n">
        <v>4945</v>
      </c>
      <c r="G713" s="16" t="n">
        <v>13030</v>
      </c>
      <c r="H713" s="6" t="inlineStr">
        <is>
          <t>건수,백만원</t>
        </is>
      </c>
      <c r="I713" s="17" t="n">
        <v>14.2</v>
      </c>
      <c r="J713" s="18" t="n">
        <v>18491</v>
      </c>
      <c r="K713" s="19" t="n">
        <v>9884</v>
      </c>
      <c r="L713" s="18" t="n">
        <v>4385</v>
      </c>
      <c r="M713" s="19" t="inlineStr"/>
      <c r="N713" s="18" t="n">
        <v>8383</v>
      </c>
      <c r="O713" s="19" t="n">
        <v>8427</v>
      </c>
      <c r="P713" s="18" t="n">
        <v>9381</v>
      </c>
      <c r="Q713" s="19" t="n">
        <v>10019</v>
      </c>
      <c r="R713" s="18" t="n">
        <v>11409</v>
      </c>
      <c r="S713" s="20" t="n">
        <v>13030</v>
      </c>
      <c r="T713" s="6" t="n">
        <v>1</v>
      </c>
      <c r="U713" s="5" t="inlineStr"/>
      <c r="V713" s="21">
        <f>HYPERLINK("https://dart.fss.or.kr/dsaf001/main.do?rcpNo=20260814002271", "공시열람")</f>
        <v/>
      </c>
    </row>
    <row r="714">
      <c r="A714" s="5" t="inlineStr">
        <is>
          <t>신도기연</t>
        </is>
      </c>
      <c r="B714" s="6" t="inlineStr">
        <is>
          <t>290520</t>
        </is>
      </c>
      <c r="C714" s="6" t="inlineStr">
        <is>
          <t>2026Q2</t>
        </is>
      </c>
      <c r="D714" s="6" t="inlineStr">
        <is>
          <t>20260814</t>
        </is>
      </c>
      <c r="E714" s="16" t="n">
        <v>12801</v>
      </c>
      <c r="F714" s="16" t="n">
        <v>9313</v>
      </c>
      <c r="G714" s="16" t="n">
        <v>3488</v>
      </c>
      <c r="H714" s="6" t="inlineStr">
        <is>
          <t>백만원</t>
        </is>
      </c>
      <c r="I714" s="17" t="n">
        <v>-67.8</v>
      </c>
      <c r="J714" s="18" t="n">
        <v>6245</v>
      </c>
      <c r="K714" s="19" t="n">
        <v>4822</v>
      </c>
      <c r="L714" s="18" t="n">
        <v>3689</v>
      </c>
      <c r="M714" s="19" t="n">
        <v>28340</v>
      </c>
      <c r="N714" s="18" t="n">
        <v>33622</v>
      </c>
      <c r="O714" s="19" t="n">
        <v>31132</v>
      </c>
      <c r="P714" s="18" t="n">
        <v>28968</v>
      </c>
      <c r="Q714" s="19" t="n">
        <v>11004</v>
      </c>
      <c r="R714" s="18" t="n">
        <v>10829</v>
      </c>
      <c r="S714" s="20" t="n">
        <v>3488</v>
      </c>
      <c r="T714" s="6" t="n">
        <v>1</v>
      </c>
      <c r="U714" s="5" t="inlineStr">
        <is>
          <t>디스플레이제조 장비등 / -</t>
        </is>
      </c>
      <c r="V714" s="21">
        <f>HYPERLINK("https://dart.fss.or.kr/dsaf001/main.do?rcpNo=20260814001825", "공시열람")</f>
        <v/>
      </c>
    </row>
    <row r="715">
      <c r="A715" s="5" t="inlineStr">
        <is>
          <t>아리바이오홀딩스</t>
        </is>
      </c>
      <c r="B715" s="6" t="inlineStr">
        <is>
          <t>290690</t>
        </is>
      </c>
      <c r="C715" s="6" t="inlineStr">
        <is>
          <t>2026Q2</t>
        </is>
      </c>
      <c r="D715" s="6" t="inlineStr">
        <is>
          <t>20260814</t>
        </is>
      </c>
      <c r="E715" s="16" t="n">
        <v>110446192920</v>
      </c>
      <c r="F715" s="16" t="n">
        <v>42509644828</v>
      </c>
      <c r="G715" s="16" t="n">
        <v>67936548093</v>
      </c>
      <c r="H715" s="6" t="inlineStr">
        <is>
          <t>천원</t>
        </is>
      </c>
      <c r="I715" s="17" t="n">
        <v>234905.4</v>
      </c>
      <c r="J715" s="18" t="n">
        <v>40841979</v>
      </c>
      <c r="K715" s="19" t="n">
        <v>37891649</v>
      </c>
      <c r="L715" s="18" t="n">
        <v>33661170</v>
      </c>
      <c r="M715" s="19" t="n">
        <v>26456926</v>
      </c>
      <c r="N715" s="18" t="n">
        <v>42972889</v>
      </c>
      <c r="O715" s="19" t="n">
        <v>39828481</v>
      </c>
      <c r="P715" s="18" t="n">
        <v>41723721</v>
      </c>
      <c r="Q715" s="19" t="n">
        <v>33751941</v>
      </c>
      <c r="R715" s="18" t="n">
        <v>28908499</v>
      </c>
      <c r="S715" s="20" t="n">
        <v>67936548093</v>
      </c>
      <c r="T715" s="6" t="n">
        <v>11</v>
      </c>
      <c r="U715" s="5" t="inlineStr">
        <is>
          <t>괴정동 지역주택조합 전기소방통신설비공사 / 2026-0 | 부산 에코2차(13BL) 통신공사 2단계(공사) / 2 | 기타 201개 현장 / -</t>
        </is>
      </c>
      <c r="V715" s="21">
        <f>HYPERLINK("https://dart.fss.or.kr/dsaf001/main.do?rcpNo=20260814003587", "공시열람")</f>
        <v/>
      </c>
    </row>
    <row r="716">
      <c r="A716" s="5" t="inlineStr">
        <is>
          <t>츌립앤사이언스</t>
        </is>
      </c>
      <c r="B716" s="6" t="inlineStr">
        <is>
          <t>291650</t>
        </is>
      </c>
      <c r="C716" s="6" t="inlineStr">
        <is>
          <t>2026Q2</t>
        </is>
      </c>
      <c r="D716" s="6" t="inlineStr">
        <is>
          <t>20260814</t>
        </is>
      </c>
      <c r="E716" s="16" t="n">
        <v>3596929</v>
      </c>
      <c r="F716" s="16" t="inlineStr"/>
      <c r="G716" s="16" t="n">
        <v>771524</v>
      </c>
      <c r="H716" s="6" t="inlineStr">
        <is>
          <t>천원</t>
        </is>
      </c>
      <c r="I716" s="17" t="n">
        <v>-49.4</v>
      </c>
      <c r="J716" s="18" t="inlineStr"/>
      <c r="K716" s="19" t="inlineStr"/>
      <c r="L716" s="18" t="inlineStr"/>
      <c r="M716" s="19" t="n">
        <v>382965</v>
      </c>
      <c r="N716" s="18" t="n">
        <v>690495</v>
      </c>
      <c r="O716" s="19" t="n">
        <v>774456405</v>
      </c>
      <c r="P716" s="18" t="n">
        <v>1108606</v>
      </c>
      <c r="Q716" s="19" t="n">
        <v>1527765</v>
      </c>
      <c r="R716" s="18" t="n">
        <v>1525438</v>
      </c>
      <c r="S716" s="20" t="n">
        <v>771524</v>
      </c>
      <c r="T716" s="6" t="n">
        <v>3</v>
      </c>
      <c r="U716" s="5" t="inlineStr">
        <is>
          <t>임상시험 검체분석 / 국내 | 허가목적이 아닌 검체분석 / 국내 | 비임상시험 검체분석 / 국내</t>
        </is>
      </c>
      <c r="V716" s="21">
        <f>HYPERLINK("https://dart.fss.or.kr/dsaf001/main.do?rcpNo=20260814003116", "공시열람")</f>
        <v/>
      </c>
    </row>
    <row r="717">
      <c r="A717" s="5" t="inlineStr">
        <is>
          <t>핀텔</t>
        </is>
      </c>
      <c r="B717" s="6" t="inlineStr">
        <is>
          <t>291810</t>
        </is>
      </c>
      <c r="C717" s="6" t="inlineStr">
        <is>
          <t>2026Q2</t>
        </is>
      </c>
      <c r="D717" s="6" t="inlineStr">
        <is>
          <t>20260812</t>
        </is>
      </c>
      <c r="E717" s="16" t="n">
        <v>7140</v>
      </c>
      <c r="F717" s="16" t="n">
        <v>4385</v>
      </c>
      <c r="G717" s="16" t="n">
        <v>2755</v>
      </c>
      <c r="H717" s="6" t="inlineStr">
        <is>
          <t>백만원</t>
        </is>
      </c>
      <c r="I717" s="17" t="n">
        <v>11.1</v>
      </c>
      <c r="J717" s="18" t="n">
        <v>4320</v>
      </c>
      <c r="K717" s="19" t="n">
        <v>4501</v>
      </c>
      <c r="L717" s="18" t="n">
        <v>4088</v>
      </c>
      <c r="M717" s="19" t="n">
        <v>2819</v>
      </c>
      <c r="N717" s="18" t="n">
        <v>2010</v>
      </c>
      <c r="O717" s="19" t="n">
        <v>5106</v>
      </c>
      <c r="P717" s="18" t="n">
        <v>4767</v>
      </c>
      <c r="Q717" s="19" t="n">
        <v>4507</v>
      </c>
      <c r="R717" s="18" t="n">
        <v>2480</v>
      </c>
      <c r="S717" s="20" t="n">
        <v>2755</v>
      </c>
      <c r="T717" s="6" t="n">
        <v>2</v>
      </c>
      <c r="U717" s="5" t="inlineStr">
        <is>
          <t>보안분야 / - | 교통분야 / -</t>
        </is>
      </c>
      <c r="V717" s="21">
        <f>HYPERLINK("https://dart.fss.or.kr/dsaf001/main.do?rcpNo=20260812000620", "공시열람")</f>
        <v/>
      </c>
    </row>
    <row r="718">
      <c r="A718" s="5" t="inlineStr">
        <is>
          <t>하나제약</t>
        </is>
      </c>
      <c r="B718" s="6" t="inlineStr">
        <is>
          <t>293480</t>
        </is>
      </c>
      <c r="C718" s="6" t="inlineStr">
        <is>
          <t>2026Q2</t>
        </is>
      </c>
      <c r="D718" s="6" t="inlineStr">
        <is>
          <t>20260814</t>
        </is>
      </c>
      <c r="E718" s="16" t="n">
        <v>57378</v>
      </c>
      <c r="F718" s="16" t="n">
        <v>4932</v>
      </c>
      <c r="G718" s="16" t="n">
        <v>52446</v>
      </c>
      <c r="H718" s="6" t="inlineStr">
        <is>
          <t>백만원</t>
        </is>
      </c>
      <c r="I718" s="17" t="n">
        <v>-5.5</v>
      </c>
      <c r="J718" s="18" t="n">
        <v>757</v>
      </c>
      <c r="K718" s="19" t="n">
        <v>9</v>
      </c>
      <c r="L718" s="18" t="inlineStr"/>
      <c r="M718" s="19" t="inlineStr"/>
      <c r="N718" s="18" t="n">
        <v>595</v>
      </c>
      <c r="O718" s="19" t="n">
        <v>57378</v>
      </c>
      <c r="P718" s="18" t="n">
        <v>55966</v>
      </c>
      <c r="Q718" s="19" t="n">
        <v>55524</v>
      </c>
      <c r="R718" s="18" t="n">
        <v>55524</v>
      </c>
      <c r="S718" s="20" t="n">
        <v>52446</v>
      </c>
      <c r="T718" s="6" t="n">
        <v>1</v>
      </c>
      <c r="U718" s="5" t="inlineStr">
        <is>
          <t>CMO</t>
        </is>
      </c>
      <c r="V718" s="21">
        <f>HYPERLINK("https://dart.fss.or.kr/dsaf001/main.do?rcpNo=20260814001371", "공시열람")</f>
        <v/>
      </c>
    </row>
    <row r="719">
      <c r="A719" s="5" t="inlineStr">
        <is>
          <t>이오플로우</t>
        </is>
      </c>
      <c r="B719" s="6" t="inlineStr">
        <is>
          <t>294090</t>
        </is>
      </c>
      <c r="C719" s="6" t="inlineStr">
        <is>
          <t>2025Q3</t>
        </is>
      </c>
      <c r="D719" s="6" t="inlineStr">
        <is>
          <t>20251114</t>
        </is>
      </c>
      <c r="E719" s="16" t="n">
        <v>1157</v>
      </c>
      <c r="F719" s="16" t="n">
        <v>355</v>
      </c>
      <c r="G719" s="16" t="n">
        <v>802</v>
      </c>
      <c r="H719" s="6" t="inlineStr">
        <is>
          <t>백만원,천개</t>
        </is>
      </c>
      <c r="I719" s="17" t="n">
        <v>0</v>
      </c>
      <c r="J719" s="18" t="n">
        <v>150</v>
      </c>
      <c r="K719" s="19" t="n">
        <v>860</v>
      </c>
      <c r="L719" s="18" t="n">
        <v>118</v>
      </c>
      <c r="M719" s="19" t="n">
        <v>413</v>
      </c>
      <c r="N719" s="18" t="n">
        <v>802</v>
      </c>
      <c r="O719" s="19" t="n">
        <v>802</v>
      </c>
      <c r="P719" s="18" t="n">
        <v>802</v>
      </c>
      <c r="Q719" s="19" t="inlineStr"/>
      <c r="R719" s="18" t="inlineStr"/>
      <c r="S719" s="20" t="inlineStr"/>
      <c r="T719" s="6" t="n">
        <v>6</v>
      </c>
      <c r="U719" s="5" t="inlineStr">
        <is>
          <t>EOPatch / 2025.03.18 / 2025.05 | EOPatch / 2025.03.28 / 2025.05 | EOPatch / 2025.01.21 / 2025.03</t>
        </is>
      </c>
      <c r="V719" s="21">
        <f>HYPERLINK("https://dart.fss.or.kr/dsaf001/main.do?rcpNo=20251114000863", "공시열람")</f>
        <v/>
      </c>
    </row>
    <row r="720">
      <c r="A720" s="5" t="inlineStr">
        <is>
          <t>레몬</t>
        </is>
      </c>
      <c r="B720" s="6" t="inlineStr">
        <is>
          <t>294140</t>
        </is>
      </c>
      <c r="C720" s="6" t="inlineStr">
        <is>
          <t>2026Q2</t>
        </is>
      </c>
      <c r="D720" s="6" t="inlineStr">
        <is>
          <t>20260814</t>
        </is>
      </c>
      <c r="E720" s="16" t="n">
        <v>11024</v>
      </c>
      <c r="F720" s="16" t="n">
        <v>9321</v>
      </c>
      <c r="G720" s="16" t="n">
        <v>1703</v>
      </c>
      <c r="H720" s="6" t="inlineStr">
        <is>
          <t>백만원</t>
        </is>
      </c>
      <c r="I720" s="17" t="n">
        <v>-19.2</v>
      </c>
      <c r="J720" s="18" t="n">
        <v>120</v>
      </c>
      <c r="K720" s="19" t="n">
        <v>143</v>
      </c>
      <c r="L720" s="18" t="n">
        <v>45</v>
      </c>
      <c r="M720" s="19" t="n">
        <v>225</v>
      </c>
      <c r="N720" s="18" t="n">
        <v>269</v>
      </c>
      <c r="O720" s="19" t="n">
        <v>168</v>
      </c>
      <c r="P720" s="18" t="n">
        <v>1001</v>
      </c>
      <c r="Q720" s="19" t="n">
        <v>1556</v>
      </c>
      <c r="R720" s="18" t="n">
        <v>2107</v>
      </c>
      <c r="S720" s="20" t="n">
        <v>1703</v>
      </c>
      <c r="T720" s="6" t="n">
        <v>2</v>
      </c>
      <c r="U720" s="5" t="inlineStr">
        <is>
          <t>나노관련 | 기타</t>
        </is>
      </c>
      <c r="V720" s="21">
        <f>HYPERLINK("https://dart.fss.or.kr/dsaf001/main.do?rcpNo=20260814002294", "공시열람")</f>
        <v/>
      </c>
    </row>
    <row r="721">
      <c r="A721" s="5" t="inlineStr">
        <is>
          <t>쿠콘</t>
        </is>
      </c>
      <c r="B721" s="6" t="inlineStr">
        <is>
          <t>294570</t>
        </is>
      </c>
      <c r="C721" s="6" t="inlineStr">
        <is>
          <t>2024Q3</t>
        </is>
      </c>
      <c r="D721" s="6" t="inlineStr">
        <is>
          <t>20241114</t>
        </is>
      </c>
      <c r="E721" s="16" t="n">
        <v>4375</v>
      </c>
      <c r="F721" s="16" t="n">
        <v>4375</v>
      </c>
      <c r="G721" s="16" t="n">
        <v>0</v>
      </c>
      <c r="H721" s="6" t="inlineStr">
        <is>
          <t>백만원</t>
        </is>
      </c>
      <c r="I721" s="17" t="n">
        <v>-100</v>
      </c>
      <c r="J721" s="18" t="n">
        <v>26</v>
      </c>
      <c r="K721" s="19" t="n">
        <v>26</v>
      </c>
      <c r="L721" s="18" t="n">
        <v>0</v>
      </c>
      <c r="M721" s="19" t="inlineStr"/>
      <c r="N721" s="18" t="inlineStr"/>
      <c r="O721" s="19" t="inlineStr"/>
      <c r="P721" s="18" t="inlineStr"/>
      <c r="Q721" s="19" t="inlineStr"/>
      <c r="R721" s="18" t="inlineStr"/>
      <c r="S721" s="20" t="inlineStr"/>
      <c r="T721" s="6" t="n">
        <v>1</v>
      </c>
      <c r="U721" s="5" t="inlineStr">
        <is>
          <t>플랫폼 고도화 / 2023년 4월 / 2024년 5월</t>
        </is>
      </c>
      <c r="V721" s="21">
        <f>HYPERLINK("https://dart.fss.or.kr/dsaf001/main.do?rcpNo=20241114002883", "공시열람")</f>
        <v/>
      </c>
    </row>
    <row r="722">
      <c r="A722" s="5" t="inlineStr">
        <is>
          <t>서남</t>
        </is>
      </c>
      <c r="B722" s="6" t="inlineStr">
        <is>
          <t>294630</t>
        </is>
      </c>
      <c r="C722" s="6" t="inlineStr">
        <is>
          <t>2026Q2</t>
        </is>
      </c>
      <c r="D722" s="6" t="inlineStr">
        <is>
          <t>20260813</t>
        </is>
      </c>
      <c r="E722" s="16" t="inlineStr"/>
      <c r="F722" s="16" t="inlineStr"/>
      <c r="G722" s="16" t="n">
        <v>2590588360</v>
      </c>
      <c r="H722" s="6" t="inlineStr">
        <is>
          <t>원</t>
        </is>
      </c>
      <c r="I722" s="17" t="n">
        <v>171039.5</v>
      </c>
      <c r="J722" s="18" t="n">
        <v>2544425651</v>
      </c>
      <c r="K722" s="19" t="n">
        <v>499236303</v>
      </c>
      <c r="L722" s="18" t="n">
        <v>3577431</v>
      </c>
      <c r="M722" s="19" t="n">
        <v>3577431</v>
      </c>
      <c r="N722" s="18" t="n">
        <v>3198302</v>
      </c>
      <c r="O722" s="19" t="n">
        <v>2590588</v>
      </c>
      <c r="P722" s="18" t="n">
        <v>2216452</v>
      </c>
      <c r="Q722" s="19" t="n">
        <v>1828877</v>
      </c>
      <c r="R722" s="18" t="n">
        <v>1513729</v>
      </c>
      <c r="S722" s="20" t="n">
        <v>2590588360</v>
      </c>
      <c r="T722" s="6" t="n">
        <v>1</v>
      </c>
      <c r="U722" s="5" t="inlineStr">
        <is>
          <t>A Reel to Reel PVD system / -</t>
        </is>
      </c>
      <c r="V722" s="21">
        <f>HYPERLINK("https://dart.fss.or.kr/dsaf001/main.do?rcpNo=20260813001650", "공시열람")</f>
        <v/>
      </c>
    </row>
    <row r="723">
      <c r="A723" s="5" t="inlineStr">
        <is>
          <t>IPARK현대산업개발</t>
        </is>
      </c>
      <c r="B723" s="6" t="inlineStr">
        <is>
          <t>294870</t>
        </is>
      </c>
      <c r="C723" s="6" t="inlineStr">
        <is>
          <t>2026Q2</t>
        </is>
      </c>
      <c r="D723" s="6" t="inlineStr">
        <is>
          <t>20260814</t>
        </is>
      </c>
      <c r="E723" s="16" t="n">
        <v>26519376</v>
      </c>
      <c r="F723" s="16" t="n">
        <v>4225760</v>
      </c>
      <c r="G723" s="16" t="n">
        <v>22293615</v>
      </c>
      <c r="H723" s="6" t="inlineStr">
        <is>
          <t>백만원</t>
        </is>
      </c>
      <c r="I723" s="17" t="n">
        <v>2.8</v>
      </c>
      <c r="J723" s="18" t="n">
        <v>20870598</v>
      </c>
      <c r="K723" s="19" t="n">
        <v>19565207</v>
      </c>
      <c r="L723" s="18" t="n">
        <v>19215968</v>
      </c>
      <c r="M723" s="19" t="n">
        <v>19942970</v>
      </c>
      <c r="N723" s="18" t="n">
        <v>19528498</v>
      </c>
      <c r="O723" s="19" t="n">
        <v>19472415</v>
      </c>
      <c r="P723" s="18" t="n">
        <v>20661544</v>
      </c>
      <c r="Q723" s="19" t="n">
        <v>20955039</v>
      </c>
      <c r="R723" s="18" t="n">
        <v>21681977</v>
      </c>
      <c r="S723" s="20" t="n">
        <v>22293615</v>
      </c>
      <c r="T723" s="6" t="n">
        <v>2</v>
      </c>
      <c r="U723" s="5" t="inlineStr">
        <is>
          <t>민간공사 | 관급공사</t>
        </is>
      </c>
      <c r="V723" s="21">
        <f>HYPERLINK("https://dart.fss.or.kr/dsaf001/main.do?rcpNo=20260814003567", "공시열람")</f>
        <v/>
      </c>
    </row>
    <row r="724">
      <c r="A724" s="5" t="inlineStr">
        <is>
          <t>에이치브이엠</t>
        </is>
      </c>
      <c r="B724" s="6" t="inlineStr">
        <is>
          <t>295310</t>
        </is>
      </c>
      <c r="C724" s="6" t="inlineStr">
        <is>
          <t>2026Q2</t>
        </is>
      </c>
      <c r="D724" s="6" t="inlineStr">
        <is>
          <t>20260814</t>
        </is>
      </c>
      <c r="E724" s="16" t="inlineStr"/>
      <c r="F724" s="16" t="inlineStr"/>
      <c r="G724" s="16" t="n">
        <v>63078</v>
      </c>
      <c r="H724" s="6" t="inlineStr">
        <is>
          <t>백만원</t>
        </is>
      </c>
      <c r="I724" s="17" t="n">
        <v>29.8</v>
      </c>
      <c r="J724" s="18" t="inlineStr"/>
      <c r="K724" s="19" t="n">
        <v>21979</v>
      </c>
      <c r="L724" s="18" t="n">
        <v>24738</v>
      </c>
      <c r="M724" s="19" t="n">
        <v>23450</v>
      </c>
      <c r="N724" s="18" t="n">
        <v>19830</v>
      </c>
      <c r="O724" s="19" t="n">
        <v>31960</v>
      </c>
      <c r="P724" s="18" t="n">
        <v>35395</v>
      </c>
      <c r="Q724" s="19" t="n">
        <v>31102</v>
      </c>
      <c r="R724" s="18" t="n">
        <v>48593</v>
      </c>
      <c r="S724" s="20" t="n">
        <v>63078</v>
      </c>
      <c r="T724" s="6" t="n">
        <v>0</v>
      </c>
      <c r="U724" s="5" t="inlineStr"/>
      <c r="V724" s="21">
        <f>HYPERLINK("https://dart.fss.or.kr/dsaf001/main.do?rcpNo=20260814004157", "공시열람")</f>
        <v/>
      </c>
    </row>
    <row r="725">
      <c r="A725" s="5" t="inlineStr">
        <is>
          <t>이노에이엑스</t>
        </is>
      </c>
      <c r="B725" s="6" t="inlineStr">
        <is>
          <t>296640</t>
        </is>
      </c>
      <c r="C725" s="6" t="inlineStr">
        <is>
          <t>2026Q2</t>
        </is>
      </c>
      <c r="D725" s="6" t="inlineStr">
        <is>
          <t>20260814</t>
        </is>
      </c>
      <c r="E725" s="16" t="n">
        <v>40192</v>
      </c>
      <c r="F725" s="16" t="n">
        <v>22341</v>
      </c>
      <c r="G725" s="16" t="n">
        <v>17856</v>
      </c>
      <c r="H725" s="6" t="inlineStr">
        <is>
          <t>백만원</t>
        </is>
      </c>
      <c r="I725" s="17" t="n">
        <v>-1.4</v>
      </c>
      <c r="J725" s="18" t="n">
        <v>17100</v>
      </c>
      <c r="K725" s="19" t="n">
        <v>16965</v>
      </c>
      <c r="L725" s="18" t="n">
        <v>13105</v>
      </c>
      <c r="M725" s="19" t="n">
        <v>18549</v>
      </c>
      <c r="N725" s="18" t="n">
        <v>16541</v>
      </c>
      <c r="O725" s="19" t="n">
        <v>15792</v>
      </c>
      <c r="P725" s="18" t="n">
        <v>16183</v>
      </c>
      <c r="Q725" s="19" t="n">
        <v>18159</v>
      </c>
      <c r="R725" s="18" t="n">
        <v>18111</v>
      </c>
      <c r="S725" s="20" t="n">
        <v>17856</v>
      </c>
      <c r="T725" s="6" t="n">
        <v>3</v>
      </c>
      <c r="U725" s="5" t="inlineStr">
        <is>
          <t>프로페셔널 서비스 | 기술료 | 라이선스</t>
        </is>
      </c>
      <c r="V725" s="21">
        <f>HYPERLINK("https://dart.fss.or.kr/dsaf001/main.do?rcpNo=20260814001685", "공시열람")</f>
        <v/>
      </c>
    </row>
    <row r="726">
      <c r="A726" s="5" t="inlineStr">
        <is>
          <t>HB솔루션</t>
        </is>
      </c>
      <c r="B726" s="6" t="inlineStr">
        <is>
          <t>297890</t>
        </is>
      </c>
      <c r="C726" s="6" t="inlineStr">
        <is>
          <t>2026Q2</t>
        </is>
      </c>
      <c r="D726" s="6" t="inlineStr">
        <is>
          <t>20260814</t>
        </is>
      </c>
      <c r="E726" s="16" t="n">
        <v>51959</v>
      </c>
      <c r="F726" s="16" t="n">
        <v>24863</v>
      </c>
      <c r="G726" s="16" t="n">
        <v>27096</v>
      </c>
      <c r="H726" s="6" t="inlineStr">
        <is>
          <t>백만원</t>
        </is>
      </c>
      <c r="I726" s="17" t="n">
        <v>47.9</v>
      </c>
      <c r="J726" s="18" t="n">
        <v>87927</v>
      </c>
      <c r="K726" s="19" t="n">
        <v>44871</v>
      </c>
      <c r="L726" s="18" t="n">
        <v>64852</v>
      </c>
      <c r="M726" s="19" t="n">
        <v>54824</v>
      </c>
      <c r="N726" s="18" t="n">
        <v>40929</v>
      </c>
      <c r="O726" s="19" t="n">
        <v>13965</v>
      </c>
      <c r="P726" s="18" t="n">
        <v>19717</v>
      </c>
      <c r="Q726" s="19" t="n">
        <v>16793</v>
      </c>
      <c r="R726" s="18" t="n">
        <v>18319</v>
      </c>
      <c r="S726" s="20" t="n">
        <v>27096</v>
      </c>
      <c r="T726" s="6" t="n">
        <v>1</v>
      </c>
      <c r="U726" s="5" t="inlineStr">
        <is>
          <t>디스플레이, 반도체,이차전지 설비 / -</t>
        </is>
      </c>
      <c r="V726" s="21">
        <f>HYPERLINK("https://dart.fss.or.kr/dsaf001/main.do?rcpNo=20260814002863", "공시열람")</f>
        <v/>
      </c>
    </row>
    <row r="727">
      <c r="A727" s="5" t="inlineStr">
        <is>
          <t>효성중공업</t>
        </is>
      </c>
      <c r="B727" s="6" t="inlineStr">
        <is>
          <t>298040</t>
        </is>
      </c>
      <c r="C727" s="6" t="inlineStr">
        <is>
          <t>2026Q2</t>
        </is>
      </c>
      <c r="D727" s="6" t="inlineStr">
        <is>
          <t>20260813</t>
        </is>
      </c>
      <c r="E727" s="16" t="n">
        <v>12131411</v>
      </c>
      <c r="F727" s="16" t="n">
        <v>3971095</v>
      </c>
      <c r="G727" s="16" t="n">
        <v>32958249</v>
      </c>
      <c r="H727" s="6" t="inlineStr">
        <is>
          <t>백만원</t>
        </is>
      </c>
      <c r="I727" s="17" t="n">
        <v>11.8</v>
      </c>
      <c r="J727" s="18" t="n">
        <v>39741022</v>
      </c>
      <c r="K727" s="19" t="n">
        <v>40867602</v>
      </c>
      <c r="L727" s="18" t="n">
        <v>44210450</v>
      </c>
      <c r="M727" s="19" t="n">
        <v>49657494</v>
      </c>
      <c r="N727" s="18" t="n">
        <v>20976755</v>
      </c>
      <c r="O727" s="19" t="n">
        <v>21920840</v>
      </c>
      <c r="P727" s="18" t="n">
        <v>22245977</v>
      </c>
      <c r="Q727" s="19" t="n">
        <v>24389683</v>
      </c>
      <c r="R727" s="18" t="n">
        <v>29489574</v>
      </c>
      <c r="S727" s="20" t="n">
        <v>32958249</v>
      </c>
      <c r="T727" s="6" t="n">
        <v>3</v>
      </c>
      <c r="U727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7" s="21">
        <f>HYPERLINK("https://dart.fss.or.kr/dsaf001/main.do?rcpNo=20260813001554", "공시열람")</f>
        <v/>
      </c>
    </row>
    <row r="728">
      <c r="A728" s="5" t="inlineStr">
        <is>
          <t>하나기술</t>
        </is>
      </c>
      <c r="B728" s="6" t="inlineStr">
        <is>
          <t>299030</t>
        </is>
      </c>
      <c r="C728" s="6" t="inlineStr">
        <is>
          <t>2026Q2</t>
        </is>
      </c>
      <c r="D728" s="6" t="inlineStr">
        <is>
          <t>20260814</t>
        </is>
      </c>
      <c r="E728" s="16" t="n">
        <v>577804</v>
      </c>
      <c r="F728" s="16" t="n">
        <v>95266</v>
      </c>
      <c r="G728" s="16" t="n">
        <v>482537</v>
      </c>
      <c r="H728" s="6" t="inlineStr">
        <is>
          <t>백만원</t>
        </is>
      </c>
      <c r="I728" s="17" t="n">
        <v>42.2</v>
      </c>
      <c r="J728" s="18" t="n">
        <v>372236</v>
      </c>
      <c r="K728" s="19" t="n">
        <v>221947</v>
      </c>
      <c r="L728" s="18" t="n">
        <v>146924</v>
      </c>
      <c r="M728" s="19" t="n">
        <v>153465</v>
      </c>
      <c r="N728" s="18" t="n">
        <v>195962</v>
      </c>
      <c r="O728" s="19" t="n">
        <v>203611</v>
      </c>
      <c r="P728" s="18" t="inlineStr"/>
      <c r="Q728" s="19" t="n">
        <v>326212</v>
      </c>
      <c r="R728" s="18" t="n">
        <v>339342</v>
      </c>
      <c r="S728" s="20" t="n">
        <v>482537</v>
      </c>
      <c r="T728" s="6" t="n">
        <v>1</v>
      </c>
      <c r="U728" s="5" t="inlineStr">
        <is>
          <t>이차전지 제조장비 / -</t>
        </is>
      </c>
      <c r="V728" s="21">
        <f>HYPERLINK("https://dart.fss.or.kr/dsaf001/main.do?rcpNo=20260814003482", "공시열람")</f>
        <v/>
      </c>
    </row>
    <row r="729">
      <c r="A729" s="5" t="inlineStr">
        <is>
          <t>셀리드</t>
        </is>
      </c>
      <c r="B729" s="6" t="inlineStr">
        <is>
          <t>299660</t>
        </is>
      </c>
      <c r="C729" s="6" t="inlineStr">
        <is>
          <t>2026Q2</t>
        </is>
      </c>
      <c r="D729" s="6" t="inlineStr">
        <is>
          <t>20260814</t>
        </is>
      </c>
      <c r="E729" s="16" t="n">
        <v>4888000</v>
      </c>
      <c r="F729" s="16" t="n">
        <v>496000</v>
      </c>
      <c r="G729" s="16" t="n">
        <v>4392000</v>
      </c>
      <c r="H729" s="6" t="inlineStr">
        <is>
          <t>천원</t>
        </is>
      </c>
      <c r="I729" s="17" t="n">
        <v>0</v>
      </c>
      <c r="J729" s="18" t="n">
        <v>4888000</v>
      </c>
      <c r="K729" s="19" t="n">
        <v>4484000</v>
      </c>
      <c r="L729" s="18" t="n">
        <v>4392000</v>
      </c>
      <c r="M729" s="19" t="n">
        <v>4576000</v>
      </c>
      <c r="N729" s="18" t="n">
        <v>4576000</v>
      </c>
      <c r="O729" s="19" t="n">
        <v>4576000</v>
      </c>
      <c r="P729" s="18" t="n">
        <v>4392000</v>
      </c>
      <c r="Q729" s="19" t="n">
        <v>4392000</v>
      </c>
      <c r="R729" s="18" t="n">
        <v>4392000</v>
      </c>
      <c r="S729" s="20" t="n">
        <v>4392000</v>
      </c>
      <c r="T729" s="6" t="n">
        <v>1</v>
      </c>
      <c r="U729" s="5" t="inlineStr">
        <is>
          <t>세포유전자치료제 / 2023.03.16 / (주)</t>
        </is>
      </c>
      <c r="V729" s="21">
        <f>HYPERLINK("https://dart.fss.or.kr/dsaf001/main.do?rcpNo=20260814004146", "공시열람")</f>
        <v/>
      </c>
    </row>
    <row r="730">
      <c r="A730" s="5" t="inlineStr">
        <is>
          <t>위지윅스튜디오</t>
        </is>
      </c>
      <c r="B730" s="6" t="inlineStr">
        <is>
          <t>299900</t>
        </is>
      </c>
      <c r="C730" s="6" t="inlineStr">
        <is>
          <t>2023Q4</t>
        </is>
      </c>
      <c r="D730" s="6" t="inlineStr">
        <is>
          <t>20240320</t>
        </is>
      </c>
      <c r="E730" s="16" t="inlineStr"/>
      <c r="F730" s="16" t="inlineStr"/>
      <c r="G730" s="16" t="n">
        <v>1402977</v>
      </c>
      <c r="H730" s="6" t="inlineStr">
        <is>
          <t>천원</t>
        </is>
      </c>
      <c r="I730" s="17" t="inlineStr"/>
      <c r="J730" s="18" t="inlineStr"/>
      <c r="K730" s="19" t="inlineStr"/>
      <c r="L730" s="18" t="inlineStr"/>
      <c r="M730" s="19" t="inlineStr"/>
      <c r="N730" s="18" t="inlineStr"/>
      <c r="O730" s="19" t="inlineStr"/>
      <c r="P730" s="18" t="inlineStr"/>
      <c r="Q730" s="19" t="inlineStr"/>
      <c r="R730" s="18" t="inlineStr"/>
      <c r="S730" s="20" t="inlineStr"/>
      <c r="T730" s="6" t="n">
        <v>1</v>
      </c>
      <c r="U730" s="5" t="inlineStr">
        <is>
          <t>취득원가</t>
        </is>
      </c>
      <c r="V730" s="21">
        <f>HYPERLINK("https://dart.fss.or.kr/dsaf001/main.do?rcpNo=20240320002041", "공시열람")</f>
        <v/>
      </c>
    </row>
    <row r="731">
      <c r="A731" s="5" t="inlineStr">
        <is>
          <t>라온피플</t>
        </is>
      </c>
      <c r="B731" s="6" t="inlineStr">
        <is>
          <t>300120</t>
        </is>
      </c>
      <c r="C731" s="6" t="inlineStr">
        <is>
          <t>2026Q2</t>
        </is>
      </c>
      <c r="D731" s="6" t="inlineStr">
        <is>
          <t>20260814</t>
        </is>
      </c>
      <c r="E731" s="16" t="n">
        <v>385704</v>
      </c>
      <c r="F731" s="16" t="n">
        <v>103956</v>
      </c>
      <c r="G731" s="16" t="n">
        <v>281748</v>
      </c>
      <c r="H731" s="6" t="inlineStr">
        <is>
          <t>백만원</t>
        </is>
      </c>
      <c r="I731" s="17" t="n">
        <v>-4.5</v>
      </c>
      <c r="J731" s="18" t="n">
        <v>39777</v>
      </c>
      <c r="K731" s="19" t="n">
        <v>205291</v>
      </c>
      <c r="L731" s="18" t="n">
        <v>193742</v>
      </c>
      <c r="M731" s="19" t="n">
        <v>7682</v>
      </c>
      <c r="N731" s="18" t="inlineStr"/>
      <c r="O731" s="19" t="n">
        <v>280089</v>
      </c>
      <c r="P731" s="18" t="n">
        <v>275363</v>
      </c>
      <c r="Q731" s="19" t="n">
        <v>316153</v>
      </c>
      <c r="R731" s="18" t="n">
        <v>294879</v>
      </c>
      <c r="S731" s="20" t="n">
        <v>281748</v>
      </c>
      <c r="T731" s="6" t="n">
        <v>3</v>
      </c>
      <c r="U731" s="5" t="inlineStr">
        <is>
          <t>클라우드 등 | AI 비전생성형 AIPlatform | 카메라모듈검사</t>
        </is>
      </c>
      <c r="V731" s="21">
        <f>HYPERLINK("https://dart.fss.or.kr/dsaf001/main.do?rcpNo=20260814002571", "공시열람")</f>
        <v/>
      </c>
    </row>
    <row r="732">
      <c r="A732" s="5" t="inlineStr">
        <is>
          <t>한일시멘트</t>
        </is>
      </c>
      <c r="B732" s="6" t="inlineStr">
        <is>
          <t>300720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363217</v>
      </c>
      <c r="F732" s="16" t="n">
        <v>180146</v>
      </c>
      <c r="G732" s="16" t="n">
        <v>183071</v>
      </c>
      <c r="H732" s="6" t="inlineStr">
        <is>
          <t>백만원</t>
        </is>
      </c>
      <c r="I732" s="17" t="n">
        <v>2.7</v>
      </c>
      <c r="J732" s="18" t="n">
        <v>259193100290</v>
      </c>
      <c r="K732" s="19" t="n">
        <v>220013996173</v>
      </c>
      <c r="L732" s="18" t="n">
        <v>204122</v>
      </c>
      <c r="M732" s="19" t="n">
        <v>226837</v>
      </c>
      <c r="N732" s="18" t="n">
        <v>214066</v>
      </c>
      <c r="O732" s="19" t="n">
        <v>215258</v>
      </c>
      <c r="P732" s="18" t="n">
        <v>195065</v>
      </c>
      <c r="Q732" s="19" t="n">
        <v>193955</v>
      </c>
      <c r="R732" s="18" t="n">
        <v>178189</v>
      </c>
      <c r="S732" s="20" t="n">
        <v>183071</v>
      </c>
      <c r="T732" s="6" t="n">
        <v>22</v>
      </c>
      <c r="U732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2" s="21">
        <f>HYPERLINK("https://dart.fss.or.kr/dsaf001/main.do?rcpNo=20260814003685", "공시열람")</f>
        <v/>
      </c>
    </row>
    <row r="733">
      <c r="A733" s="5" t="inlineStr">
        <is>
          <t>바이브컴퍼니</t>
        </is>
      </c>
      <c r="B733" s="6" t="inlineStr">
        <is>
          <t>301300</t>
        </is>
      </c>
      <c r="C733" s="6" t="inlineStr">
        <is>
          <t>2026Q2</t>
        </is>
      </c>
      <c r="D733" s="6" t="inlineStr">
        <is>
          <t>20260814</t>
        </is>
      </c>
      <c r="E733" s="16" t="n">
        <v>18792106</v>
      </c>
      <c r="F733" s="16" t="n">
        <v>10901280</v>
      </c>
      <c r="G733" s="16" t="n">
        <v>7890826</v>
      </c>
      <c r="H733" s="6" t="inlineStr">
        <is>
          <t>천원</t>
        </is>
      </c>
      <c r="I733" s="17" t="n">
        <v>3.6</v>
      </c>
      <c r="J733" s="18" t="n">
        <v>5453850</v>
      </c>
      <c r="K733" s="19" t="inlineStr"/>
      <c r="L733" s="18" t="n">
        <v>7344196</v>
      </c>
      <c r="M733" s="19" t="n">
        <v>2404113</v>
      </c>
      <c r="N733" s="18" t="n">
        <v>5172613</v>
      </c>
      <c r="O733" s="19" t="n">
        <v>9112885</v>
      </c>
      <c r="P733" s="18" t="n">
        <v>7032627</v>
      </c>
      <c r="Q733" s="19" t="n">
        <v>2655025</v>
      </c>
      <c r="R733" s="18" t="n">
        <v>7620023</v>
      </c>
      <c r="S733" s="20" t="n">
        <v>7890826</v>
      </c>
      <c r="T733" s="6" t="n">
        <v>21</v>
      </c>
      <c r="U733" s="5" t="inlineStr">
        <is>
          <t>AI솔루션 | SI/SM | AI솔루션</t>
        </is>
      </c>
      <c r="V733" s="21">
        <f>HYPERLINK("https://dart.fss.or.kr/dsaf001/main.do?rcpNo=20260814002481", "공시열람")</f>
        <v/>
      </c>
    </row>
    <row r="734">
      <c r="A734" s="5" t="inlineStr">
        <is>
          <t>이노메트리</t>
        </is>
      </c>
      <c r="B734" s="6" t="inlineStr">
        <is>
          <t>302430</t>
        </is>
      </c>
      <c r="C734" s="6" t="inlineStr">
        <is>
          <t>2024Q1</t>
        </is>
      </c>
      <c r="D734" s="6" t="inlineStr">
        <is>
          <t>20240516</t>
        </is>
      </c>
      <c r="E734" s="16" t="n">
        <v>71769339</v>
      </c>
      <c r="F734" s="16" t="n">
        <v>48635690</v>
      </c>
      <c r="G734" s="16" t="n">
        <v>23133649</v>
      </c>
      <c r="H734" s="6" t="inlineStr">
        <is>
          <t>천원</t>
        </is>
      </c>
      <c r="I734" s="17" t="n">
        <v>-8.800000000000001</v>
      </c>
      <c r="J734" s="18" t="n">
        <v>23133649</v>
      </c>
      <c r="K734" s="19" t="inlineStr"/>
      <c r="L734" s="18" t="inlineStr"/>
      <c r="M734" s="19" t="inlineStr"/>
      <c r="N734" s="18" t="inlineStr"/>
      <c r="O734" s="19" t="inlineStr"/>
      <c r="P734" s="18" t="inlineStr"/>
      <c r="Q734" s="19" t="inlineStr"/>
      <c r="R734" s="18" t="inlineStr"/>
      <c r="S734" s="20" t="inlineStr"/>
      <c r="T734" s="6" t="n">
        <v>13</v>
      </c>
      <c r="U734" s="5" t="inlineStr">
        <is>
          <t>2차전지검사장비 / 2023-11-04 / 2025-0 | 2차전지검사장비 / 2022-12-22 / 2024-0 | 2차전지검사장비 / 2022-12-22 / 2024-0</t>
        </is>
      </c>
      <c r="V734" s="21">
        <f>HYPERLINK("https://dart.fss.or.kr/dsaf001/main.do?rcpNo=20240516000062", "공시열람")</f>
        <v/>
      </c>
    </row>
    <row r="735">
      <c r="A735" s="5" t="inlineStr">
        <is>
          <t>SK바이오사이언스</t>
        </is>
      </c>
      <c r="B735" s="6" t="inlineStr">
        <is>
          <t>302440</t>
        </is>
      </c>
      <c r="C735" s="6" t="inlineStr">
        <is>
          <t>2026Q2</t>
        </is>
      </c>
      <c r="D735" s="6" t="inlineStr">
        <is>
          <t>20260813</t>
        </is>
      </c>
      <c r="E735" s="16" t="n">
        <v>2511572</v>
      </c>
      <c r="F735" s="16" t="n">
        <v>1933255</v>
      </c>
      <c r="G735" s="16" t="n">
        <v>578317</v>
      </c>
      <c r="H735" s="6" t="inlineStr">
        <is>
          <t>백만원</t>
        </is>
      </c>
      <c r="I735" s="17" t="n">
        <v>-30.1</v>
      </c>
      <c r="J735" s="18" t="n">
        <v>114955</v>
      </c>
      <c r="K735" s="19" t="n">
        <v>141644</v>
      </c>
      <c r="L735" s="18" t="n">
        <v>107602</v>
      </c>
      <c r="M735" s="19" t="n">
        <v>979319</v>
      </c>
      <c r="N735" s="18" t="n">
        <v>882738</v>
      </c>
      <c r="O735" s="19" t="n">
        <v>804123</v>
      </c>
      <c r="P735" s="18" t="n">
        <v>720658</v>
      </c>
      <c r="Q735" s="19" t="n">
        <v>801010</v>
      </c>
      <c r="R735" s="18" t="n">
        <v>827917</v>
      </c>
      <c r="S735" s="20" t="n">
        <v>578317</v>
      </c>
      <c r="T735" s="6" t="n">
        <v>2</v>
      </c>
      <c r="U735" s="5" t="inlineStr">
        <is>
          <t>CDMO / 2015년~(계약별 상이) / ~2029년 | 백신 원액 및 완제 생산 / 2022년~(계약별 상이)</t>
        </is>
      </c>
      <c r="V735" s="21">
        <f>HYPERLINK("https://dart.fss.or.kr/dsaf001/main.do?rcpNo=20260813001292", "공시열람")</f>
        <v/>
      </c>
    </row>
    <row r="736">
      <c r="A736" s="5" t="inlineStr">
        <is>
          <t>302550</t>
        </is>
      </c>
      <c r="B736" s="6" t="inlineStr">
        <is>
          <t>302550</t>
        </is>
      </c>
      <c r="C736" s="6" t="inlineStr">
        <is>
          <t>2026Q2</t>
        </is>
      </c>
      <c r="D736" s="6" t="inlineStr">
        <is>
          <t>20260812</t>
        </is>
      </c>
      <c r="E736" s="16" t="n">
        <v>23436000</v>
      </c>
      <c r="F736" s="16" t="n">
        <v>1922088</v>
      </c>
      <c r="G736" s="16" t="n">
        <v>21513912</v>
      </c>
      <c r="H736" s="6" t="inlineStr">
        <is>
          <t>대,천원</t>
        </is>
      </c>
      <c r="I736" s="17" t="n">
        <v>0</v>
      </c>
      <c r="J736" s="18" t="n">
        <v>21538520</v>
      </c>
      <c r="K736" s="19" t="n">
        <v>21538520</v>
      </c>
      <c r="L736" s="18" t="n">
        <v>21538520</v>
      </c>
      <c r="M736" s="19" t="n">
        <v>21513912</v>
      </c>
      <c r="N736" s="18" t="n">
        <v>21513912</v>
      </c>
      <c r="O736" s="19" t="n">
        <v>21513912</v>
      </c>
      <c r="P736" s="18" t="n">
        <v>21513912</v>
      </c>
      <c r="Q736" s="19" t="n">
        <v>21513912</v>
      </c>
      <c r="R736" s="18" t="n">
        <v>21513912</v>
      </c>
      <c r="S736" s="20" t="n">
        <v>21513912</v>
      </c>
      <c r="T736" s="6" t="n">
        <v>13</v>
      </c>
      <c r="U736" s="5" t="inlineStr">
        <is>
          <t>ZTone plus / 2023.11.02 / 2023 | ZTone plus / 2021.09.27 / 2021 | ZTone plus / 2024.01.16 / 2024</t>
        </is>
      </c>
      <c r="V736" s="21">
        <f>HYPERLINK("https://dart.fss.or.kr/dsaf001/main.do?rcpNo=20260812000883", "공시열람")</f>
        <v/>
      </c>
    </row>
    <row r="737">
      <c r="A737" s="5" t="inlineStr">
        <is>
          <t>동국생명과학</t>
        </is>
      </c>
      <c r="B737" s="6" t="inlineStr">
        <is>
          <t>303810</t>
        </is>
      </c>
      <c r="C737" s="6" t="inlineStr">
        <is>
          <t>2026Q2</t>
        </is>
      </c>
      <c r="D737" s="6" t="inlineStr">
        <is>
          <t>20260814</t>
        </is>
      </c>
      <c r="E737" s="16" t="n">
        <v>1532255</v>
      </c>
      <c r="F737" s="16" t="inlineStr"/>
      <c r="G737" s="16" t="n">
        <v>1532255</v>
      </c>
      <c r="H737" s="6" t="inlineStr">
        <is>
          <t>천원</t>
        </is>
      </c>
      <c r="I737" s="17" t="n">
        <v>-33.4</v>
      </c>
      <c r="J737" s="18" t="inlineStr"/>
      <c r="K737" s="19" t="inlineStr"/>
      <c r="L737" s="18" t="inlineStr"/>
      <c r="M737" s="19" t="n">
        <v>4699240</v>
      </c>
      <c r="N737" s="18" t="n">
        <v>4699240</v>
      </c>
      <c r="O737" s="19" t="n">
        <v>1305331</v>
      </c>
      <c r="P737" s="18" t="n">
        <v>2062558</v>
      </c>
      <c r="Q737" s="19" t="n">
        <v>1399658</v>
      </c>
      <c r="R737" s="18" t="n">
        <v>2301490</v>
      </c>
      <c r="S737" s="20" t="n">
        <v>1532255</v>
      </c>
      <c r="T737" s="6" t="n">
        <v>3</v>
      </c>
      <c r="U737" s="5" t="inlineStr">
        <is>
          <t>C사 / 조영제 / Vial | B사 / 조영제 API / Kg | A사 / 조영제 / Vial</t>
        </is>
      </c>
      <c r="V737" s="21">
        <f>HYPERLINK("https://dart.fss.or.kr/dsaf001/main.do?rcpNo=20260814002097", "공시열람")</f>
        <v/>
      </c>
    </row>
    <row r="738">
      <c r="A738" s="5" t="inlineStr">
        <is>
          <t>솔트룩스</t>
        </is>
      </c>
      <c r="B738" s="6" t="inlineStr">
        <is>
          <t>304100</t>
        </is>
      </c>
      <c r="C738" s="6" t="inlineStr">
        <is>
          <t>2026Q2</t>
        </is>
      </c>
      <c r="D738" s="6" t="inlineStr">
        <is>
          <t>20260814</t>
        </is>
      </c>
      <c r="E738" s="16" t="n">
        <v>19855414</v>
      </c>
      <c r="F738" s="16" t="n">
        <v>6935031</v>
      </c>
      <c r="G738" s="16" t="n">
        <v>12920384</v>
      </c>
      <c r="H738" s="6" t="inlineStr">
        <is>
          <t>천원</t>
        </is>
      </c>
      <c r="I738" s="17" t="n">
        <v>309.5</v>
      </c>
      <c r="J738" s="18" t="n">
        <v>1249055</v>
      </c>
      <c r="K738" s="19" t="n">
        <v>25163</v>
      </c>
      <c r="L738" s="18" t="n">
        <v>19371</v>
      </c>
      <c r="M738" s="19" t="n">
        <v>595897</v>
      </c>
      <c r="N738" s="18" t="n">
        <v>391003</v>
      </c>
      <c r="O738" s="19" t="n">
        <v>3729941</v>
      </c>
      <c r="P738" s="18" t="n">
        <v>4080403</v>
      </c>
      <c r="Q738" s="19" t="n">
        <v>3860077</v>
      </c>
      <c r="R738" s="18" t="n">
        <v>3155538</v>
      </c>
      <c r="S738" s="20" t="n">
        <v>12920384</v>
      </c>
      <c r="T738" s="6" t="n">
        <v>15</v>
      </c>
      <c r="U738" s="5" t="inlineStr">
        <is>
          <t>AI Suite / 삼성에스디에스(주) / 2026-0 | AI Suite / 한전원자력연료 / 2026-06-0 | AI Suite / 동양생명보험(주) / 2026-05</t>
        </is>
      </c>
      <c r="V738" s="21">
        <f>HYPERLINK("https://dart.fss.or.kr/dsaf001/main.do?rcpNo=20260814001518", "공시열람")</f>
        <v/>
      </c>
    </row>
    <row r="739">
      <c r="A739" s="5" t="inlineStr">
        <is>
          <t>세아제강</t>
        </is>
      </c>
      <c r="B739" s="6" t="inlineStr">
        <is>
          <t>306200</t>
        </is>
      </c>
      <c r="C739" s="6" t="inlineStr">
        <is>
          <t>2026Q2</t>
        </is>
      </c>
      <c r="D739" s="6" t="inlineStr">
        <is>
          <t>20260814</t>
        </is>
      </c>
      <c r="E739" s="16" t="n">
        <v>270602</v>
      </c>
      <c r="F739" s="16" t="n">
        <v>202482</v>
      </c>
      <c r="G739" s="16" t="n">
        <v>57760</v>
      </c>
      <c r="H739" s="6" t="inlineStr">
        <is>
          <t>백만원</t>
        </is>
      </c>
      <c r="I739" s="17" t="n">
        <v>-41.9</v>
      </c>
      <c r="J739" s="18" t="n">
        <v>59518</v>
      </c>
      <c r="K739" s="19" t="n">
        <v>39297</v>
      </c>
      <c r="L739" s="18" t="n">
        <v>28941</v>
      </c>
      <c r="M739" s="19" t="n">
        <v>28312</v>
      </c>
      <c r="N739" s="18" t="n">
        <v>22063</v>
      </c>
      <c r="O739" s="19" t="n">
        <v>13697</v>
      </c>
      <c r="P739" s="18" t="n">
        <v>11118</v>
      </c>
      <c r="Q739" s="19" t="n">
        <v>108537</v>
      </c>
      <c r="R739" s="18" t="n">
        <v>99347</v>
      </c>
      <c r="S739" s="20" t="n">
        <v>57760</v>
      </c>
      <c r="T739" s="6" t="n">
        <v>2</v>
      </c>
      <c r="U739" s="5" t="inlineStr">
        <is>
          <t xml:space="preserve">천연가스 이송용 PIPE 공급 계약 / 2025.12. | 카타르 LNG 북부 가스전 프로젝트(STS PIPE) </t>
        </is>
      </c>
      <c r="V739" s="21">
        <f>HYPERLINK("https://dart.fss.or.kr/dsaf001/main.do?rcpNo=20260814003277", "공시열람")</f>
        <v/>
      </c>
    </row>
    <row r="740">
      <c r="A740" s="5" t="inlineStr">
        <is>
          <t>아이엘</t>
        </is>
      </c>
      <c r="B740" s="6" t="inlineStr">
        <is>
          <t>307180</t>
        </is>
      </c>
      <c r="C740" s="6" t="inlineStr">
        <is>
          <t>2026Q2</t>
        </is>
      </c>
      <c r="D740" s="6" t="inlineStr">
        <is>
          <t>20260812</t>
        </is>
      </c>
      <c r="E740" s="16" t="n">
        <v>125025045</v>
      </c>
      <c r="F740" s="16" t="n">
        <v>38197706</v>
      </c>
      <c r="G740" s="16" t="n">
        <v>86817339</v>
      </c>
      <c r="H740" s="6" t="inlineStr">
        <is>
          <t>천원</t>
        </is>
      </c>
      <c r="I740" s="17" t="n">
        <v>0</v>
      </c>
      <c r="J740" s="18" t="n">
        <v>71459722</v>
      </c>
      <c r="K740" s="19" t="n">
        <v>72042712</v>
      </c>
      <c r="L740" s="18" t="n">
        <v>72042712</v>
      </c>
      <c r="M740" s="19" t="n">
        <v>72185570</v>
      </c>
      <c r="N740" s="18" t="n">
        <v>95977954</v>
      </c>
      <c r="O740" s="19" t="n">
        <v>67643548</v>
      </c>
      <c r="P740" s="18" t="n">
        <v>68417593</v>
      </c>
      <c r="Q740" s="19" t="n">
        <v>76025371</v>
      </c>
      <c r="R740" s="18" t="n">
        <v>86817339</v>
      </c>
      <c r="S740" s="20" t="n">
        <v>86817339</v>
      </c>
      <c r="T740" s="6" t="n">
        <v>5</v>
      </c>
      <c r="U740" s="5" t="inlineStr">
        <is>
          <t>전장/조명외 | LED조명/시스템 / - | 모듈 및 램프</t>
        </is>
      </c>
      <c r="V740" s="21">
        <f>HYPERLINK("https://dart.fss.or.kr/dsaf001/main.do?rcpNo=20260812000513", "공시열람")</f>
        <v/>
      </c>
    </row>
    <row r="741">
      <c r="A741" s="5" t="inlineStr">
        <is>
          <t>비투엔</t>
        </is>
      </c>
      <c r="B741" s="6" t="inlineStr">
        <is>
          <t>307870</t>
        </is>
      </c>
      <c r="C741" s="6" t="inlineStr">
        <is>
          <t>2026Q2</t>
        </is>
      </c>
      <c r="D741" s="6" t="inlineStr">
        <is>
          <t>20260813</t>
        </is>
      </c>
      <c r="E741" s="16" t="inlineStr"/>
      <c r="F741" s="16" t="inlineStr"/>
      <c r="G741" s="16" t="n">
        <v>5279</v>
      </c>
      <c r="H741" s="6" t="inlineStr">
        <is>
          <t>백만원</t>
        </is>
      </c>
      <c r="I741" s="17" t="n">
        <v>25.3</v>
      </c>
      <c r="J741" s="18" t="n">
        <v>11610</v>
      </c>
      <c r="K741" s="19" t="n">
        <v>9405</v>
      </c>
      <c r="L741" s="18" t="n">
        <v>9761</v>
      </c>
      <c r="M741" s="19" t="n">
        <v>5934</v>
      </c>
      <c r="N741" s="18" t="n">
        <v>8238</v>
      </c>
      <c r="O741" s="19" t="n">
        <v>4515</v>
      </c>
      <c r="P741" s="18" t="n">
        <v>6208</v>
      </c>
      <c r="Q741" s="19" t="n">
        <v>4579</v>
      </c>
      <c r="R741" s="18" t="n">
        <v>4214</v>
      </c>
      <c r="S741" s="20" t="n">
        <v>5279</v>
      </c>
      <c r="T741" s="6" t="n">
        <v>4</v>
      </c>
      <c r="U741" s="5" t="inlineStr">
        <is>
          <t xml:space="preserve">기타 / - | K사 / 융자차세대시스템 구축_정보계, 데이터관리전환  | 공공 / 차세대 상장공시시스템 구축을 위한 개발 용역 </t>
        </is>
      </c>
      <c r="V741" s="21">
        <f>HYPERLINK("https://dart.fss.or.kr/dsaf001/main.do?rcpNo=20260813000458", "공시열람")</f>
        <v/>
      </c>
    </row>
    <row r="742">
      <c r="A742" s="5" t="inlineStr">
        <is>
          <t>현대오토에버</t>
        </is>
      </c>
      <c r="B742" s="6" t="inlineStr">
        <is>
          <t>307950</t>
        </is>
      </c>
      <c r="C742" s="6" t="inlineStr">
        <is>
          <t>2026Q2</t>
        </is>
      </c>
      <c r="D742" s="6" t="inlineStr">
        <is>
          <t>20260814</t>
        </is>
      </c>
      <c r="E742" s="16" t="n">
        <v>18896</v>
      </c>
      <c r="F742" s="16" t="n">
        <v>6155</v>
      </c>
      <c r="G742" s="16" t="n">
        <v>12741</v>
      </c>
      <c r="H742" s="6" t="inlineStr">
        <is>
          <t>억원</t>
        </is>
      </c>
      <c r="I742" s="17" t="n">
        <v>13.8</v>
      </c>
      <c r="J742" s="18" t="n">
        <v>8031</v>
      </c>
      <c r="K742" s="19" t="n">
        <v>8660</v>
      </c>
      <c r="L742" s="18" t="n">
        <v>10167</v>
      </c>
      <c r="M742" s="19" t="n">
        <v>2888</v>
      </c>
      <c r="N742" s="18" t="n">
        <v>10743</v>
      </c>
      <c r="O742" s="19" t="n">
        <v>14200</v>
      </c>
      <c r="P742" s="18" t="n">
        <v>10072</v>
      </c>
      <c r="Q742" s="19" t="n">
        <v>10775</v>
      </c>
      <c r="R742" s="18" t="n">
        <v>11200</v>
      </c>
      <c r="S742" s="20" t="n">
        <v>12741</v>
      </c>
      <c r="T742" s="6" t="n">
        <v>1</v>
      </c>
      <c r="U742" s="5" t="inlineStr">
        <is>
          <t>시스템 구축 / -</t>
        </is>
      </c>
      <c r="V742" s="21">
        <f>HYPERLINK("https://dart.fss.or.kr/dsaf001/main.do?rcpNo=20260814003571", "공시열람")</f>
        <v/>
      </c>
    </row>
    <row r="743">
      <c r="A743" s="5" t="inlineStr">
        <is>
          <t>아이티켐</t>
        </is>
      </c>
      <c r="B743" s="6" t="inlineStr">
        <is>
          <t>309710</t>
        </is>
      </c>
      <c r="C743" s="6" t="inlineStr">
        <is>
          <t>2026Q1</t>
        </is>
      </c>
      <c r="D743" s="6" t="inlineStr">
        <is>
          <t>20260601</t>
        </is>
      </c>
      <c r="E743" s="16" t="n">
        <v>19921</v>
      </c>
      <c r="F743" s="16" t="n">
        <v>1519</v>
      </c>
      <c r="G743" s="16" t="n">
        <v>18402</v>
      </c>
      <c r="H743" s="6" t="inlineStr">
        <is>
          <t>Kg,백만원</t>
        </is>
      </c>
      <c r="I743" s="17" t="n">
        <v>8.800000000000001</v>
      </c>
      <c r="J743" s="18" t="inlineStr"/>
      <c r="K743" s="19" t="inlineStr"/>
      <c r="L743" s="18" t="inlineStr"/>
      <c r="M743" s="19" t="inlineStr"/>
      <c r="N743" s="18" t="inlineStr"/>
      <c r="O743" s="19" t="n">
        <v>11301</v>
      </c>
      <c r="P743" s="18" t="inlineStr"/>
      <c r="Q743" s="19" t="n">
        <v>16918</v>
      </c>
      <c r="R743" s="18" t="n">
        <v>18402</v>
      </c>
      <c r="S743" s="20" t="inlineStr"/>
      <c r="T743" s="6" t="n">
        <v>14</v>
      </c>
      <c r="U743" s="5" t="inlineStr">
        <is>
          <t>BCBB / 2025-12-04 / 2027-05-31 | SK-BMK / 2026-02-28 / 2026-07- | TPB-100T / 2026-03-20 / 2027-0</t>
        </is>
      </c>
      <c r="V743" s="21">
        <f>HYPERLINK("https://dart.fss.or.kr/dsaf001/main.do?rcpNo=20260601001979", "공시열람")</f>
        <v/>
      </c>
    </row>
    <row r="744">
      <c r="A744" s="5" t="inlineStr">
        <is>
          <t>엘에이티</t>
        </is>
      </c>
      <c r="B744" s="6" t="inlineStr">
        <is>
          <t>311060</t>
        </is>
      </c>
      <c r="C744" s="6" t="inlineStr">
        <is>
          <t>2023Q4</t>
        </is>
      </c>
      <c r="D744" s="6" t="inlineStr">
        <is>
          <t>20240320</t>
        </is>
      </c>
      <c r="E744" s="16" t="n">
        <v>43849725</v>
      </c>
      <c r="F744" s="16" t="n">
        <v>7560166</v>
      </c>
      <c r="G744" s="16" t="n">
        <v>36289559</v>
      </c>
      <c r="H744" s="6" t="inlineStr">
        <is>
          <t>천원</t>
        </is>
      </c>
      <c r="I744" s="17" t="inlineStr"/>
      <c r="J744" s="18" t="inlineStr"/>
      <c r="K744" s="19" t="inlineStr"/>
      <c r="L744" s="18" t="inlineStr"/>
      <c r="M744" s="19" t="inlineStr"/>
      <c r="N744" s="18" t="inlineStr"/>
      <c r="O744" s="19" t="inlineStr"/>
      <c r="P744" s="18" t="inlineStr"/>
      <c r="Q744" s="19" t="inlineStr"/>
      <c r="R744" s="18" t="inlineStr"/>
      <c r="S744" s="20" t="inlineStr"/>
      <c r="T744" s="6" t="n">
        <v>1</v>
      </c>
      <c r="U744" s="5" t="inlineStr">
        <is>
          <t>반도체/Display 장비 등 / 2023년 / 202</t>
        </is>
      </c>
      <c r="V744" s="21">
        <f>HYPERLINK("https://dart.fss.or.kr/dsaf001/main.do?rcpNo=20240320001509", "공시열람")</f>
        <v/>
      </c>
    </row>
    <row r="745">
      <c r="A745" s="5" t="inlineStr">
        <is>
          <t>311960</t>
        </is>
      </c>
      <c r="B745" s="6" t="inlineStr">
        <is>
          <t>311960</t>
        </is>
      </c>
      <c r="C745" s="6" t="inlineStr">
        <is>
          <t>2025Q4</t>
        </is>
      </c>
      <c r="D745" s="6" t="inlineStr">
        <is>
          <t>20260326</t>
        </is>
      </c>
      <c r="E745" s="16" t="inlineStr"/>
      <c r="F745" s="16" t="inlineStr"/>
      <c r="G745" s="16" t="n">
        <v>328458</v>
      </c>
      <c r="H745" s="6" t="inlineStr">
        <is>
          <t>천원</t>
        </is>
      </c>
      <c r="I745" s="17" t="n">
        <v>-99.90000000000001</v>
      </c>
      <c r="J745" s="18" t="inlineStr"/>
      <c r="K745" s="19" t="inlineStr"/>
      <c r="L745" s="18" t="inlineStr"/>
      <c r="M745" s="19" t="n">
        <v>469008360</v>
      </c>
      <c r="N745" s="18" t="inlineStr"/>
      <c r="O745" s="19" t="inlineStr"/>
      <c r="P745" s="18" t="inlineStr"/>
      <c r="Q745" s="19" t="n">
        <v>328458</v>
      </c>
      <c r="R745" s="18" t="inlineStr"/>
      <c r="S745" s="20" t="inlineStr"/>
      <c r="T745" s="6" t="n">
        <v>2</v>
      </c>
      <c r="U745" s="5" t="inlineStr">
        <is>
          <t xml:space="preserve">공장설립인허가사전진단서비스시범구축 / 한국산업단지공단  | 24년 사회보장정보시스템 확대개편 사업 / 보건복지부 </t>
        </is>
      </c>
      <c r="V745" s="21">
        <f>HYPERLINK("https://dart.fss.or.kr/dsaf001/main.do?rcpNo=20260326000677", "공시열람")</f>
        <v/>
      </c>
    </row>
    <row r="746">
      <c r="A746" s="5" t="inlineStr">
        <is>
          <t>캐리</t>
        </is>
      </c>
      <c r="B746" s="6" t="inlineStr">
        <is>
          <t>313760</t>
        </is>
      </c>
      <c r="C746" s="6" t="inlineStr">
        <is>
          <t>2024Q4</t>
        </is>
      </c>
      <c r="D746" s="6" t="inlineStr">
        <is>
          <t>20250320</t>
        </is>
      </c>
      <c r="E746" s="16" t="inlineStr"/>
      <c r="F746" s="16" t="inlineStr"/>
      <c r="G746" s="16" t="n">
        <v>125654</v>
      </c>
      <c r="H746" s="6" t="inlineStr">
        <is>
          <t>천원</t>
        </is>
      </c>
      <c r="I746" s="17" t="n">
        <v>-96</v>
      </c>
      <c r="J746" s="18" t="inlineStr"/>
      <c r="K746" s="19" t="inlineStr"/>
      <c r="L746" s="18" t="inlineStr"/>
      <c r="M746" s="19" t="n">
        <v>125654</v>
      </c>
      <c r="N746" s="18" t="inlineStr"/>
      <c r="O746" s="19" t="inlineStr"/>
      <c r="P746" s="18" t="inlineStr"/>
      <c r="Q746" s="19" t="inlineStr"/>
      <c r="R746" s="18" t="inlineStr"/>
      <c r="S746" s="20" t="inlineStr"/>
      <c r="T746" s="6" t="n">
        <v>1</v>
      </c>
      <c r="U746" s="5" t="inlineStr">
        <is>
          <t>효성광양금호1호 태양광발전소 건설 공사</t>
        </is>
      </c>
      <c r="V746" s="21">
        <f>HYPERLINK("https://dart.fss.or.kr/dsaf001/main.do?rcpNo=20250320001747", "공시열람")</f>
        <v/>
      </c>
    </row>
    <row r="747">
      <c r="A747" s="5" t="inlineStr">
        <is>
          <t>지놈앤컴퍼니</t>
        </is>
      </c>
      <c r="B747" s="6" t="inlineStr">
        <is>
          <t>314130</t>
        </is>
      </c>
      <c r="C747" s="6" t="inlineStr">
        <is>
          <t>2026Q2</t>
        </is>
      </c>
      <c r="D747" s="6" t="inlineStr">
        <is>
          <t>20260814</t>
        </is>
      </c>
      <c r="E747" s="16" t="n">
        <v>4916</v>
      </c>
      <c r="F747" s="16" t="n">
        <v>-1484</v>
      </c>
      <c r="G747" s="16" t="n">
        <v>6400</v>
      </c>
      <c r="H747" s="6" t="inlineStr">
        <is>
          <t>백만원</t>
        </is>
      </c>
      <c r="I747" s="17" t="n">
        <v>102.1</v>
      </c>
      <c r="J747" s="18" t="n">
        <v>3298</v>
      </c>
      <c r="K747" s="19" t="n">
        <v>5178</v>
      </c>
      <c r="L747" s="18" t="n">
        <v>7935</v>
      </c>
      <c r="M747" s="19" t="n">
        <v>8000</v>
      </c>
      <c r="N747" s="18" t="n">
        <v>2270</v>
      </c>
      <c r="O747" s="19" t="n">
        <v>5006</v>
      </c>
      <c r="P747" s="18" t="n">
        <v>3501</v>
      </c>
      <c r="Q747" s="19" t="n">
        <v>3488</v>
      </c>
      <c r="R747" s="18" t="n">
        <v>3167</v>
      </c>
      <c r="S747" s="20" t="n">
        <v>6400</v>
      </c>
      <c r="T747" s="6" t="n">
        <v>1</v>
      </c>
      <c r="U747" s="5" t="inlineStr">
        <is>
          <t>CDMO / 2023~ / ~2026</t>
        </is>
      </c>
      <c r="V747" s="21">
        <f>HYPERLINK("https://dart.fss.or.kr/dsaf001/main.do?rcpNo=20260814003059", "공시열람")</f>
        <v/>
      </c>
    </row>
    <row r="748">
      <c r="A748" s="5" t="inlineStr">
        <is>
          <t>딥노이드</t>
        </is>
      </c>
      <c r="B748" s="6" t="inlineStr">
        <is>
          <t>315640</t>
        </is>
      </c>
      <c r="C748" s="6" t="inlineStr">
        <is>
          <t>2026Q2</t>
        </is>
      </c>
      <c r="D748" s="6" t="inlineStr">
        <is>
          <t>20260814</t>
        </is>
      </c>
      <c r="E748" s="16" t="n">
        <v>11954197</v>
      </c>
      <c r="F748" s="16" t="n">
        <v>9390406</v>
      </c>
      <c r="G748" s="16" t="n">
        <v>2563791</v>
      </c>
      <c r="H748" s="6" t="inlineStr">
        <is>
          <t>천원</t>
        </is>
      </c>
      <c r="I748" s="17" t="n">
        <v>-25.8</v>
      </c>
      <c r="J748" s="18" t="n">
        <v>9641359</v>
      </c>
      <c r="K748" s="19" t="n">
        <v>7863159</v>
      </c>
      <c r="L748" s="18" t="n">
        <v>6105915</v>
      </c>
      <c r="M748" s="19" t="n">
        <v>4071022</v>
      </c>
      <c r="N748" s="18" t="n">
        <v>3414278</v>
      </c>
      <c r="O748" s="19" t="n">
        <v>4293914</v>
      </c>
      <c r="P748" s="18" t="n">
        <v>2891025</v>
      </c>
      <c r="Q748" s="19" t="n">
        <v>3303459</v>
      </c>
      <c r="R748" s="18" t="n">
        <v>3455588</v>
      </c>
      <c r="S748" s="20" t="n">
        <v>2563791</v>
      </c>
      <c r="T748" s="6" t="n">
        <v>1</v>
      </c>
      <c r="U748" s="5" t="inlineStr">
        <is>
          <t>인공지능 솔루션 외</t>
        </is>
      </c>
      <c r="V748" s="21">
        <f>HYPERLINK("https://dart.fss.or.kr/dsaf001/main.do?rcpNo=20260814003155", "공시열람")</f>
        <v/>
      </c>
    </row>
    <row r="749">
      <c r="A749" s="5" t="inlineStr">
        <is>
          <t>자이에스앤디</t>
        </is>
      </c>
      <c r="B749" s="6" t="inlineStr">
        <is>
          <t>317400</t>
        </is>
      </c>
      <c r="C749" s="6" t="inlineStr">
        <is>
          <t>2026Q2</t>
        </is>
      </c>
      <c r="D749" s="6" t="inlineStr">
        <is>
          <t>20260814</t>
        </is>
      </c>
      <c r="E749" s="16" t="inlineStr"/>
      <c r="F749" s="16" t="n">
        <v>455806</v>
      </c>
      <c r="G749" s="16" t="n">
        <v>3222374</v>
      </c>
      <c r="H749" s="6" t="inlineStr">
        <is>
          <t>백만원</t>
        </is>
      </c>
      <c r="I749" s="17" t="n">
        <v>3.5</v>
      </c>
      <c r="J749" s="18" t="n">
        <v>1959428</v>
      </c>
      <c r="K749" s="19" t="n">
        <v>2163936</v>
      </c>
      <c r="L749" s="18" t="n">
        <v>2138083</v>
      </c>
      <c r="M749" s="19" t="n">
        <v>2096342</v>
      </c>
      <c r="N749" s="18" t="n">
        <v>893468</v>
      </c>
      <c r="O749" s="19" t="n">
        <v>1070282</v>
      </c>
      <c r="P749" s="18" t="n">
        <v>888890</v>
      </c>
      <c r="Q749" s="19" t="n">
        <v>1009768</v>
      </c>
      <c r="R749" s="18" t="n">
        <v>3111951</v>
      </c>
      <c r="S749" s="20" t="n">
        <v>3222374</v>
      </c>
      <c r="T749" s="6" t="n">
        <v>14</v>
      </c>
      <c r="U749" s="5" t="inlineStr">
        <is>
          <t>주택사업 / 기타 | Home Solution 사업 / 광주원주고속도로_BT | 주택사업 / 상주자이르네 / 고은건설</t>
        </is>
      </c>
      <c r="V749" s="21">
        <f>HYPERLINK("https://dart.fss.or.kr/dsaf001/main.do?rcpNo=20260814000451", "공시열람")</f>
        <v/>
      </c>
    </row>
    <row r="750">
      <c r="A750" s="5" t="inlineStr">
        <is>
          <t>에스피시스템스</t>
        </is>
      </c>
      <c r="B750" s="6" t="inlineStr">
        <is>
          <t>317830</t>
        </is>
      </c>
      <c r="C750" s="6" t="inlineStr">
        <is>
          <t>2026Q2</t>
        </is>
      </c>
      <c r="D750" s="6" t="inlineStr">
        <is>
          <t>20260814</t>
        </is>
      </c>
      <c r="E750" s="16" t="n">
        <v>107924386</v>
      </c>
      <c r="F750" s="16" t="n">
        <v>83301732</v>
      </c>
      <c r="G750" s="16" t="n">
        <v>24622654</v>
      </c>
      <c r="H750" s="6" t="inlineStr">
        <is>
          <t>천원</t>
        </is>
      </c>
      <c r="I750" s="17" t="n">
        <v>18.8</v>
      </c>
      <c r="J750" s="18" t="n">
        <v>36764409</v>
      </c>
      <c r="K750" s="19" t="n">
        <v>30105272</v>
      </c>
      <c r="L750" s="18" t="n">
        <v>27100452</v>
      </c>
      <c r="M750" s="19" t="inlineStr"/>
      <c r="N750" s="18" t="n">
        <v>23521045</v>
      </c>
      <c r="O750" s="19" t="n">
        <v>20825020</v>
      </c>
      <c r="P750" s="18" t="n">
        <v>22517781</v>
      </c>
      <c r="Q750" s="19" t="n">
        <v>16924168</v>
      </c>
      <c r="R750" s="18" t="n">
        <v>20718497</v>
      </c>
      <c r="S750" s="20" t="n">
        <v>24622654</v>
      </c>
      <c r="T750" s="6" t="n">
        <v>2</v>
      </c>
      <c r="U750" s="5" t="inlineStr">
        <is>
          <t>자동화시스템 / - | 스마트팩토리솔루션 / -</t>
        </is>
      </c>
      <c r="V750" s="21">
        <f>HYPERLINK("https://dart.fss.or.kr/dsaf001/main.do?rcpNo=20260814003488", "공시열람")</f>
        <v/>
      </c>
    </row>
    <row r="751">
      <c r="A751" s="5" t="inlineStr">
        <is>
          <t>대모</t>
        </is>
      </c>
      <c r="B751" s="6" t="inlineStr">
        <is>
          <t>317850</t>
        </is>
      </c>
      <c r="C751" s="6" t="inlineStr">
        <is>
          <t>2026Q2</t>
        </is>
      </c>
      <c r="D751" s="6" t="inlineStr">
        <is>
          <t>20260814</t>
        </is>
      </c>
      <c r="E751" s="16" t="n">
        <v>29056237</v>
      </c>
      <c r="F751" s="16" t="n">
        <v>22831190</v>
      </c>
      <c r="G751" s="16" t="n">
        <v>6225047</v>
      </c>
      <c r="H751" s="6" t="inlineStr">
        <is>
          <t>천원</t>
        </is>
      </c>
      <c r="I751" s="17" t="n">
        <v>30.9</v>
      </c>
      <c r="J751" s="18" t="n">
        <v>4880287</v>
      </c>
      <c r="K751" s="19" t="n">
        <v>5695854</v>
      </c>
      <c r="L751" s="18" t="n">
        <v>5343881</v>
      </c>
      <c r="M751" s="19" t="n">
        <v>4808916</v>
      </c>
      <c r="N751" s="18" t="n">
        <v>4520733</v>
      </c>
      <c r="O751" s="19" t="n">
        <v>4262696</v>
      </c>
      <c r="P751" s="18" t="n">
        <v>2846846</v>
      </c>
      <c r="Q751" s="19" t="n">
        <v>5646003</v>
      </c>
      <c r="R751" s="18" t="n">
        <v>4757243</v>
      </c>
      <c r="S751" s="20" t="n">
        <v>6225047</v>
      </c>
      <c r="T751" s="6" t="n">
        <v>1</v>
      </c>
      <c r="U751" s="5" t="inlineStr">
        <is>
          <t>유압브레이커 외 / 2026년 1월 ~ 현재 / 202</t>
        </is>
      </c>
      <c r="V751" s="21">
        <f>HYPERLINK("https://dart.fss.or.kr/dsaf001/main.do?rcpNo=20260814001352", "공시열람")</f>
        <v/>
      </c>
    </row>
    <row r="752">
      <c r="A752" s="5" t="inlineStr">
        <is>
          <t>타임기술</t>
        </is>
      </c>
      <c r="B752" s="6" t="inlineStr">
        <is>
          <t>318660</t>
        </is>
      </c>
      <c r="C752" s="6" t="inlineStr">
        <is>
          <t>2025Q4</t>
        </is>
      </c>
      <c r="D752" s="6" t="inlineStr">
        <is>
          <t>20260323</t>
        </is>
      </c>
      <c r="E752" s="16" t="n">
        <v>12050414</v>
      </c>
      <c r="F752" s="16" t="n">
        <v>6658852</v>
      </c>
      <c r="G752" s="16" t="n">
        <v>5391558</v>
      </c>
      <c r="H752" s="6" t="inlineStr">
        <is>
          <t>천원</t>
        </is>
      </c>
      <c r="I752" s="17" t="n">
        <v>-16.3</v>
      </c>
      <c r="J752" s="18" t="inlineStr"/>
      <c r="K752" s="19" t="inlineStr"/>
      <c r="L752" s="18" t="inlineStr"/>
      <c r="M752" s="19" t="n">
        <v>6438018</v>
      </c>
      <c r="N752" s="18" t="inlineStr"/>
      <c r="O752" s="19" t="inlineStr"/>
      <c r="P752" s="18" t="inlineStr"/>
      <c r="Q752" s="19" t="n">
        <v>5391558</v>
      </c>
      <c r="R752" s="18" t="inlineStr"/>
      <c r="S752" s="20" t="inlineStr"/>
      <c r="T752" s="6" t="n">
        <v>26</v>
      </c>
      <c r="U752" s="5" t="inlineStr">
        <is>
          <t>IPS / 한국항공우주산업 / 2025-01-01 | IPS / 한국항공우주산업 / 2024-09-10 | 콘텐츠 / 현대로템 / 2025-08-08</t>
        </is>
      </c>
      <c r="V752" s="21">
        <f>HYPERLINK("https://dart.fss.or.kr/dsaf001/main.do?rcpNo=20260323000081", "공시열람")</f>
        <v/>
      </c>
    </row>
    <row r="753">
      <c r="A753" s="5" t="inlineStr">
        <is>
          <t>현대무벡스</t>
        </is>
      </c>
      <c r="B753" s="6" t="inlineStr">
        <is>
          <t>319400</t>
        </is>
      </c>
      <c r="C753" s="6" t="inlineStr">
        <is>
          <t>2026Q2</t>
        </is>
      </c>
      <c r="D753" s="6" t="inlineStr">
        <is>
          <t>20260814</t>
        </is>
      </c>
      <c r="E753" s="16" t="n">
        <v>548128800</v>
      </c>
      <c r="F753" s="16" t="n">
        <v>166327510</v>
      </c>
      <c r="G753" s="16" t="n">
        <v>381801290</v>
      </c>
      <c r="H753" s="6" t="inlineStr">
        <is>
          <t>천원</t>
        </is>
      </c>
      <c r="I753" s="17" t="n">
        <v>3.9</v>
      </c>
      <c r="J753" s="18" t="n">
        <v>15268789</v>
      </c>
      <c r="K753" s="19" t="n">
        <v>540418228</v>
      </c>
      <c r="L753" s="18" t="n">
        <v>486486816</v>
      </c>
      <c r="M753" s="19" t="n">
        <v>426861169</v>
      </c>
      <c r="N753" s="18" t="n">
        <v>466303912</v>
      </c>
      <c r="O753" s="19" t="n">
        <v>421481842</v>
      </c>
      <c r="P753" s="18" t="n">
        <v>363174184</v>
      </c>
      <c r="Q753" s="19" t="n">
        <v>373176713</v>
      </c>
      <c r="R753" s="18" t="n">
        <v>367420774</v>
      </c>
      <c r="S753" s="20" t="n">
        <v>381801290</v>
      </c>
      <c r="T753" s="6" t="n">
        <v>3</v>
      </c>
      <c r="U753" s="5" t="inlineStr">
        <is>
          <t>물류자동화 / 2026.06.30. 까지 | 승강장 안전문 / 2026.06.30. 까지 | IT서비스 / 2026.06.30. 까지</t>
        </is>
      </c>
      <c r="V753" s="21">
        <f>HYPERLINK("https://dart.fss.or.kr/dsaf001/main.do?rcpNo=20260814003499", "공시열람")</f>
        <v/>
      </c>
    </row>
    <row r="754">
      <c r="A754" s="5" t="inlineStr">
        <is>
          <t>한울반도체</t>
        </is>
      </c>
      <c r="B754" s="6" t="inlineStr">
        <is>
          <t>320000</t>
        </is>
      </c>
      <c r="C754" s="6" t="inlineStr">
        <is>
          <t>2026Q2</t>
        </is>
      </c>
      <c r="D754" s="6" t="inlineStr">
        <is>
          <t>20260814</t>
        </is>
      </c>
      <c r="E754" s="16" t="n">
        <v>9908436</v>
      </c>
      <c r="F754" s="16" t="n">
        <v>4976149</v>
      </c>
      <c r="G754" s="16" t="n">
        <v>4932288</v>
      </c>
      <c r="H754" s="6" t="inlineStr">
        <is>
          <t>천원</t>
        </is>
      </c>
      <c r="I754" s="17" t="n">
        <v>-1.8</v>
      </c>
      <c r="J754" s="18" t="n">
        <v>8322663</v>
      </c>
      <c r="K754" s="19" t="n">
        <v>6124561</v>
      </c>
      <c r="L754" s="18" t="n">
        <v>6804608</v>
      </c>
      <c r="M754" s="19" t="n">
        <v>7629493</v>
      </c>
      <c r="N754" s="18" t="n">
        <v>8734250</v>
      </c>
      <c r="O754" s="19" t="n">
        <v>8959316</v>
      </c>
      <c r="P754" s="18" t="n">
        <v>9579565</v>
      </c>
      <c r="Q754" s="19" t="n">
        <v>6363585</v>
      </c>
      <c r="R754" s="18" t="n">
        <v>5020482</v>
      </c>
      <c r="S754" s="20" t="n">
        <v>4932288</v>
      </c>
      <c r="T754" s="6" t="n">
        <v>3</v>
      </c>
      <c r="U754" s="5" t="inlineStr">
        <is>
          <t>머신비전(주1) / Chip 검사장비 / - | 머신비전(주1) / Display 검사장비 / - | 머신비전(주1) / Film 검사장비 / -</t>
        </is>
      </c>
      <c r="V754" s="21">
        <f>HYPERLINK("https://dart.fss.or.kr/dsaf001/main.do?rcpNo=20260814003668", "공시열람")</f>
        <v/>
      </c>
    </row>
    <row r="755">
      <c r="A755" s="5" t="inlineStr">
        <is>
          <t>프로이천</t>
        </is>
      </c>
      <c r="B755" s="6" t="inlineStr">
        <is>
          <t>321260</t>
        </is>
      </c>
      <c r="C755" s="6" t="inlineStr">
        <is>
          <t>2026Q2</t>
        </is>
      </c>
      <c r="D755" s="6" t="inlineStr">
        <is>
          <t>20260813</t>
        </is>
      </c>
      <c r="E755" s="16" t="n">
        <v>15482</v>
      </c>
      <c r="F755" s="16" t="n">
        <v>15482</v>
      </c>
      <c r="G755" s="16" t="n">
        <v>0</v>
      </c>
      <c r="H755" s="6" t="inlineStr">
        <is>
          <t>백만원</t>
        </is>
      </c>
      <c r="I755" s="17" t="n">
        <v>-100</v>
      </c>
      <c r="J755" s="18" t="n">
        <v>9626</v>
      </c>
      <c r="K755" s="19" t="n">
        <v>4205</v>
      </c>
      <c r="L755" s="18" t="n">
        <v>2500</v>
      </c>
      <c r="M755" s="19" t="n">
        <v>4836</v>
      </c>
      <c r="N755" s="18" t="n">
        <v>2485</v>
      </c>
      <c r="O755" s="19" t="n">
        <v>2781</v>
      </c>
      <c r="P755" s="18" t="n">
        <v>4046</v>
      </c>
      <c r="Q755" s="19" t="n">
        <v>3069</v>
      </c>
      <c r="R755" s="18" t="n">
        <v>5221</v>
      </c>
      <c r="S755" s="20" t="n">
        <v>0</v>
      </c>
      <c r="T755" s="6" t="n">
        <v>2</v>
      </c>
      <c r="U755" s="5" t="inlineStr">
        <is>
          <t>디스플레이 검사장치 / - | 반도체 검사장치 / -</t>
        </is>
      </c>
      <c r="V755" s="21">
        <f>HYPERLINK("https://dart.fss.or.kr/dsaf001/main.do?rcpNo=20260813000508", "공시열람")</f>
        <v/>
      </c>
    </row>
    <row r="756">
      <c r="A756" s="5" t="inlineStr">
        <is>
          <t>센서뷰</t>
        </is>
      </c>
      <c r="B756" s="6" t="inlineStr">
        <is>
          <t>321370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inlineStr"/>
      <c r="G756" s="16" t="n">
        <v>22089913</v>
      </c>
      <c r="H756" s="6" t="inlineStr">
        <is>
          <t>천원</t>
        </is>
      </c>
      <c r="I756" s="17" t="n">
        <v>33.9</v>
      </c>
      <c r="J756" s="18" t="inlineStr"/>
      <c r="K756" s="19" t="inlineStr"/>
      <c r="L756" s="18" t="n">
        <v>945562</v>
      </c>
      <c r="M756" s="19" t="n">
        <v>4577353</v>
      </c>
      <c r="N756" s="18" t="n">
        <v>5679754</v>
      </c>
      <c r="O756" s="19" t="n">
        <v>10415701</v>
      </c>
      <c r="P756" s="18" t="n">
        <v>10449728</v>
      </c>
      <c r="Q756" s="19" t="n">
        <v>8177397</v>
      </c>
      <c r="R756" s="18" t="n">
        <v>16496947</v>
      </c>
      <c r="S756" s="20" t="n">
        <v>22089913</v>
      </c>
      <c r="T756" s="6" t="n">
        <v>0</v>
      </c>
      <c r="U756" s="5" t="inlineStr"/>
      <c r="V756" s="21">
        <f>HYPERLINK("https://dart.fss.or.kr/dsaf001/main.do?rcpNo=20260814002382", "공시열람")</f>
        <v/>
      </c>
    </row>
    <row r="757">
      <c r="A757" s="5" t="inlineStr">
        <is>
          <t>티움바이오</t>
        </is>
      </c>
      <c r="B757" s="6" t="inlineStr">
        <is>
          <t>321550</t>
        </is>
      </c>
      <c r="C757" s="6" t="inlineStr">
        <is>
          <t>2026Q2</t>
        </is>
      </c>
      <c r="D757" s="6" t="inlineStr">
        <is>
          <t>20260814</t>
        </is>
      </c>
      <c r="E757" s="16" t="n">
        <v>41513346</v>
      </c>
      <c r="F757" s="16" t="n">
        <v>16193935</v>
      </c>
      <c r="G757" s="16" t="n">
        <v>25319411</v>
      </c>
      <c r="H757" s="6" t="inlineStr">
        <is>
          <t>천원</t>
        </is>
      </c>
      <c r="I757" s="17" t="n">
        <v>3</v>
      </c>
      <c r="J757" s="18" t="n">
        <v>6459279</v>
      </c>
      <c r="K757" s="19" t="n">
        <v>6352419</v>
      </c>
      <c r="L757" s="18" t="n">
        <v>5391920</v>
      </c>
      <c r="M757" s="19" t="n">
        <v>4426646</v>
      </c>
      <c r="N757" s="18" t="n">
        <v>5494042</v>
      </c>
      <c r="O757" s="19" t="n">
        <v>14990431</v>
      </c>
      <c r="P757" s="18" t="n">
        <v>23035137</v>
      </c>
      <c r="Q757" s="19" t="n">
        <v>20577295</v>
      </c>
      <c r="R757" s="18" t="n">
        <v>24583961</v>
      </c>
      <c r="S757" s="20" t="n">
        <v>25319411</v>
      </c>
      <c r="T757" s="6" t="n">
        <v>2</v>
      </c>
      <c r="U757" s="5" t="inlineStr">
        <is>
          <t>위탁개발 및 분석 | 천연화장품 OEM/ODM</t>
        </is>
      </c>
      <c r="V757" s="21">
        <f>HYPERLINK("https://dart.fss.or.kr/dsaf001/main.do?rcpNo=20260814001441", "공시열람")</f>
        <v/>
      </c>
    </row>
    <row r="758">
      <c r="A758" s="5" t="inlineStr">
        <is>
          <t>HD현대에너지솔루션</t>
        </is>
      </c>
      <c r="B758" s="6" t="inlineStr">
        <is>
          <t>322000</t>
        </is>
      </c>
      <c r="C758" s="6" t="inlineStr">
        <is>
          <t>2026Q2</t>
        </is>
      </c>
      <c r="D758" s="6" t="inlineStr">
        <is>
          <t>20260814</t>
        </is>
      </c>
      <c r="E758" s="16" t="inlineStr"/>
      <c r="F758" s="16" t="inlineStr"/>
      <c r="G758" s="16" t="n">
        <v>14303229</v>
      </c>
      <c r="H758" s="6" t="inlineStr">
        <is>
          <t>천원</t>
        </is>
      </c>
      <c r="I758" s="17" t="n">
        <v>35.8</v>
      </c>
      <c r="J758" s="18" t="n">
        <v>27217550</v>
      </c>
      <c r="K758" s="19" t="n">
        <v>15399084</v>
      </c>
      <c r="L758" s="18" t="n">
        <v>19232675</v>
      </c>
      <c r="M758" s="19" t="n">
        <v>23807433</v>
      </c>
      <c r="N758" s="18" t="n">
        <v>23807433</v>
      </c>
      <c r="O758" s="19" t="n">
        <v>4927681</v>
      </c>
      <c r="P758" s="18" t="n">
        <v>4324569</v>
      </c>
      <c r="Q758" s="19" t="n">
        <v>5379590</v>
      </c>
      <c r="R758" s="18" t="n">
        <v>10529250</v>
      </c>
      <c r="S758" s="20" t="n">
        <v>14303229</v>
      </c>
      <c r="T758" s="6" t="n">
        <v>1</v>
      </c>
      <c r="U758" s="5" t="inlineStr">
        <is>
          <t>모듈설치 공사 / '26.06.30 까지 / -</t>
        </is>
      </c>
      <c r="V758" s="21">
        <f>HYPERLINK("https://dart.fss.or.kr/dsaf001/main.do?rcpNo=20260814002295", "공시열람")</f>
        <v/>
      </c>
    </row>
    <row r="759">
      <c r="A759" s="5" t="inlineStr">
        <is>
          <t>LS티라유텍</t>
        </is>
      </c>
      <c r="B759" s="6" t="inlineStr">
        <is>
          <t>322180</t>
        </is>
      </c>
      <c r="C759" s="6" t="inlineStr">
        <is>
          <t>2026Q2</t>
        </is>
      </c>
      <c r="D759" s="6" t="inlineStr">
        <is>
          <t>20260814</t>
        </is>
      </c>
      <c r="E759" s="16" t="n">
        <v>50590</v>
      </c>
      <c r="F759" s="16" t="n">
        <v>37187</v>
      </c>
      <c r="G759" s="16" t="n">
        <v>13404</v>
      </c>
      <c r="H759" s="6" t="inlineStr">
        <is>
          <t>백만원</t>
        </is>
      </c>
      <c r="I759" s="17" t="n">
        <v>-13.2</v>
      </c>
      <c r="J759" s="18" t="n">
        <v>17017</v>
      </c>
      <c r="K759" s="19" t="n">
        <v>16240</v>
      </c>
      <c r="L759" s="18" t="n">
        <v>11441</v>
      </c>
      <c r="M759" s="19" t="n">
        <v>1098</v>
      </c>
      <c r="N759" s="18" t="n">
        <v>14792</v>
      </c>
      <c r="O759" s="19" t="n">
        <v>581</v>
      </c>
      <c r="P759" s="18" t="n">
        <v>14469</v>
      </c>
      <c r="Q759" s="19" t="n">
        <v>309</v>
      </c>
      <c r="R759" s="18" t="n">
        <v>15445</v>
      </c>
      <c r="S759" s="20" t="n">
        <v>13404</v>
      </c>
      <c r="T759" s="6" t="n">
        <v>5</v>
      </c>
      <c r="U759" s="5" t="inlineStr">
        <is>
          <t>IT서비스 및 SW매출 / - | 파우치형 이차전지 스마트팩토리 구축 / 2024-05- | 물류자동화 공급 / 2025-07-28 / 2026-1</t>
        </is>
      </c>
      <c r="V759" s="21">
        <f>HYPERLINK("https://dart.fss.or.kr/dsaf001/main.do?rcpNo=20260814002493", "공시열람")</f>
        <v/>
      </c>
    </row>
    <row r="760">
      <c r="A760" s="5" t="inlineStr">
        <is>
          <t>제이엘케이</t>
        </is>
      </c>
      <c r="B760" s="6" t="inlineStr">
        <is>
          <t>322510</t>
        </is>
      </c>
      <c r="C760" s="6" t="inlineStr">
        <is>
          <t>2026Q2</t>
        </is>
      </c>
      <c r="D760" s="6" t="inlineStr">
        <is>
          <t>20260814</t>
        </is>
      </c>
      <c r="E760" s="16" t="n">
        <v>1000</v>
      </c>
      <c r="F760" s="16" t="n">
        <v>750</v>
      </c>
      <c r="G760" s="16" t="n">
        <v>250</v>
      </c>
      <c r="H760" s="6" t="inlineStr">
        <is>
          <t>백만원</t>
        </is>
      </c>
      <c r="I760" s="17" t="n">
        <v>0</v>
      </c>
      <c r="J760" s="18" t="n">
        <v>1360</v>
      </c>
      <c r="K760" s="19" t="n">
        <v>1360</v>
      </c>
      <c r="L760" s="18" t="n">
        <v>1360</v>
      </c>
      <c r="M760" s="19" t="n">
        <v>1360</v>
      </c>
      <c r="N760" s="18" t="n">
        <v>700</v>
      </c>
      <c r="O760" s="19" t="n">
        <v>500</v>
      </c>
      <c r="P760" s="18" t="n">
        <v>500</v>
      </c>
      <c r="Q760" s="19" t="n">
        <v>250</v>
      </c>
      <c r="R760" s="18" t="n">
        <v>250</v>
      </c>
      <c r="S760" s="20" t="n">
        <v>250</v>
      </c>
      <c r="T760" s="6" t="n">
        <v>1</v>
      </c>
      <c r="U760" s="5" t="inlineStr">
        <is>
          <t>JVIEWER-X(AI 기반 흉부 X-ray 폐영상 분</t>
        </is>
      </c>
      <c r="V760" s="21">
        <f>HYPERLINK("https://dart.fss.or.kr/dsaf001/main.do?rcpNo=20260814002418", "공시열람")</f>
        <v/>
      </c>
    </row>
    <row r="761">
      <c r="A761" s="5" t="inlineStr">
        <is>
          <t>태성</t>
        </is>
      </c>
      <c r="B761" s="6" t="inlineStr">
        <is>
          <t>323280</t>
        </is>
      </c>
      <c r="C761" s="6" t="inlineStr">
        <is>
          <t>2026Q2</t>
        </is>
      </c>
      <c r="D761" s="6" t="inlineStr">
        <is>
          <t>20260812</t>
        </is>
      </c>
      <c r="E761" s="16" t="n">
        <v>68975</v>
      </c>
      <c r="F761" s="16" t="n">
        <v>23382</v>
      </c>
      <c r="G761" s="16" t="n">
        <v>45593</v>
      </c>
      <c r="H761" s="6" t="inlineStr">
        <is>
          <t>백만원</t>
        </is>
      </c>
      <c r="I761" s="17" t="n">
        <v>43</v>
      </c>
      <c r="J761" s="18" t="n">
        <v>22375</v>
      </c>
      <c r="K761" s="19" t="n">
        <v>16537</v>
      </c>
      <c r="L761" s="18" t="n">
        <v>8512</v>
      </c>
      <c r="M761" s="19" t="n">
        <v>7468</v>
      </c>
      <c r="N761" s="18" t="n">
        <v>7737</v>
      </c>
      <c r="O761" s="19" t="n">
        <v>7076</v>
      </c>
      <c r="P761" s="18" t="n">
        <v>13999</v>
      </c>
      <c r="Q761" s="19" t="n">
        <v>38453</v>
      </c>
      <c r="R761" s="18" t="n">
        <v>31891</v>
      </c>
      <c r="S761" s="20" t="n">
        <v>45593</v>
      </c>
      <c r="T761" s="6" t="n">
        <v>9</v>
      </c>
      <c r="U761" s="5" t="inlineStr">
        <is>
          <t>제품 / - | 제품 / - | 제품 / -</t>
        </is>
      </c>
      <c r="V761" s="21">
        <f>HYPERLINK("https://dart.fss.or.kr/dsaf001/main.do?rcpNo=20260812000203", "공시열람")</f>
        <v/>
      </c>
    </row>
    <row r="762">
      <c r="A762" s="5" t="inlineStr">
        <is>
          <t>다원넥스뷰</t>
        </is>
      </c>
      <c r="B762" s="6" t="inlineStr">
        <is>
          <t>323350</t>
        </is>
      </c>
      <c r="C762" s="6" t="inlineStr">
        <is>
          <t>2023Q4</t>
        </is>
      </c>
      <c r="D762" s="6" t="inlineStr">
        <is>
          <t>20240314</t>
        </is>
      </c>
      <c r="E762" s="16" t="n">
        <v>20729</v>
      </c>
      <c r="F762" s="16" t="n">
        <v>6556</v>
      </c>
      <c r="G762" s="16" t="n">
        <v>14173</v>
      </c>
      <c r="H762" s="6" t="inlineStr"/>
      <c r="I762" s="17" t="inlineStr"/>
      <c r="J762" s="18" t="inlineStr"/>
      <c r="K762" s="19" t="inlineStr"/>
      <c r="L762" s="18" t="inlineStr"/>
      <c r="M762" s="19" t="inlineStr"/>
      <c r="N762" s="18" t="inlineStr"/>
      <c r="O762" s="19" t="inlineStr"/>
      <c r="P762" s="18" t="inlineStr"/>
      <c r="Q762" s="19" t="inlineStr"/>
      <c r="R762" s="18" t="inlineStr"/>
      <c r="S762" s="20" t="inlineStr"/>
      <c r="T762" s="6" t="n">
        <v>1</v>
      </c>
      <c r="U762" s="5" t="inlineStr">
        <is>
          <t>LSMB / 23.01.01 ~ 23.12.31 / 2</t>
        </is>
      </c>
      <c r="V762" s="21">
        <f>HYPERLINK("https://dart.fss.or.kr/dsaf001/main.do?rcpNo=20240314000984", "공시열람")</f>
        <v/>
      </c>
    </row>
    <row r="763">
      <c r="A763" s="5" t="inlineStr">
        <is>
          <t>루닛</t>
        </is>
      </c>
      <c r="B763" s="6" t="inlineStr">
        <is>
          <t>328130</t>
        </is>
      </c>
      <c r="C763" s="6" t="inlineStr">
        <is>
          <t>2026Q2</t>
        </is>
      </c>
      <c r="D763" s="6" t="inlineStr">
        <is>
          <t>20260811</t>
        </is>
      </c>
      <c r="E763" s="16" t="inlineStr"/>
      <c r="F763" s="16" t="inlineStr"/>
      <c r="G763" s="16" t="n">
        <v>20000000</v>
      </c>
      <c r="H763" s="6" t="inlineStr">
        <is>
          <t>USD</t>
        </is>
      </c>
      <c r="I763" s="17" t="n">
        <v>1846.5</v>
      </c>
      <c r="J763" s="18" t="n">
        <v>75903</v>
      </c>
      <c r="K763" s="19" t="n">
        <v>30473</v>
      </c>
      <c r="L763" s="18" t="n">
        <v>70894</v>
      </c>
      <c r="M763" s="19" t="n">
        <v>49048</v>
      </c>
      <c r="N763" s="18" t="n">
        <v>870689</v>
      </c>
      <c r="O763" s="19" t="n">
        <v>96424</v>
      </c>
      <c r="P763" s="18" t="n">
        <v>23000000</v>
      </c>
      <c r="Q763" s="19" t="n">
        <v>490463</v>
      </c>
      <c r="R763" s="18" t="n">
        <v>1027482</v>
      </c>
      <c r="S763" s="20" t="n">
        <v>20000000</v>
      </c>
      <c r="T763" s="6" t="n">
        <v>1</v>
      </c>
      <c r="U763" s="5" t="inlineStr">
        <is>
          <t>통화선도 / USD</t>
        </is>
      </c>
      <c r="V763" s="21">
        <f>HYPERLINK("https://dart.fss.or.kr/dsaf001/main.do?rcpNo=20260811000657", "공시열람")</f>
        <v/>
      </c>
    </row>
    <row r="764">
      <c r="A764" s="5" t="inlineStr">
        <is>
          <t>HD현대중공업</t>
        </is>
      </c>
      <c r="B764" s="6" t="inlineStr">
        <is>
          <t>329180</t>
        </is>
      </c>
      <c r="C764" s="6" t="inlineStr">
        <is>
          <t>2026Q2</t>
        </is>
      </c>
      <c r="D764" s="6" t="inlineStr">
        <is>
          <t>20260814</t>
        </is>
      </c>
      <c r="E764" s="16" t="inlineStr"/>
      <c r="F764" s="16" t="inlineStr"/>
      <c r="G764" s="16" t="n">
        <v>69514154</v>
      </c>
      <c r="H764" s="6" t="inlineStr">
        <is>
          <t>백만원</t>
        </is>
      </c>
      <c r="I764" s="17" t="n">
        <v>11.8</v>
      </c>
      <c r="J764" s="18" t="n">
        <v>45978622</v>
      </c>
      <c r="K764" s="19" t="n">
        <v>46328902</v>
      </c>
      <c r="L764" s="18" t="n">
        <v>43957480</v>
      </c>
      <c r="M764" s="19" t="n">
        <v>46931768</v>
      </c>
      <c r="N764" s="18" t="n">
        <v>49633635</v>
      </c>
      <c r="O764" s="19" t="n">
        <v>46344247</v>
      </c>
      <c r="P764" s="18" t="n">
        <v>45018051</v>
      </c>
      <c r="Q764" s="19" t="n">
        <v>56384472</v>
      </c>
      <c r="R764" s="18" t="n">
        <v>62170777</v>
      </c>
      <c r="S764" s="20" t="n">
        <v>69514154</v>
      </c>
      <c r="T764" s="6" t="n">
        <v>3</v>
      </c>
      <c r="U764" s="5" t="inlineStr">
        <is>
          <t>조 선 / '26.06.30일까지 / - | 기 타 / '26.06.30일까지 / - | 해양플랜트 / '26.06.30일까지 / -</t>
        </is>
      </c>
      <c r="V764" s="21">
        <f>HYPERLINK("https://dart.fss.or.kr/dsaf001/main.do?rcpNo=20260814002879", "공시열람")</f>
        <v/>
      </c>
    </row>
    <row r="765">
      <c r="A765" s="5" t="inlineStr">
        <is>
          <t>아우토크립트</t>
        </is>
      </c>
      <c r="B765" s="6" t="inlineStr">
        <is>
          <t>331740</t>
        </is>
      </c>
      <c r="C765" s="6" t="inlineStr">
        <is>
          <t>2026Q2</t>
        </is>
      </c>
      <c r="D765" s="6" t="inlineStr">
        <is>
          <t>20260814</t>
        </is>
      </c>
      <c r="E765" s="16" t="n">
        <v>17521589</v>
      </c>
      <c r="F765" s="16" t="inlineStr"/>
      <c r="G765" s="16" t="n">
        <v>8919273</v>
      </c>
      <c r="H765" s="6" t="inlineStr">
        <is>
          <t>천원</t>
        </is>
      </c>
      <c r="I765" s="17" t="n">
        <v>-0.6</v>
      </c>
      <c r="J765" s="18" t="inlineStr"/>
      <c r="K765" s="19" t="inlineStr"/>
      <c r="L765" s="18" t="inlineStr"/>
      <c r="M765" s="19" t="inlineStr"/>
      <c r="N765" s="18" t="inlineStr"/>
      <c r="O765" s="19" t="n">
        <v>8837124</v>
      </c>
      <c r="P765" s="18" t="inlineStr"/>
      <c r="Q765" s="19" t="n">
        <v>8853891</v>
      </c>
      <c r="R765" s="18" t="n">
        <v>8969064</v>
      </c>
      <c r="S765" s="20" t="n">
        <v>8919273</v>
      </c>
      <c r="T765" s="6" t="n">
        <v>16</v>
      </c>
      <c r="U765" s="5" t="inlineStr">
        <is>
          <t xml:space="preserve">기타 | CryptoDev(IVS 사업) / 차량 제어기 보안  | CryptoComm (V2X 사업) / 차량통신 보안 </t>
        </is>
      </c>
      <c r="V765" s="21">
        <f>HYPERLINK("https://dart.fss.or.kr/dsaf001/main.do?rcpNo=20260814003908", "공시열람")</f>
        <v/>
      </c>
    </row>
    <row r="766">
      <c r="A766" s="5" t="inlineStr">
        <is>
          <t>누보</t>
        </is>
      </c>
      <c r="B766" s="6" t="inlineStr">
        <is>
          <t>332290</t>
        </is>
      </c>
      <c r="C766" s="6" t="inlineStr">
        <is>
          <t>2026Q2</t>
        </is>
      </c>
      <c r="D766" s="6" t="inlineStr">
        <is>
          <t>20260814</t>
        </is>
      </c>
      <c r="E766" s="16" t="n">
        <v>8267</v>
      </c>
      <c r="F766" s="16" t="n">
        <v>8153</v>
      </c>
      <c r="G766" s="16" t="n">
        <v>114</v>
      </c>
      <c r="H766" s="6" t="inlineStr">
        <is>
          <t>천KG,천USD</t>
        </is>
      </c>
      <c r="I766" s="17" t="n">
        <v>850</v>
      </c>
      <c r="J766" s="18" t="n">
        <v>794</v>
      </c>
      <c r="K766" s="19" t="n">
        <v>395</v>
      </c>
      <c r="L766" s="18" t="n">
        <v>22217</v>
      </c>
      <c r="M766" s="19" t="n">
        <v>6661</v>
      </c>
      <c r="N766" s="18" t="n">
        <v>2320</v>
      </c>
      <c r="O766" s="19" t="n">
        <v>4790</v>
      </c>
      <c r="P766" s="18" t="n">
        <v>5642</v>
      </c>
      <c r="Q766" s="19" t="n">
        <v>12956</v>
      </c>
      <c r="R766" s="18" t="n">
        <v>12</v>
      </c>
      <c r="S766" s="20" t="n">
        <v>114</v>
      </c>
      <c r="T766" s="6" t="n">
        <v>3</v>
      </c>
      <c r="U766" s="5" t="inlineStr">
        <is>
          <t>비료류 / 2025년~ / 2026년내 | 녹차류 / 2025년~ / 2026년내 | 기타 / 2025년~ / 2026년내</t>
        </is>
      </c>
      <c r="V766" s="21">
        <f>HYPERLINK("https://dart.fss.or.kr/dsaf001/main.do?rcpNo=20260814001153", "공시열람")</f>
        <v/>
      </c>
    </row>
    <row r="767">
      <c r="A767" s="5" t="inlineStr">
        <is>
          <t>이노테나</t>
        </is>
      </c>
      <c r="B767" s="6" t="inlineStr">
        <is>
          <t>333050</t>
        </is>
      </c>
      <c r="C767" s="6" t="inlineStr">
        <is>
          <t>2026Q2</t>
        </is>
      </c>
      <c r="D767" s="6" t="inlineStr">
        <is>
          <t>20260814</t>
        </is>
      </c>
      <c r="E767" s="16" t="n">
        <v>11495022</v>
      </c>
      <c r="F767" s="16" t="inlineStr"/>
      <c r="G767" s="16" t="n">
        <v>17339878</v>
      </c>
      <c r="H767" s="6" t="inlineStr">
        <is>
          <t>천원</t>
        </is>
      </c>
      <c r="I767" s="17" t="n">
        <v>-0.6</v>
      </c>
      <c r="J767" s="18" t="n">
        <v>25008165</v>
      </c>
      <c r="K767" s="19" t="n">
        <v>26825963</v>
      </c>
      <c r="L767" s="18" t="n">
        <v>16915661</v>
      </c>
      <c r="M767" s="19" t="n">
        <v>20391974</v>
      </c>
      <c r="N767" s="18" t="n">
        <v>19518222</v>
      </c>
      <c r="O767" s="19" t="n">
        <v>20026973</v>
      </c>
      <c r="P767" s="18" t="n">
        <v>16303465</v>
      </c>
      <c r="Q767" s="19" t="n">
        <v>18248026</v>
      </c>
      <c r="R767" s="18" t="n">
        <v>17450213</v>
      </c>
      <c r="S767" s="20" t="n">
        <v>17339878</v>
      </c>
      <c r="T767" s="6" t="n">
        <v>3</v>
      </c>
      <c r="U767" s="5" t="inlineStr">
        <is>
          <t>연계솔루션사업 | 클라우드솔루션사업 (APM솔루션 포함) | 보안솔루션사업</t>
        </is>
      </c>
      <c r="V767" s="21">
        <f>HYPERLINK("https://dart.fss.or.kr/dsaf001/main.do?rcpNo=20260814001122", "공시열람")</f>
        <v/>
      </c>
    </row>
    <row r="768">
      <c r="A768" s="5" t="inlineStr">
        <is>
          <t>일승</t>
        </is>
      </c>
      <c r="B768" s="6" t="inlineStr">
        <is>
          <t>333430</t>
        </is>
      </c>
      <c r="C768" s="6" t="inlineStr">
        <is>
          <t>2026Q2</t>
        </is>
      </c>
      <c r="D768" s="6" t="inlineStr">
        <is>
          <t>20260814</t>
        </is>
      </c>
      <c r="E768" s="16" t="n">
        <v>59575</v>
      </c>
      <c r="F768" s="16" t="n">
        <v>28308</v>
      </c>
      <c r="G768" s="16" t="n">
        <v>31267</v>
      </c>
      <c r="H768" s="6" t="inlineStr">
        <is>
          <t>백만원</t>
        </is>
      </c>
      <c r="I768" s="17" t="n">
        <v>10.2</v>
      </c>
      <c r="J768" s="18" t="n">
        <v>24571</v>
      </c>
      <c r="K768" s="19" t="n">
        <v>22487</v>
      </c>
      <c r="L768" s="18" t="n">
        <v>23948</v>
      </c>
      <c r="M768" s="19" t="n">
        <v>20527</v>
      </c>
      <c r="N768" s="18" t="n">
        <v>22835</v>
      </c>
      <c r="O768" s="19" t="n">
        <v>20899</v>
      </c>
      <c r="P768" s="18" t="n">
        <v>27380</v>
      </c>
      <c r="Q768" s="19" t="n">
        <v>27136</v>
      </c>
      <c r="R768" s="18" t="n">
        <v>28376</v>
      </c>
      <c r="S768" s="20" t="n">
        <v>31267</v>
      </c>
      <c r="T768" s="6" t="n">
        <v>1</v>
      </c>
      <c r="U768" s="5" t="inlineStr"/>
      <c r="V768" s="21">
        <f>HYPERLINK("https://dart.fss.or.kr/dsaf001/main.do?rcpNo=20260814000008", "공시열람")</f>
        <v/>
      </c>
    </row>
    <row r="769">
      <c r="A769" s="5" t="inlineStr">
        <is>
          <t>엔시스</t>
        </is>
      </c>
      <c r="B769" s="6" t="inlineStr">
        <is>
          <t>333620</t>
        </is>
      </c>
      <c r="C769" s="6" t="inlineStr">
        <is>
          <t>2026Q2</t>
        </is>
      </c>
      <c r="D769" s="6" t="inlineStr">
        <is>
          <t>20260814</t>
        </is>
      </c>
      <c r="E769" s="16" t="n">
        <v>45384</v>
      </c>
      <c r="F769" s="16" t="n">
        <v>26287</v>
      </c>
      <c r="G769" s="16" t="n">
        <v>61834</v>
      </c>
      <c r="H769" s="6" t="inlineStr">
        <is>
          <t>백만원</t>
        </is>
      </c>
      <c r="I769" s="17" t="n">
        <v>-8.800000000000001</v>
      </c>
      <c r="J769" s="18" t="n">
        <v>80195</v>
      </c>
      <c r="K769" s="19" t="n">
        <v>72779</v>
      </c>
      <c r="L769" s="18" t="n">
        <v>66953</v>
      </c>
      <c r="M769" s="19" t="n">
        <v>60589</v>
      </c>
      <c r="N769" s="18" t="n">
        <v>54683</v>
      </c>
      <c r="O769" s="19" t="n">
        <v>50059</v>
      </c>
      <c r="P769" s="18" t="n">
        <v>47821</v>
      </c>
      <c r="Q769" s="19" t="n">
        <v>53212</v>
      </c>
      <c r="R769" s="18" t="n">
        <v>67794</v>
      </c>
      <c r="S769" s="20" t="n">
        <v>61834</v>
      </c>
      <c r="T769" s="6" t="n">
        <v>1</v>
      </c>
      <c r="U769" s="5" t="inlineStr">
        <is>
          <t>2차전지 검사장비</t>
        </is>
      </c>
      <c r="V769" s="21">
        <f>HYPERLINK("https://dart.fss.or.kr/dsaf001/main.do?rcpNo=20260814000383", "공시열람")</f>
        <v/>
      </c>
    </row>
    <row r="770">
      <c r="A770" s="5" t="inlineStr">
        <is>
          <t>프레스티지바이오로직스</t>
        </is>
      </c>
      <c r="B770" s="6" t="inlineStr">
        <is>
          <t>334970</t>
        </is>
      </c>
      <c r="C770" s="6" t="inlineStr">
        <is>
          <t>2026Q1</t>
        </is>
      </c>
      <c r="D770" s="6" t="inlineStr">
        <is>
          <t>20260515</t>
        </is>
      </c>
      <c r="E770" s="16" t="n">
        <v>61235</v>
      </c>
      <c r="F770" s="16" t="n">
        <v>11372</v>
      </c>
      <c r="G770" s="16" t="n">
        <v>49863</v>
      </c>
      <c r="H770" s="6" t="inlineStr">
        <is>
          <t>천$,백만원</t>
        </is>
      </c>
      <c r="I770" s="17" t="n">
        <v>3.9</v>
      </c>
      <c r="J770" s="18" t="n">
        <v>11000</v>
      </c>
      <c r="K770" s="19" t="n">
        <v>88863</v>
      </c>
      <c r="L770" s="18" t="n">
        <v>11000</v>
      </c>
      <c r="M770" s="19" t="n">
        <v>19071047</v>
      </c>
      <c r="N770" s="18" t="n">
        <v>19320937</v>
      </c>
      <c r="O770" s="19" t="n">
        <v>21282648</v>
      </c>
      <c r="P770" s="18" t="n">
        <v>15074696</v>
      </c>
      <c r="Q770" s="19" t="n">
        <v>48008</v>
      </c>
      <c r="R770" s="18" t="n">
        <v>49863</v>
      </c>
      <c r="S770" s="20" t="inlineStr"/>
      <c r="T770" s="6" t="n">
        <v>2</v>
      </c>
      <c r="U770" s="5" t="inlineStr">
        <is>
          <t>CDMO(CMO, CDO, QC분석서비스 등) / 바이 | CDMO(CMO, CDO, QC분석서비스 등) / 바이</t>
        </is>
      </c>
      <c r="V770" s="21">
        <f>HYPERLINK("https://dart.fss.or.kr/dsaf001/main.do?rcpNo=20260515002667", "공시열람")</f>
        <v/>
      </c>
    </row>
    <row r="771">
      <c r="A771" s="5" t="inlineStr">
        <is>
          <t>웨이버스</t>
        </is>
      </c>
      <c r="B771" s="6" t="inlineStr">
        <is>
          <t>336060</t>
        </is>
      </c>
      <c r="C771" s="6" t="inlineStr">
        <is>
          <t>2026Q2</t>
        </is>
      </c>
      <c r="D771" s="6" t="inlineStr">
        <is>
          <t>20260814</t>
        </is>
      </c>
      <c r="E771" s="16" t="n">
        <v>53408129</v>
      </c>
      <c r="F771" s="16" t="inlineStr"/>
      <c r="G771" s="16" t="n">
        <v>35117803</v>
      </c>
      <c r="H771" s="6" t="inlineStr">
        <is>
          <t>천원</t>
        </is>
      </c>
      <c r="I771" s="17" t="n">
        <v>36.1</v>
      </c>
      <c r="J771" s="18" t="n">
        <v>30551891</v>
      </c>
      <c r="K771" s="19" t="n">
        <v>39835879</v>
      </c>
      <c r="L771" s="18" t="n">
        <v>32261188</v>
      </c>
      <c r="M771" s="19" t="n">
        <v>31857383</v>
      </c>
      <c r="N771" s="18" t="n">
        <v>31807449</v>
      </c>
      <c r="O771" s="19" t="n">
        <v>33122474</v>
      </c>
      <c r="P771" s="18" t="n">
        <v>24962084</v>
      </c>
      <c r="Q771" s="19" t="n">
        <v>16944148</v>
      </c>
      <c r="R771" s="18" t="n">
        <v>25797203</v>
      </c>
      <c r="S771" s="20" t="n">
        <v>35117803</v>
      </c>
      <c r="T771" s="6" t="n">
        <v>9</v>
      </c>
      <c r="U771" s="5" t="inlineStr">
        <is>
          <t>공공기관 / 공간정보 SM / 2026-06-01 | 공공기관 / 공간정보 SM / 2026-01-01 | 공공기관 / 공간정보 SI / 2023-11-30</t>
        </is>
      </c>
      <c r="V771" s="21">
        <f>HYPERLINK("https://dart.fss.or.kr/dsaf001/main.do?rcpNo=20260814001981", "공시열람")</f>
        <v/>
      </c>
    </row>
    <row r="772">
      <c r="A772" s="5" t="inlineStr">
        <is>
          <t>뷰노</t>
        </is>
      </c>
      <c r="B772" s="6" t="inlineStr">
        <is>
          <t>338220</t>
        </is>
      </c>
      <c r="C772" s="6" t="inlineStr">
        <is>
          <t>2026Q2</t>
        </is>
      </c>
      <c r="D772" s="6" t="inlineStr">
        <is>
          <t>20260814</t>
        </is>
      </c>
      <c r="E772" s="16" t="n">
        <v>507</v>
      </c>
      <c r="F772" s="16" t="n">
        <v>487</v>
      </c>
      <c r="G772" s="16" t="n">
        <v>20</v>
      </c>
      <c r="H772" s="6" t="inlineStr">
        <is>
          <t>백만원</t>
        </is>
      </c>
      <c r="I772" s="17" t="n">
        <v>0</v>
      </c>
      <c r="J772" s="18" t="n">
        <v>1021</v>
      </c>
      <c r="K772" s="19" t="n">
        <v>1010</v>
      </c>
      <c r="L772" s="18" t="n">
        <v>962</v>
      </c>
      <c r="M772" s="19" t="n">
        <v>694</v>
      </c>
      <c r="N772" s="18" t="n">
        <v>615</v>
      </c>
      <c r="O772" s="19" t="n">
        <v>345</v>
      </c>
      <c r="P772" s="18" t="n">
        <v>40</v>
      </c>
      <c r="Q772" s="19" t="n">
        <v>40</v>
      </c>
      <c r="R772" s="18" t="n">
        <v>20</v>
      </c>
      <c r="S772" s="20" t="n">
        <v>20</v>
      </c>
      <c r="T772" s="6" t="n">
        <v>1</v>
      </c>
      <c r="U772" s="5" t="inlineStr">
        <is>
          <t>인공지능기반 희귀질환 스크리닝 솔루션 / 2021-11</t>
        </is>
      </c>
      <c r="V772" s="21">
        <f>HYPERLINK("https://dart.fss.or.kr/dsaf001/main.do?rcpNo=20260814002777", "공시열람")</f>
        <v/>
      </c>
    </row>
    <row r="773">
      <c r="A773" s="5" t="inlineStr">
        <is>
          <t>티앤엘</t>
        </is>
      </c>
      <c r="B773" s="6" t="inlineStr">
        <is>
          <t>340570</t>
        </is>
      </c>
      <c r="C773" s="6" t="inlineStr">
        <is>
          <t>2025Q1</t>
        </is>
      </c>
      <c r="D773" s="6" t="inlineStr">
        <is>
          <t>20250514</t>
        </is>
      </c>
      <c r="E773" s="16" t="n">
        <v>7679525</v>
      </c>
      <c r="F773" s="16" t="inlineStr"/>
      <c r="G773" s="16" t="n">
        <v>7679525</v>
      </c>
      <c r="H773" s="6" t="inlineStr">
        <is>
          <t>천원</t>
        </is>
      </c>
      <c r="I773" s="17" t="n">
        <v>-27.2</v>
      </c>
      <c r="J773" s="18" t="n">
        <v>41196255</v>
      </c>
      <c r="K773" s="19" t="n">
        <v>40239752</v>
      </c>
      <c r="L773" s="18" t="n">
        <v>35932640</v>
      </c>
      <c r="M773" s="19" t="n">
        <v>10545983</v>
      </c>
      <c r="N773" s="18" t="n">
        <v>7679525</v>
      </c>
      <c r="O773" s="19" t="inlineStr"/>
      <c r="P773" s="18" t="inlineStr"/>
      <c r="Q773" s="19" t="inlineStr"/>
      <c r="R773" s="18" t="inlineStr"/>
      <c r="S773" s="20" t="inlineStr"/>
      <c r="T773" s="6" t="n">
        <v>6</v>
      </c>
      <c r="U773" s="5" t="inlineStr">
        <is>
          <t>창상피복재 | 창상피복재 | 창상피복재</t>
        </is>
      </c>
      <c r="V773" s="21">
        <f>HYPERLINK("https://dart.fss.or.kr/dsaf001/main.do?rcpNo=20250514001008", "공시열람")</f>
        <v/>
      </c>
    </row>
    <row r="774">
      <c r="A774" s="5" t="inlineStr">
        <is>
          <t>시선AI</t>
        </is>
      </c>
      <c r="B774" s="6" t="inlineStr">
        <is>
          <t>340810</t>
        </is>
      </c>
      <c r="C774" s="6" t="inlineStr">
        <is>
          <t>2026Q2</t>
        </is>
      </c>
      <c r="D774" s="6" t="inlineStr">
        <is>
          <t>20260814</t>
        </is>
      </c>
      <c r="E774" s="16" t="n">
        <v>34780</v>
      </c>
      <c r="F774" s="16" t="n">
        <v>22514</v>
      </c>
      <c r="G774" s="16" t="n">
        <v>12266</v>
      </c>
      <c r="H774" s="6" t="inlineStr">
        <is>
          <t>백만원</t>
        </is>
      </c>
      <c r="I774" s="17" t="n">
        <v>9.4</v>
      </c>
      <c r="J774" s="18" t="n">
        <v>9313</v>
      </c>
      <c r="K774" s="19" t="n">
        <v>12286</v>
      </c>
      <c r="L774" s="18" t="n">
        <v>8608</v>
      </c>
      <c r="M774" s="19" t="n">
        <v>6071</v>
      </c>
      <c r="N774" s="18" t="n">
        <v>5469</v>
      </c>
      <c r="O774" s="19" t="n">
        <v>5180</v>
      </c>
      <c r="P774" s="18" t="n">
        <v>6798</v>
      </c>
      <c r="Q774" s="19" t="n">
        <v>12185</v>
      </c>
      <c r="R774" s="18" t="n">
        <v>11207</v>
      </c>
      <c r="S774" s="20" t="n">
        <v>12266</v>
      </c>
      <c r="T774" s="6" t="n">
        <v>12</v>
      </c>
      <c r="U774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4" s="21">
        <f>HYPERLINK("https://dart.fss.or.kr/dsaf001/main.do?rcpNo=20260814001583", "공시열람")</f>
        <v/>
      </c>
    </row>
    <row r="775">
      <c r="A775" s="5" t="inlineStr">
        <is>
          <t>케이씨씨글라스</t>
        </is>
      </c>
      <c r="B775" s="6" t="inlineStr">
        <is>
          <t>344820</t>
        </is>
      </c>
      <c r="C775" s="6" t="inlineStr">
        <is>
          <t>2026Q2</t>
        </is>
      </c>
      <c r="D775" s="6" t="inlineStr">
        <is>
          <t>20260814</t>
        </is>
      </c>
      <c r="E775" s="16" t="n">
        <v>175723</v>
      </c>
      <c r="F775" s="16" t="n">
        <v>63051</v>
      </c>
      <c r="G775" s="16" t="n">
        <v>112672</v>
      </c>
      <c r="H775" s="6" t="inlineStr">
        <is>
          <t>백만원</t>
        </is>
      </c>
      <c r="I775" s="17" t="n">
        <v>2.3</v>
      </c>
      <c r="J775" s="18" t="n">
        <v>127373</v>
      </c>
      <c r="K775" s="19" t="n">
        <v>96723</v>
      </c>
      <c r="L775" s="18" t="n">
        <v>79466</v>
      </c>
      <c r="M775" s="19" t="n">
        <v>93562</v>
      </c>
      <c r="N775" s="18" t="n">
        <v>49344</v>
      </c>
      <c r="O775" s="19" t="n">
        <v>75007</v>
      </c>
      <c r="P775" s="18" t="n">
        <v>87069</v>
      </c>
      <c r="Q775" s="19" t="n">
        <v>100686</v>
      </c>
      <c r="R775" s="18" t="n">
        <v>110139</v>
      </c>
      <c r="S775" s="20" t="n">
        <v>112672</v>
      </c>
      <c r="T775" s="6" t="n">
        <v>3</v>
      </c>
      <c r="U775" s="5" t="inlineStr">
        <is>
          <t>유리 / ~ 2026.06.30 / - | 인테리어 및 유통 / ~ 2026.06.30 / - | 파일사업 / ~ 2026.06.30 / -</t>
        </is>
      </c>
      <c r="V775" s="21">
        <f>HYPERLINK("https://dart.fss.or.kr/dsaf001/main.do?rcpNo=20260814002243", "공시열람")</f>
        <v/>
      </c>
    </row>
    <row r="776">
      <c r="A776" s="5" t="inlineStr">
        <is>
          <t>타이드</t>
        </is>
      </c>
      <c r="B776" s="6" t="inlineStr">
        <is>
          <t>346010</t>
        </is>
      </c>
      <c r="C776" s="6" t="inlineStr">
        <is>
          <t>2025Q4</t>
        </is>
      </c>
      <c r="D776" s="6" t="inlineStr">
        <is>
          <t>20260407</t>
        </is>
      </c>
      <c r="E776" s="16" t="n">
        <v>674925</v>
      </c>
      <c r="F776" s="16" t="inlineStr"/>
      <c r="G776" s="16" t="n">
        <v>674925</v>
      </c>
      <c r="H776" s="6" t="inlineStr">
        <is>
          <t>천원</t>
        </is>
      </c>
      <c r="I776" s="17" t="n">
        <v>-60.9</v>
      </c>
      <c r="J776" s="18" t="inlineStr"/>
      <c r="K776" s="19" t="inlineStr"/>
      <c r="L776" s="18" t="inlineStr"/>
      <c r="M776" s="19" t="n">
        <v>1728000</v>
      </c>
      <c r="N776" s="18" t="inlineStr"/>
      <c r="O776" s="19" t="inlineStr"/>
      <c r="P776" s="18" t="inlineStr"/>
      <c r="Q776" s="19" t="n">
        <v>674925</v>
      </c>
      <c r="R776" s="18" t="inlineStr"/>
      <c r="S776" s="20" t="inlineStr"/>
      <c r="T776" s="6" t="n">
        <v>1</v>
      </c>
      <c r="U776" s="5" t="inlineStr">
        <is>
          <t>PLC</t>
        </is>
      </c>
      <c r="V776" s="21">
        <f>HYPERLINK("https://dart.fss.or.kr/dsaf001/main.do?rcpNo=20260407000793", "공시열람")</f>
        <v/>
      </c>
    </row>
    <row r="777">
      <c r="A777" s="5" t="inlineStr">
        <is>
          <t>센코</t>
        </is>
      </c>
      <c r="B777" s="6" t="inlineStr">
        <is>
          <t>347000</t>
        </is>
      </c>
      <c r="C777" s="6" t="inlineStr">
        <is>
          <t>2026Q2</t>
        </is>
      </c>
      <c r="D777" s="6" t="inlineStr">
        <is>
          <t>20260814</t>
        </is>
      </c>
      <c r="E777" s="16" t="n">
        <v>6793472855</v>
      </c>
      <c r="F777" s="16" t="n">
        <v>4743282395</v>
      </c>
      <c r="G777" s="16" t="n">
        <v>2050190460</v>
      </c>
      <c r="H777" s="6" t="inlineStr">
        <is>
          <t>원</t>
        </is>
      </c>
      <c r="I777" s="17" t="n">
        <v>45.5</v>
      </c>
      <c r="J777" s="18" t="n">
        <v>2108055554</v>
      </c>
      <c r="K777" s="19" t="n">
        <v>2108055554</v>
      </c>
      <c r="L777" s="18" t="n">
        <v>4784929449</v>
      </c>
      <c r="M777" s="19" t="n">
        <v>3350630000</v>
      </c>
      <c r="N777" s="18" t="n">
        <v>10323012000</v>
      </c>
      <c r="O777" s="19" t="n">
        <v>10323012000</v>
      </c>
      <c r="P777" s="18" t="n">
        <v>10323012000</v>
      </c>
      <c r="Q777" s="19" t="n">
        <v>1409428095</v>
      </c>
      <c r="R777" s="18" t="n">
        <v>1409428095</v>
      </c>
      <c r="S777" s="20" t="n">
        <v>2050190460</v>
      </c>
      <c r="T777" s="6" t="n">
        <v>4</v>
      </c>
      <c r="U777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7" s="21">
        <f>HYPERLINK("https://dart.fss.or.kr/dsaf001/main.do?rcpNo=20260814001161", "공시열람")</f>
        <v/>
      </c>
    </row>
    <row r="778">
      <c r="A778" s="5" t="inlineStr">
        <is>
          <t>스피어</t>
        </is>
      </c>
      <c r="B778" s="6" t="inlineStr">
        <is>
          <t>347700</t>
        </is>
      </c>
      <c r="C778" s="6" t="inlineStr">
        <is>
          <t>2026Q2</t>
        </is>
      </c>
      <c r="D778" s="6" t="inlineStr">
        <is>
          <t>20260814</t>
        </is>
      </c>
      <c r="E778" s="16" t="n">
        <v>204787048</v>
      </c>
      <c r="F778" s="16" t="n">
        <v>89052955</v>
      </c>
      <c r="G778" s="16" t="n">
        <v>115734093</v>
      </c>
      <c r="H778" s="6" t="inlineStr">
        <is>
          <t>USD</t>
        </is>
      </c>
      <c r="I778" s="17" t="n">
        <v>20.8</v>
      </c>
      <c r="J778" s="18" t="inlineStr"/>
      <c r="K778" s="19" t="inlineStr"/>
      <c r="L778" s="18" t="inlineStr"/>
      <c r="M778" s="19" t="inlineStr"/>
      <c r="N778" s="18" t="inlineStr"/>
      <c r="O778" s="19" t="n">
        <v>30280260</v>
      </c>
      <c r="P778" s="18" t="n">
        <v>43545655</v>
      </c>
      <c r="Q778" s="19" t="n">
        <v>57635487</v>
      </c>
      <c r="R778" s="18" t="n">
        <v>95772506</v>
      </c>
      <c r="S778" s="20" t="n">
        <v>115734093</v>
      </c>
      <c r="T778" s="6" t="n">
        <v>31</v>
      </c>
      <c r="U778" s="5" t="inlineStr">
        <is>
          <t>특수합금 공급 / 2025-09-27 / 2027-02 | 특수합금 공급 / 2026-06-08 / 2026-12 | 특수합금 공급 / 2026-06-15 / 2026-07</t>
        </is>
      </c>
      <c r="V778" s="21">
        <f>HYPERLINK("https://dart.fss.or.kr/dsaf001/main.do?rcpNo=20260814003121", "공시열람")</f>
        <v/>
      </c>
    </row>
    <row r="779">
      <c r="A779" s="5" t="inlineStr">
        <is>
          <t>피엔케이피부임상연구센타</t>
        </is>
      </c>
      <c r="B779" s="6" t="inlineStr">
        <is>
          <t>347740</t>
        </is>
      </c>
      <c r="C779" s="6" t="inlineStr">
        <is>
          <t>2026Q2</t>
        </is>
      </c>
      <c r="D779" s="6" t="inlineStr">
        <is>
          <t>20260814</t>
        </is>
      </c>
      <c r="E779" s="16" t="n">
        <v>9261</v>
      </c>
      <c r="F779" s="16" t="n">
        <v>1017</v>
      </c>
      <c r="G779" s="16" t="n">
        <v>8244</v>
      </c>
      <c r="H779" s="6" t="inlineStr">
        <is>
          <t>백만원</t>
        </is>
      </c>
      <c r="I779" s="17" t="n">
        <v>36.9</v>
      </c>
      <c r="J779" s="18" t="n">
        <v>3049</v>
      </c>
      <c r="K779" s="19" t="n">
        <v>4757</v>
      </c>
      <c r="L779" s="18" t="n">
        <v>5786</v>
      </c>
      <c r="M779" s="19" t="n">
        <v>6148</v>
      </c>
      <c r="N779" s="18" t="n">
        <v>5009</v>
      </c>
      <c r="O779" s="19" t="n">
        <v>5216</v>
      </c>
      <c r="P779" s="18" t="n">
        <v>5389</v>
      </c>
      <c r="Q779" s="19" t="n">
        <v>6085</v>
      </c>
      <c r="R779" s="18" t="n">
        <v>6020</v>
      </c>
      <c r="S779" s="20" t="n">
        <v>8244</v>
      </c>
      <c r="T779" s="6" t="n">
        <v>1</v>
      </c>
      <c r="U779" s="5" t="inlineStr">
        <is>
          <t>화장품 인체적용시험외 / -</t>
        </is>
      </c>
      <c r="V779" s="21">
        <f>HYPERLINK("https://dart.fss.or.kr/dsaf001/main.do?rcpNo=20260814002845", "공시열람")</f>
        <v/>
      </c>
    </row>
    <row r="780">
      <c r="A780" s="5" t="inlineStr">
        <is>
          <t>알체라</t>
        </is>
      </c>
      <c r="B780" s="6" t="inlineStr">
        <is>
          <t>347860</t>
        </is>
      </c>
      <c r="C780" s="6" t="inlineStr">
        <is>
          <t>2026Q2</t>
        </is>
      </c>
      <c r="D780" s="6" t="inlineStr">
        <is>
          <t>20260814</t>
        </is>
      </c>
      <c r="E780" s="16" t="n">
        <v>16140</v>
      </c>
      <c r="F780" s="16" t="n">
        <v>3780</v>
      </c>
      <c r="G780" s="16" t="n">
        <v>12360</v>
      </c>
      <c r="H780" s="6" t="inlineStr">
        <is>
          <t>백만원</t>
        </is>
      </c>
      <c r="I780" s="17" t="n">
        <v>6.7</v>
      </c>
      <c r="J780" s="18" t="n">
        <v>9764</v>
      </c>
      <c r="K780" s="19" t="n">
        <v>13821</v>
      </c>
      <c r="L780" s="18" t="n">
        <v>14153</v>
      </c>
      <c r="M780" s="19" t="n">
        <v>9004</v>
      </c>
      <c r="N780" s="18" t="n">
        <v>9801</v>
      </c>
      <c r="O780" s="19" t="n">
        <v>12110</v>
      </c>
      <c r="P780" s="18" t="n">
        <v>12131</v>
      </c>
      <c r="Q780" s="19" t="n">
        <v>9630</v>
      </c>
      <c r="R780" s="18" t="n">
        <v>11583</v>
      </c>
      <c r="S780" s="20" t="n">
        <v>12360</v>
      </c>
      <c r="T780" s="6" t="n">
        <v>6</v>
      </c>
      <c r="U780" s="5" t="inlineStr">
        <is>
          <t>AI 학습 데이타구축 서비스 / ~ 2025년 | 안면인식 AI솔루션 등 / ~ 2025년 | AI 학습 데이타구축 서비스 / 2026년 1월 ~ 6</t>
        </is>
      </c>
      <c r="V780" s="21">
        <f>HYPERLINK("https://dart.fss.or.kr/dsaf001/main.do?rcpNo=20260814001661", "공시열람")</f>
        <v/>
      </c>
    </row>
    <row r="781">
      <c r="A781" s="5" t="inlineStr">
        <is>
          <t>엠엑스온</t>
        </is>
      </c>
      <c r="B781" s="6" t="inlineStr">
        <is>
          <t>347890</t>
        </is>
      </c>
      <c r="C781" s="6" t="inlineStr">
        <is>
          <t>2026Q2</t>
        </is>
      </c>
      <c r="D781" s="6" t="inlineStr">
        <is>
          <t>20260814</t>
        </is>
      </c>
      <c r="E781" s="16" t="n">
        <v>235918460</v>
      </c>
      <c r="F781" s="16" t="n">
        <v>46028966</v>
      </c>
      <c r="G781" s="16" t="n">
        <v>189889494</v>
      </c>
      <c r="H781" s="6" t="inlineStr">
        <is>
          <t>천원</t>
        </is>
      </c>
      <c r="I781" s="17" t="n">
        <v>3.9</v>
      </c>
      <c r="J781" s="18" t="inlineStr"/>
      <c r="K781" s="19" t="inlineStr"/>
      <c r="L781" s="18" t="inlineStr"/>
      <c r="M781" s="19" t="inlineStr"/>
      <c r="N781" s="18" t="inlineStr"/>
      <c r="O781" s="19" t="inlineStr"/>
      <c r="P781" s="18" t="inlineStr"/>
      <c r="Q781" s="19" t="n">
        <v>164329344</v>
      </c>
      <c r="R781" s="18" t="n">
        <v>182779407</v>
      </c>
      <c r="S781" s="20" t="n">
        <v>189889494</v>
      </c>
      <c r="T781" s="6" t="n">
        <v>2</v>
      </c>
      <c r="U781" s="5" t="inlineStr">
        <is>
          <t xml:space="preserve">해외 자동화 물류시스템 외 / ~ 2026.06.30  | 국내 자동화 물류시스템 외 / ~ 2026.06.30 </t>
        </is>
      </c>
      <c r="V781" s="21">
        <f>HYPERLINK("https://dart.fss.or.kr/dsaf001/main.do?rcpNo=20260814004040", "공시열람")</f>
        <v/>
      </c>
    </row>
    <row r="782">
      <c r="A782" s="5" t="inlineStr">
        <is>
          <t>넥스틴</t>
        </is>
      </c>
      <c r="B782" s="6" t="inlineStr">
        <is>
          <t>348210</t>
        </is>
      </c>
      <c r="C782" s="6" t="inlineStr">
        <is>
          <t>2026Q2</t>
        </is>
      </c>
      <c r="D782" s="6" t="inlineStr">
        <is>
          <t>20260814</t>
        </is>
      </c>
      <c r="E782" s="16" t="n">
        <v>21012</v>
      </c>
      <c r="F782" s="16" t="n">
        <v>19770</v>
      </c>
      <c r="G782" s="16" t="n">
        <v>8978</v>
      </c>
      <c r="H782" s="6" t="inlineStr">
        <is>
          <t>백만원</t>
        </is>
      </c>
      <c r="I782" s="17" t="n">
        <v>-65.09999999999999</v>
      </c>
      <c r="J782" s="18" t="n">
        <v>22474</v>
      </c>
      <c r="K782" s="19" t="n">
        <v>25435</v>
      </c>
      <c r="L782" s="18" t="n">
        <v>27272</v>
      </c>
      <c r="M782" s="19" t="n">
        <v>11670</v>
      </c>
      <c r="N782" s="18" t="inlineStr"/>
      <c r="O782" s="19" t="n">
        <v>11855</v>
      </c>
      <c r="P782" s="18" t="n">
        <v>15214</v>
      </c>
      <c r="Q782" s="19" t="n">
        <v>7736</v>
      </c>
      <c r="R782" s="18" t="n">
        <v>25748</v>
      </c>
      <c r="S782" s="20" t="n">
        <v>8978</v>
      </c>
      <c r="T782" s="6" t="n">
        <v>1</v>
      </c>
      <c r="U782" s="5" t="inlineStr">
        <is>
          <t>Wafer InspectionSystem</t>
        </is>
      </c>
      <c r="V782" s="21">
        <f>HYPERLINK("https://dart.fss.or.kr/dsaf001/main.do?rcpNo=20260814003931", "공시열람")</f>
        <v/>
      </c>
    </row>
    <row r="783">
      <c r="A783" s="5" t="inlineStr">
        <is>
          <t>위드텍</t>
        </is>
      </c>
      <c r="B783" s="6" t="inlineStr">
        <is>
          <t>348350</t>
        </is>
      </c>
      <c r="C783" s="6" t="inlineStr">
        <is>
          <t>2026Q2</t>
        </is>
      </c>
      <c r="D783" s="6" t="inlineStr">
        <is>
          <t>20260814</t>
        </is>
      </c>
      <c r="E783" s="16" t="n">
        <v>54187</v>
      </c>
      <c r="F783" s="16" t="n">
        <v>23559</v>
      </c>
      <c r="G783" s="16" t="n">
        <v>30628</v>
      </c>
      <c r="H783" s="6" t="inlineStr">
        <is>
          <t>백만원</t>
        </is>
      </c>
      <c r="I783" s="17" t="n">
        <v>27.4</v>
      </c>
      <c r="J783" s="18" t="n">
        <v>7881</v>
      </c>
      <c r="K783" s="19" t="n">
        <v>7784</v>
      </c>
      <c r="L783" s="18" t="n">
        <v>8558</v>
      </c>
      <c r="M783" s="19" t="n">
        <v>7953</v>
      </c>
      <c r="N783" s="18" t="n">
        <v>14858</v>
      </c>
      <c r="O783" s="19" t="n">
        <v>22390</v>
      </c>
      <c r="P783" s="18" t="n">
        <v>16598</v>
      </c>
      <c r="Q783" s="19" t="n">
        <v>19428</v>
      </c>
      <c r="R783" s="18" t="n">
        <v>24042</v>
      </c>
      <c r="S783" s="20" t="n">
        <v>30628</v>
      </c>
      <c r="T783" s="6" t="n">
        <v>3</v>
      </c>
      <c r="U783" s="5" t="inlineStr">
        <is>
          <t>대기 / - | 공정 / - | 환경(TMS) / -</t>
        </is>
      </c>
      <c r="V783" s="21">
        <f>HYPERLINK("https://dart.fss.or.kr/dsaf001/main.do?rcpNo=20260814001848", "공시열람")</f>
        <v/>
      </c>
    </row>
    <row r="784">
      <c r="A784" s="5" t="inlineStr">
        <is>
          <t>넥사다이내믹스</t>
        </is>
      </c>
      <c r="B784" s="6" t="inlineStr">
        <is>
          <t>351320</t>
        </is>
      </c>
      <c r="C784" s="6" t="inlineStr">
        <is>
          <t>2026Q2</t>
        </is>
      </c>
      <c r="D784" s="6" t="inlineStr">
        <is>
          <t>20260814</t>
        </is>
      </c>
      <c r="E784" s="16" t="n">
        <v>6431</v>
      </c>
      <c r="F784" s="16" t="n">
        <v>627</v>
      </c>
      <c r="G784" s="16" t="n">
        <v>5804</v>
      </c>
      <c r="H784" s="6" t="inlineStr">
        <is>
          <t>백만원</t>
        </is>
      </c>
      <c r="I784" s="17" t="n">
        <v>267.8</v>
      </c>
      <c r="J784" s="18" t="n">
        <v>7652</v>
      </c>
      <c r="K784" s="19" t="n">
        <v>5427</v>
      </c>
      <c r="L784" s="18" t="n">
        <v>13849</v>
      </c>
      <c r="M784" s="19" t="n">
        <v>11413</v>
      </c>
      <c r="N784" s="18" t="n">
        <v>2676</v>
      </c>
      <c r="O784" s="19" t="n">
        <v>1721</v>
      </c>
      <c r="P784" s="18" t="n">
        <v>1409</v>
      </c>
      <c r="Q784" s="19" t="n">
        <v>1588</v>
      </c>
      <c r="R784" s="18" t="n">
        <v>1578</v>
      </c>
      <c r="S784" s="20" t="n">
        <v>5804</v>
      </c>
      <c r="T784" s="6" t="n">
        <v>1</v>
      </c>
      <c r="U784" s="5" t="inlineStr">
        <is>
          <t>제조장비 / -</t>
        </is>
      </c>
      <c r="V784" s="21">
        <f>HYPERLINK("https://dart.fss.or.kr/dsaf001/main.do?rcpNo=20260814003563", "공시열람")</f>
        <v/>
      </c>
    </row>
    <row r="785">
      <c r="A785" s="5" t="inlineStr">
        <is>
          <t>오비고</t>
        </is>
      </c>
      <c r="B785" s="6" t="inlineStr">
        <is>
          <t>352910</t>
        </is>
      </c>
      <c r="C785" s="6" t="inlineStr">
        <is>
          <t>2026Q2</t>
        </is>
      </c>
      <c r="D785" s="6" t="inlineStr">
        <is>
          <t>20260814</t>
        </is>
      </c>
      <c r="E785" s="16" t="n">
        <v>11914285</v>
      </c>
      <c r="F785" s="16" t="n">
        <v>5344424</v>
      </c>
      <c r="G785" s="16" t="n">
        <v>6569860</v>
      </c>
      <c r="H785" s="6" t="inlineStr">
        <is>
          <t>천원</t>
        </is>
      </c>
      <c r="I785" s="17" t="n">
        <v>108636.5</v>
      </c>
      <c r="J785" s="18" t="n">
        <v>5902815</v>
      </c>
      <c r="K785" s="19" t="n">
        <v>4950245</v>
      </c>
      <c r="L785" s="18" t="n">
        <v>4506260</v>
      </c>
      <c r="M785" s="19" t="n">
        <v>5251100</v>
      </c>
      <c r="N785" s="18" t="n">
        <v>5650308</v>
      </c>
      <c r="O785" s="19" t="n">
        <v>5641</v>
      </c>
      <c r="P785" s="18" t="n">
        <v>5545</v>
      </c>
      <c r="Q785" s="19" t="n">
        <v>2646</v>
      </c>
      <c r="R785" s="18" t="n">
        <v>6042</v>
      </c>
      <c r="S785" s="20" t="n">
        <v>6569860</v>
      </c>
      <c r="T785" s="6" t="n">
        <v>3</v>
      </c>
      <c r="U785" s="5" t="inlineStr">
        <is>
          <t>AI 콘텐츠 | AI 카케어 | 피지컬 AI 솔루션</t>
        </is>
      </c>
      <c r="V785" s="21">
        <f>HYPERLINK("https://dart.fss.or.kr/dsaf001/main.do?rcpNo=20260814002505", "공시열람")</f>
        <v/>
      </c>
    </row>
    <row r="786">
      <c r="A786" s="5" t="inlineStr">
        <is>
          <t>인바이오</t>
        </is>
      </c>
      <c r="B786" s="6" t="inlineStr">
        <is>
          <t>352940</t>
        </is>
      </c>
      <c r="C786" s="6" t="inlineStr">
        <is>
          <t>2026Q2</t>
        </is>
      </c>
      <c r="D786" s="6" t="inlineStr">
        <is>
          <t>20260813</t>
        </is>
      </c>
      <c r="E786" s="16" t="n">
        <v>9310088</v>
      </c>
      <c r="F786" s="16" t="n">
        <v>5720301</v>
      </c>
      <c r="G786" s="16" t="n">
        <v>3589787</v>
      </c>
      <c r="H786" s="6" t="inlineStr">
        <is>
          <t>병/봉,천원</t>
        </is>
      </c>
      <c r="I786" s="17" t="n">
        <v>-41</v>
      </c>
      <c r="J786" s="18" t="n">
        <v>3938317</v>
      </c>
      <c r="K786" s="19" t="n">
        <v>3376638</v>
      </c>
      <c r="L786" s="18" t="n">
        <v>1408326</v>
      </c>
      <c r="M786" s="19" t="n">
        <v>2389562</v>
      </c>
      <c r="N786" s="18" t="n">
        <v>1843689</v>
      </c>
      <c r="O786" s="19" t="n">
        <v>867162</v>
      </c>
      <c r="P786" s="18" t="n">
        <v>273113</v>
      </c>
      <c r="Q786" s="19" t="n">
        <v>544106</v>
      </c>
      <c r="R786" s="18" t="n">
        <v>6080203</v>
      </c>
      <c r="S786" s="20" t="n">
        <v>3589787</v>
      </c>
      <c r="T786" s="6" t="n">
        <v>1</v>
      </c>
      <c r="U786" s="5" t="inlineStr">
        <is>
          <t>농약 / 2026.01.31 / 2026.01.31~2</t>
        </is>
      </c>
      <c r="V786" s="21">
        <f>HYPERLINK("https://dart.fss.or.kr/dsaf001/main.do?rcpNo=20260813000903", "공시열람")</f>
        <v/>
      </c>
    </row>
    <row r="787">
      <c r="A787" s="5" t="inlineStr">
        <is>
          <t>대덕전자</t>
        </is>
      </c>
      <c r="B787" s="6" t="inlineStr">
        <is>
          <t>353200</t>
        </is>
      </c>
      <c r="C787" s="6" t="inlineStr">
        <is>
          <t>2026Q2</t>
        </is>
      </c>
      <c r="D787" s="6" t="inlineStr">
        <is>
          <t>20260813</t>
        </is>
      </c>
      <c r="E787" s="16" t="n">
        <v>10777</v>
      </c>
      <c r="F787" s="16" t="n">
        <v>7449</v>
      </c>
      <c r="G787" s="16" t="n">
        <v>3328</v>
      </c>
      <c r="H787" s="6" t="inlineStr">
        <is>
          <t>천㎡,억원</t>
        </is>
      </c>
      <c r="I787" s="17" t="n">
        <v>40.2</v>
      </c>
      <c r="J787" s="18" t="n">
        <v>723</v>
      </c>
      <c r="K787" s="19" t="n">
        <v>682</v>
      </c>
      <c r="L787" s="18" t="n">
        <v>776</v>
      </c>
      <c r="M787" s="19" t="n">
        <v>357</v>
      </c>
      <c r="N787" s="18" t="n">
        <v>792</v>
      </c>
      <c r="O787" s="19" t="n">
        <v>1283</v>
      </c>
      <c r="P787" s="18" t="n">
        <v>3110</v>
      </c>
      <c r="Q787" s="19" t="n">
        <v>2168</v>
      </c>
      <c r="R787" s="18" t="n">
        <v>2374</v>
      </c>
      <c r="S787" s="20" t="n">
        <v>3328</v>
      </c>
      <c r="T787" s="6" t="n">
        <v>1</v>
      </c>
      <c r="U787" s="5" t="inlineStr">
        <is>
          <t>PCB / 2026.01.01~ 2026.06.30</t>
        </is>
      </c>
      <c r="V787" s="21">
        <f>HYPERLINK("https://dart.fss.or.kr/dsaf001/main.do?rcpNo=20260813001620", "공시열람")</f>
        <v/>
      </c>
    </row>
    <row r="788">
      <c r="A788" s="5" t="inlineStr">
        <is>
          <t>바스칸바이오제약</t>
        </is>
      </c>
      <c r="B788" s="6" t="inlineStr">
        <is>
          <t>354390</t>
        </is>
      </c>
      <c r="C788" s="6" t="inlineStr">
        <is>
          <t>2023Q4</t>
        </is>
      </c>
      <c r="D788" s="6" t="inlineStr">
        <is>
          <t>20240318</t>
        </is>
      </c>
      <c r="E788" s="16" t="inlineStr"/>
      <c r="F788" s="16" t="inlineStr"/>
      <c r="G788" s="16" t="n">
        <v>6623811</v>
      </c>
      <c r="H788" s="6" t="inlineStr"/>
      <c r="I788" s="17" t="inlineStr"/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inlineStr"/>
      <c r="R788" s="18" t="inlineStr"/>
      <c r="S788" s="20" t="inlineStr"/>
      <c r="T788" s="6" t="n">
        <v>69</v>
      </c>
      <c r="U788" s="5" t="inlineStr">
        <is>
          <t>마더스제약 / 메모엠연질캡슐 | 씨엠지제약 / 엘카르닌정 | 알리코제약 / 다이제틴정</t>
        </is>
      </c>
      <c r="V788" s="21">
        <f>HYPERLINK("https://dart.fss.or.kr/dsaf001/main.do?rcpNo=20240318000263", "공시열람")</f>
        <v/>
      </c>
    </row>
    <row r="789">
      <c r="A789" s="5" t="inlineStr">
        <is>
          <t>코스텍시스</t>
        </is>
      </c>
      <c r="B789" s="6" t="inlineStr">
        <is>
          <t>355150</t>
        </is>
      </c>
      <c r="C789" s="6" t="inlineStr">
        <is>
          <t>2025Q4</t>
        </is>
      </c>
      <c r="D789" s="6" t="inlineStr">
        <is>
          <t>20260318</t>
        </is>
      </c>
      <c r="E789" s="16" t="n">
        <v>7396</v>
      </c>
      <c r="F789" s="16" t="n">
        <v>6169</v>
      </c>
      <c r="G789" s="16" t="n">
        <v>1227</v>
      </c>
      <c r="H789" s="6" t="inlineStr"/>
      <c r="I789" s="17" t="n">
        <v>-63.8</v>
      </c>
      <c r="J789" s="18" t="n">
        <v>8953</v>
      </c>
      <c r="K789" s="19" t="n">
        <v>10252</v>
      </c>
      <c r="L789" s="18" t="n">
        <v>11707</v>
      </c>
      <c r="M789" s="19" t="n">
        <v>6418</v>
      </c>
      <c r="N789" s="18" t="n">
        <v>2079</v>
      </c>
      <c r="O789" s="19" t="n">
        <v>755</v>
      </c>
      <c r="P789" s="18" t="n">
        <v>3385</v>
      </c>
      <c r="Q789" s="19" t="n">
        <v>1227</v>
      </c>
      <c r="R789" s="18" t="inlineStr"/>
      <c r="S789" s="20" t="inlineStr"/>
      <c r="T789" s="6" t="n">
        <v>4</v>
      </c>
      <c r="U789" s="5" t="inlineStr">
        <is>
          <t>OM780 / 2025.09.23 / 2026.03.1 | OM780 / 2025.07.07 / 2026.03.1 | OM780 / 2025.02.10 / 2026.03.1</t>
        </is>
      </c>
      <c r="V789" s="21">
        <f>HYPERLINK("https://dart.fss.or.kr/dsaf001/main.do?rcpNo=20260318000866", "공시열람")</f>
        <v/>
      </c>
    </row>
    <row r="790">
      <c r="A790" s="5" t="inlineStr">
        <is>
          <t>크라우드웍스</t>
        </is>
      </c>
      <c r="B790" s="6" t="inlineStr">
        <is>
          <t>355390</t>
        </is>
      </c>
      <c r="C790" s="6" t="inlineStr">
        <is>
          <t>2026Q2</t>
        </is>
      </c>
      <c r="D790" s="6" t="inlineStr">
        <is>
          <t>20260814</t>
        </is>
      </c>
      <c r="E790" s="16" t="n">
        <v>10636</v>
      </c>
      <c r="F790" s="16" t="n">
        <v>7344</v>
      </c>
      <c r="G790" s="16" t="n">
        <v>3292</v>
      </c>
      <c r="H790" s="6" t="inlineStr">
        <is>
          <t>개,백만원</t>
        </is>
      </c>
      <c r="I790" s="17" t="n">
        <v>2.5</v>
      </c>
      <c r="J790" s="18" t="n">
        <v>6226</v>
      </c>
      <c r="K790" s="19" t="n">
        <v>7914</v>
      </c>
      <c r="L790" s="18" t="n">
        <v>7577</v>
      </c>
      <c r="M790" s="19" t="n">
        <v>3221</v>
      </c>
      <c r="N790" s="18" t="n">
        <v>3445</v>
      </c>
      <c r="O790" s="19" t="n">
        <v>3943</v>
      </c>
      <c r="P790" s="18" t="n">
        <v>5911</v>
      </c>
      <c r="Q790" s="19" t="n">
        <v>3212</v>
      </c>
      <c r="R790" s="18" t="n">
        <v>3212</v>
      </c>
      <c r="S790" s="20" t="n">
        <v>3292</v>
      </c>
      <c r="T790" s="6" t="n">
        <v>7</v>
      </c>
      <c r="U790" s="5" t="inlineStr">
        <is>
          <t>Enterprise AI Solution / 주1) | LLM Data / 주1) | AI Data / 주1)</t>
        </is>
      </c>
      <c r="V790" s="21">
        <f>HYPERLINK("https://dart.fss.or.kr/dsaf001/main.do?rcpNo=20260814001178", "공시열람")</f>
        <v/>
      </c>
    </row>
    <row r="791">
      <c r="A791" s="5" t="inlineStr">
        <is>
          <t>티엘비</t>
        </is>
      </c>
      <c r="B791" s="6" t="inlineStr">
        <is>
          <t>356860</t>
        </is>
      </c>
      <c r="C791" s="6" t="inlineStr">
        <is>
          <t>2026Q2</t>
        </is>
      </c>
      <c r="D791" s="6" t="inlineStr">
        <is>
          <t>20260814</t>
        </is>
      </c>
      <c r="E791" s="16" t="n">
        <v>2959</v>
      </c>
      <c r="F791" s="16" t="n">
        <v>1641</v>
      </c>
      <c r="G791" s="16" t="n">
        <v>1318</v>
      </c>
      <c r="H791" s="6" t="inlineStr">
        <is>
          <t>억원</t>
        </is>
      </c>
      <c r="I791" s="17" t="n">
        <v>144.5</v>
      </c>
      <c r="J791" s="18" t="n">
        <v>140</v>
      </c>
      <c r="K791" s="19" t="n">
        <v>178</v>
      </c>
      <c r="L791" s="18" t="n">
        <v>158</v>
      </c>
      <c r="M791" s="19" t="n">
        <v>130</v>
      </c>
      <c r="N791" s="18" t="n">
        <v>362</v>
      </c>
      <c r="O791" s="19" t="n">
        <v>442</v>
      </c>
      <c r="P791" s="18" t="n">
        <v>445</v>
      </c>
      <c r="Q791" s="19" t="n">
        <v>526</v>
      </c>
      <c r="R791" s="18" t="n">
        <v>539</v>
      </c>
      <c r="S791" s="20" t="n">
        <v>1318</v>
      </c>
      <c r="T791" s="6" t="n">
        <v>1</v>
      </c>
      <c r="U791" s="5" t="inlineStr">
        <is>
          <t>인쇄회로기판 / 2026.01.01~2026.06.30</t>
        </is>
      </c>
      <c r="V791" s="21">
        <f>HYPERLINK("https://dart.fss.or.kr/dsaf001/main.do?rcpNo=20260814000485", "공시열람")</f>
        <v/>
      </c>
    </row>
    <row r="792">
      <c r="A792" s="5" t="inlineStr">
        <is>
          <t>싸이버원</t>
        </is>
      </c>
      <c r="B792" s="6" t="inlineStr">
        <is>
          <t>356890</t>
        </is>
      </c>
      <c r="C792" s="6" t="inlineStr">
        <is>
          <t>2025Q1</t>
        </is>
      </c>
      <c r="D792" s="6" t="inlineStr">
        <is>
          <t>20250514</t>
        </is>
      </c>
      <c r="E792" s="16" t="n">
        <v>13849</v>
      </c>
      <c r="F792" s="16" t="n">
        <v>4368</v>
      </c>
      <c r="G792" s="16" t="n">
        <v>9481</v>
      </c>
      <c r="H792" s="6" t="inlineStr">
        <is>
          <t>백만원</t>
        </is>
      </c>
      <c r="I792" s="17" t="n">
        <v>33.4</v>
      </c>
      <c r="J792" s="18" t="n">
        <v>8235</v>
      </c>
      <c r="K792" s="19" t="n">
        <v>10145</v>
      </c>
      <c r="L792" s="18" t="n">
        <v>8608</v>
      </c>
      <c r="M792" s="19" t="n">
        <v>7108</v>
      </c>
      <c r="N792" s="18" t="n">
        <v>9481</v>
      </c>
      <c r="O792" s="19" t="inlineStr"/>
      <c r="P792" s="18" t="inlineStr"/>
      <c r="Q792" s="19" t="inlineStr"/>
      <c r="R792" s="18" t="inlineStr"/>
      <c r="S792" s="20" t="inlineStr"/>
      <c r="T792" s="6" t="n">
        <v>3</v>
      </c>
      <c r="U792" s="5" t="inlineStr">
        <is>
          <t>보안컨설팅 용역 / 2025.03.07 / 2025.1 | 클라우드 운영 / 2024.04.01 / 2027.03 | 보안컨설팅 용역 / 2024.01.01 / 2026.1</t>
        </is>
      </c>
      <c r="V792" s="21">
        <f>HYPERLINK("https://dart.fss.or.kr/dsaf001/main.do?rcpNo=20250514001216", "공시열람")</f>
        <v/>
      </c>
    </row>
    <row r="793">
      <c r="A793" s="5" t="inlineStr">
        <is>
          <t>씨엔알리서치</t>
        </is>
      </c>
      <c r="B793" s="6" t="inlineStr">
        <is>
          <t>359090</t>
        </is>
      </c>
      <c r="C793" s="6" t="inlineStr">
        <is>
          <t>2026Q2</t>
        </is>
      </c>
      <c r="D793" s="6" t="inlineStr">
        <is>
          <t>20260814</t>
        </is>
      </c>
      <c r="E793" s="16" t="n">
        <v>370486</v>
      </c>
      <c r="F793" s="16" t="n">
        <v>210425</v>
      </c>
      <c r="G793" s="16" t="n">
        <v>160061</v>
      </c>
      <c r="H793" s="6" t="inlineStr">
        <is>
          <t>백만원</t>
        </is>
      </c>
      <c r="I793" s="17" t="n">
        <v>7.1</v>
      </c>
      <c r="J793" s="18" t="n">
        <v>145157</v>
      </c>
      <c r="K793" s="19" t="n">
        <v>152409</v>
      </c>
      <c r="L793" s="18" t="n">
        <v>151856</v>
      </c>
      <c r="M793" s="19" t="n">
        <v>154569</v>
      </c>
      <c r="N793" s="18" t="n">
        <v>160868</v>
      </c>
      <c r="O793" s="19" t="n">
        <v>153206</v>
      </c>
      <c r="P793" s="18" t="n">
        <v>148944</v>
      </c>
      <c r="Q793" s="19" t="n">
        <v>151038</v>
      </c>
      <c r="R793" s="18" t="n">
        <v>149422</v>
      </c>
      <c r="S793" s="20" t="n">
        <v>160061</v>
      </c>
      <c r="T793" s="6" t="n">
        <v>0</v>
      </c>
      <c r="U793" s="5" t="inlineStr"/>
      <c r="V793" s="21">
        <f>HYPERLINK("https://dart.fss.or.kr/dsaf001/main.do?rcpNo=20260814001641", "공시열람")</f>
        <v/>
      </c>
    </row>
    <row r="794">
      <c r="A794" s="5" t="inlineStr">
        <is>
          <t>탑머티리얼</t>
        </is>
      </c>
      <c r="B794" s="6" t="inlineStr">
        <is>
          <t>360070</t>
        </is>
      </c>
      <c r="C794" s="6" t="inlineStr">
        <is>
          <t>2026Q2</t>
        </is>
      </c>
      <c r="D794" s="6" t="inlineStr">
        <is>
          <t>20260814</t>
        </is>
      </c>
      <c r="E794" s="16" t="n">
        <v>240113958</v>
      </c>
      <c r="F794" s="16" t="n">
        <v>195334760</v>
      </c>
      <c r="G794" s="16" t="n">
        <v>55223846</v>
      </c>
      <c r="H794" s="6" t="inlineStr">
        <is>
          <t>천원</t>
        </is>
      </c>
      <c r="I794" s="17" t="n">
        <v>15.7</v>
      </c>
      <c r="J794" s="18" t="n">
        <v>75108043</v>
      </c>
      <c r="K794" s="19" t="n">
        <v>98673944</v>
      </c>
      <c r="L794" s="18" t="n">
        <v>59906801</v>
      </c>
      <c r="M794" s="19" t="n">
        <v>38902313</v>
      </c>
      <c r="N794" s="18" t="n">
        <v>39469802</v>
      </c>
      <c r="O794" s="19" t="n">
        <v>37185938</v>
      </c>
      <c r="P794" s="18" t="n">
        <v>30863438</v>
      </c>
      <c r="Q794" s="19" t="n">
        <v>37222316</v>
      </c>
      <c r="R794" s="18" t="n">
        <v>47741532</v>
      </c>
      <c r="S794" s="20" t="n">
        <v>55223846</v>
      </c>
      <c r="T794" s="6" t="n">
        <v>1</v>
      </c>
      <c r="U794" s="5" t="inlineStr">
        <is>
          <t>2차전지시스템엔지니어링 / -</t>
        </is>
      </c>
      <c r="V794" s="21">
        <f>HYPERLINK("https://dart.fss.or.kr/dsaf001/main.do?rcpNo=20260814003677", "공시열람")</f>
        <v/>
      </c>
    </row>
    <row r="795">
      <c r="A795" s="5" t="inlineStr">
        <is>
          <t>코셈</t>
        </is>
      </c>
      <c r="B795" s="6" t="inlineStr">
        <is>
          <t>360350</t>
        </is>
      </c>
      <c r="C795" s="6" t="inlineStr">
        <is>
          <t>2026Q2</t>
        </is>
      </c>
      <c r="D795" s="6" t="inlineStr">
        <is>
          <t>20260814</t>
        </is>
      </c>
      <c r="E795" s="16" t="inlineStr"/>
      <c r="F795" s="16" t="inlineStr"/>
      <c r="G795" s="16" t="n">
        <v>1776.2</v>
      </c>
      <c r="H795" s="6" t="inlineStr">
        <is>
          <t>백만원</t>
        </is>
      </c>
      <c r="I795" s="17" t="n">
        <v>54.6</v>
      </c>
      <c r="J795" s="18" t="n">
        <v>1463.1</v>
      </c>
      <c r="K795" s="19" t="n">
        <v>1467.5</v>
      </c>
      <c r="L795" s="18" t="n">
        <v>2643.3</v>
      </c>
      <c r="M795" s="19" t="n">
        <v>1278.5</v>
      </c>
      <c r="N795" s="18" t="n">
        <v>1261.4</v>
      </c>
      <c r="O795" s="19" t="n">
        <v>726.6</v>
      </c>
      <c r="P795" s="18" t="inlineStr"/>
      <c r="Q795" s="19" t="n">
        <v>972.9</v>
      </c>
      <c r="R795" s="18" t="n">
        <v>1148.9</v>
      </c>
      <c r="S795" s="20" t="n">
        <v>1776.2</v>
      </c>
      <c r="T795" s="6" t="n">
        <v>19</v>
      </c>
      <c r="U795" s="5" t="inlineStr">
        <is>
          <t>IJ사 / CX시리즈 / 2026-05-20 | SB사 / EM시리즈 / 2026-06-16 | TR대학교 / EM시리즈 / 2026-05-25</t>
        </is>
      </c>
      <c r="V795" s="21">
        <f>HYPERLINK("https://dart.fss.or.kr/dsaf001/main.do?rcpNo=20260814001928", "공시열람")</f>
        <v/>
      </c>
    </row>
    <row r="796">
      <c r="A796" s="5" t="inlineStr">
        <is>
          <t>제노코</t>
        </is>
      </c>
      <c r="B796" s="6" t="inlineStr">
        <is>
          <t>361390</t>
        </is>
      </c>
      <c r="C796" s="6" t="inlineStr">
        <is>
          <t>2026Q2</t>
        </is>
      </c>
      <c r="D796" s="6" t="inlineStr">
        <is>
          <t>20260814</t>
        </is>
      </c>
      <c r="E796" s="16" t="n">
        <v>183312</v>
      </c>
      <c r="F796" s="16" t="n">
        <v>118819</v>
      </c>
      <c r="G796" s="16" t="n">
        <v>64492</v>
      </c>
      <c r="H796" s="6" t="inlineStr">
        <is>
          <t>백만원</t>
        </is>
      </c>
      <c r="I796" s="17" t="n">
        <v>-5.8</v>
      </c>
      <c r="J796" s="18" t="n">
        <v>97312790</v>
      </c>
      <c r="K796" s="19" t="n">
        <v>98527556</v>
      </c>
      <c r="L796" s="18" t="n">
        <v>105139348</v>
      </c>
      <c r="M796" s="19" t="n">
        <v>93242557</v>
      </c>
      <c r="N796" s="18" t="n">
        <v>93673409</v>
      </c>
      <c r="O796" s="19" t="n">
        <v>89997</v>
      </c>
      <c r="P796" s="18" t="n">
        <v>82149293</v>
      </c>
      <c r="Q796" s="19" t="n">
        <v>63572</v>
      </c>
      <c r="R796" s="18" t="n">
        <v>68487</v>
      </c>
      <c r="S796" s="20" t="n">
        <v>64492</v>
      </c>
      <c r="T796" s="6" t="n">
        <v>4</v>
      </c>
      <c r="U796" s="5" t="inlineStr">
        <is>
          <t>위성통신 / 2016년 / ~2028년 | 핵심부품 등 / 2021년 / ~2030년 | 항공전자 등 / 2019년 / ~2031년</t>
        </is>
      </c>
      <c r="V796" s="21">
        <f>HYPERLINK("https://dart.fss.or.kr/dsaf001/main.do?rcpNo=20260814000659", "공시열람")</f>
        <v/>
      </c>
    </row>
    <row r="797">
      <c r="A797" s="5" t="inlineStr">
        <is>
          <t>티와이홀딩스</t>
        </is>
      </c>
      <c r="B797" s="6" t="inlineStr">
        <is>
          <t>363280</t>
        </is>
      </c>
      <c r="C797" s="6" t="inlineStr">
        <is>
          <t>2024Q3</t>
        </is>
      </c>
      <c r="D797" s="6" t="inlineStr">
        <is>
          <t>20241114</t>
        </is>
      </c>
      <c r="E797" s="16" t="inlineStr"/>
      <c r="F797" s="16" t="n">
        <v>24483448702</v>
      </c>
      <c r="G797" s="16" t="n">
        <v>16332763222</v>
      </c>
      <c r="H797" s="6" t="inlineStr">
        <is>
          <t>천원</t>
        </is>
      </c>
      <c r="I797" s="17" t="n">
        <v>-7.8</v>
      </c>
      <c r="J797" s="18" t="n">
        <v>18879296934</v>
      </c>
      <c r="K797" s="19" t="n">
        <v>17707786106</v>
      </c>
      <c r="L797" s="18" t="n">
        <v>16332763222</v>
      </c>
      <c r="M797" s="19" t="inlineStr"/>
      <c r="N797" s="18" t="inlineStr"/>
      <c r="O797" s="19" t="inlineStr"/>
      <c r="P797" s="18" t="inlineStr"/>
      <c r="Q797" s="19" t="inlineStr"/>
      <c r="R797" s="18" t="inlineStr"/>
      <c r="S797" s="20" t="inlineStr"/>
      <c r="T797" s="6" t="n">
        <v>135</v>
      </c>
      <c r="U797" s="5" t="inlineStr">
        <is>
          <t>합계 - 전체 | 건축사업본부 - 국내 | 토목환경사업본부-전체</t>
        </is>
      </c>
      <c r="V797" s="21">
        <f>HYPERLINK("https://dart.fss.or.kr/dsaf001/main.do?rcpNo=20241114002955", "공시열람")</f>
        <v/>
      </c>
    </row>
    <row r="798">
      <c r="A798" s="5" t="inlineStr">
        <is>
          <t>에이아이코리아</t>
        </is>
      </c>
      <c r="B798" s="6" t="inlineStr">
        <is>
          <t>364950</t>
        </is>
      </c>
      <c r="C798" s="6" t="inlineStr">
        <is>
          <t>2025Q4</t>
        </is>
      </c>
      <c r="D798" s="6" t="inlineStr">
        <is>
          <t>20260313</t>
        </is>
      </c>
      <c r="E798" s="16" t="inlineStr"/>
      <c r="F798" s="16" t="inlineStr"/>
      <c r="G798" s="16" t="n">
        <v>634446</v>
      </c>
      <c r="H798" s="6" t="inlineStr">
        <is>
          <t>천원</t>
        </is>
      </c>
      <c r="I798" s="17" t="n">
        <v>-95.09999999999999</v>
      </c>
      <c r="J798" s="18" t="inlineStr"/>
      <c r="K798" s="19" t="inlineStr"/>
      <c r="L798" s="18" t="inlineStr"/>
      <c r="M798" s="19" t="inlineStr"/>
      <c r="N798" s="18" t="inlineStr"/>
      <c r="O798" s="19" t="n">
        <v>16606163</v>
      </c>
      <c r="P798" s="18" t="n">
        <v>12900287</v>
      </c>
      <c r="Q798" s="19" t="n">
        <v>634446</v>
      </c>
      <c r="R798" s="18" t="inlineStr"/>
      <c r="S798" s="20" t="inlineStr"/>
      <c r="T798" s="6" t="n">
        <v>1</v>
      </c>
      <c r="U798" s="5" t="inlineStr">
        <is>
          <t>동일알루미늄 청주공장 신축공사(소방) / 2025-07</t>
        </is>
      </c>
      <c r="V798" s="21">
        <f>HYPERLINK("https://dart.fss.or.kr/dsaf001/main.do?rcpNo=20260313001213", "공시열람")</f>
        <v/>
      </c>
    </row>
    <row r="799">
      <c r="A799" s="5" t="inlineStr">
        <is>
          <t>에스와이스틸텍</t>
        </is>
      </c>
      <c r="B799" s="6" t="inlineStr">
        <is>
          <t>365330</t>
        </is>
      </c>
      <c r="C799" s="6" t="inlineStr">
        <is>
          <t>2026Q2</t>
        </is>
      </c>
      <c r="D799" s="6" t="inlineStr">
        <is>
          <t>20260814</t>
        </is>
      </c>
      <c r="E799" s="16" t="n">
        <v>84986415</v>
      </c>
      <c r="F799" s="16" t="inlineStr"/>
      <c r="G799" s="16" t="n">
        <v>58149665</v>
      </c>
      <c r="H799" s="6" t="inlineStr">
        <is>
          <t>천㎡,천원</t>
        </is>
      </c>
      <c r="I799" s="17" t="n">
        <v>43.9</v>
      </c>
      <c r="J799" s="18" t="n">
        <v>64512846</v>
      </c>
      <c r="K799" s="19" t="n">
        <v>56887936</v>
      </c>
      <c r="L799" s="18" t="n">
        <v>56091469</v>
      </c>
      <c r="M799" s="19" t="n">
        <v>32436031</v>
      </c>
      <c r="N799" s="18" t="n">
        <v>39422856</v>
      </c>
      <c r="O799" s="19" t="n">
        <v>40863398</v>
      </c>
      <c r="P799" s="18" t="n">
        <v>28886919</v>
      </c>
      <c r="Q799" s="19" t="n">
        <v>37433656</v>
      </c>
      <c r="R799" s="18" t="n">
        <v>40398240</v>
      </c>
      <c r="S799" s="20" t="n">
        <v>58149665</v>
      </c>
      <c r="T799" s="6" t="n">
        <v>22</v>
      </c>
      <c r="U799" s="5" t="inlineStr">
        <is>
          <t>기타 / - | 현대건설(주) / 더현대광주 신축공사 / 2026년7월 | 한화건설 / (1-2공구)서울역북부 1-2공구 / 20</t>
        </is>
      </c>
      <c r="V799" s="21">
        <f>HYPERLINK("https://dart.fss.or.kr/dsaf001/main.do?rcpNo=20260814003676", "공시열람")</f>
        <v/>
      </c>
    </row>
    <row r="800">
      <c r="A800" s="5" t="inlineStr">
        <is>
          <t>레몬헬스케어</t>
        </is>
      </c>
      <c r="B800" s="6" t="inlineStr">
        <is>
          <t>365660</t>
        </is>
      </c>
      <c r="C800" s="6" t="inlineStr">
        <is>
          <t>2026Q2</t>
        </is>
      </c>
      <c r="D800" s="6" t="inlineStr">
        <is>
          <t>20260814</t>
        </is>
      </c>
      <c r="E800" s="16" t="n">
        <v>16424453</v>
      </c>
      <c r="F800" s="16" t="n">
        <v>4959383</v>
      </c>
      <c r="G800" s="16" t="n">
        <v>11465069</v>
      </c>
      <c r="H800" s="6" t="inlineStr">
        <is>
          <t>천원</t>
        </is>
      </c>
      <c r="I800" s="17" t="inlineStr"/>
      <c r="J800" s="18" t="inlineStr"/>
      <c r="K800" s="19" t="inlineStr"/>
      <c r="L800" s="18" t="inlineStr"/>
      <c r="M800" s="19" t="inlineStr"/>
      <c r="N800" s="18" t="inlineStr"/>
      <c r="O800" s="19" t="inlineStr"/>
      <c r="P800" s="18" t="inlineStr"/>
      <c r="Q800" s="19" t="inlineStr"/>
      <c r="R800" s="18" t="inlineStr"/>
      <c r="S800" s="20" t="n">
        <v>11465069</v>
      </c>
      <c r="T800" s="6" t="n">
        <v>2</v>
      </c>
      <c r="U800" s="5" t="inlineStr">
        <is>
          <t>LDB-E | LDB-H</t>
        </is>
      </c>
      <c r="V800" s="21">
        <f>HYPERLINK("https://dart.fss.or.kr/dsaf001/main.do?rcpNo=20260814002913", "공시열람")</f>
        <v/>
      </c>
    </row>
    <row r="801">
      <c r="A801" s="5" t="inlineStr">
        <is>
          <t>플래티어</t>
        </is>
      </c>
      <c r="B801" s="6" t="inlineStr">
        <is>
          <t>367000</t>
        </is>
      </c>
      <c r="C801" s="6" t="inlineStr">
        <is>
          <t>2026Q2</t>
        </is>
      </c>
      <c r="D801" s="6" t="inlineStr">
        <is>
          <t>20260814</t>
        </is>
      </c>
      <c r="E801" s="16" t="inlineStr"/>
      <c r="F801" s="16" t="n">
        <v>18976</v>
      </c>
      <c r="G801" s="16" t="n">
        <v>10453</v>
      </c>
      <c r="H801" s="6" t="inlineStr">
        <is>
          <t>백만원</t>
        </is>
      </c>
      <c r="I801" s="17" t="n">
        <v>41</v>
      </c>
      <c r="J801" s="18" t="n">
        <v>5746</v>
      </c>
      <c r="K801" s="19" t="n">
        <v>5245</v>
      </c>
      <c r="L801" s="18" t="n">
        <v>5720</v>
      </c>
      <c r="M801" s="19" t="n">
        <v>2597</v>
      </c>
      <c r="N801" s="18" t="n">
        <v>19782</v>
      </c>
      <c r="O801" s="19" t="n">
        <v>13739</v>
      </c>
      <c r="P801" s="18" t="n">
        <v>8309</v>
      </c>
      <c r="Q801" s="19" t="n">
        <v>5657</v>
      </c>
      <c r="R801" s="18" t="n">
        <v>7412</v>
      </c>
      <c r="S801" s="20" t="n">
        <v>10453</v>
      </c>
      <c r="T801" s="6" t="n">
        <v>3</v>
      </c>
      <c r="U801" s="5" t="inlineStr">
        <is>
          <t>AI 커머스 | 디지털 전환 | AI CX</t>
        </is>
      </c>
      <c r="V801" s="21">
        <f>HYPERLINK("https://dart.fss.or.kr/dsaf001/main.do?rcpNo=20260814002629", "공시열람")</f>
        <v/>
      </c>
    </row>
    <row r="802">
      <c r="A802" s="5" t="inlineStr">
        <is>
          <t>파이버프로</t>
        </is>
      </c>
      <c r="B802" s="6" t="inlineStr">
        <is>
          <t>368770</t>
        </is>
      </c>
      <c r="C802" s="6" t="inlineStr">
        <is>
          <t>2026Q1</t>
        </is>
      </c>
      <c r="D802" s="6" t="inlineStr">
        <is>
          <t>20260511</t>
        </is>
      </c>
      <c r="E802" s="16" t="n">
        <v>55707</v>
      </c>
      <c r="F802" s="16" t="n">
        <v>22078</v>
      </c>
      <c r="G802" s="16" t="n">
        <v>33629</v>
      </c>
      <c r="H802" s="6" t="inlineStr">
        <is>
          <t>백만원,천$</t>
        </is>
      </c>
      <c r="I802" s="17" t="n">
        <v>-7.2</v>
      </c>
      <c r="J802" s="18" t="n">
        <v>27354</v>
      </c>
      <c r="K802" s="19" t="n">
        <v>44043</v>
      </c>
      <c r="L802" s="18" t="n">
        <v>43306</v>
      </c>
      <c r="M802" s="19" t="n">
        <v>43306</v>
      </c>
      <c r="N802" s="18" t="n">
        <v>36629</v>
      </c>
      <c r="O802" s="19" t="n">
        <v>42788</v>
      </c>
      <c r="P802" s="18" t="n">
        <v>38257</v>
      </c>
      <c r="Q802" s="19" t="n">
        <v>36249</v>
      </c>
      <c r="R802" s="18" t="n">
        <v>33629</v>
      </c>
      <c r="S802" s="20" t="inlineStr"/>
      <c r="T802" s="6" t="n">
        <v>1</v>
      </c>
      <c r="U802" s="5" t="inlineStr">
        <is>
          <t>관성측정기 외 / '23년~ '26년. / -</t>
        </is>
      </c>
      <c r="V802" s="21">
        <f>HYPERLINK("https://dart.fss.or.kr/dsaf001/main.do?rcpNo=20260511000209", "공시열람")</f>
        <v/>
      </c>
    </row>
    <row r="803">
      <c r="A803" s="5" t="inlineStr">
        <is>
          <t>퓨런티어</t>
        </is>
      </c>
      <c r="B803" s="6" t="inlineStr">
        <is>
          <t>370090</t>
        </is>
      </c>
      <c r="C803" s="6" t="inlineStr">
        <is>
          <t>2026Q2</t>
        </is>
      </c>
      <c r="D803" s="6" t="inlineStr">
        <is>
          <t>20260813</t>
        </is>
      </c>
      <c r="E803" s="16" t="n">
        <v>18396303080</v>
      </c>
      <c r="F803" s="16" t="n">
        <v>12009554809</v>
      </c>
      <c r="G803" s="16" t="n">
        <v>6386748271</v>
      </c>
      <c r="H803" s="6" t="inlineStr">
        <is>
          <t>원</t>
        </is>
      </c>
      <c r="I803" s="17" t="n">
        <v>81194258.90000001</v>
      </c>
      <c r="J803" s="18" t="n">
        <v>8966</v>
      </c>
      <c r="K803" s="19" t="n">
        <v>4614</v>
      </c>
      <c r="L803" s="18" t="n">
        <v>3665</v>
      </c>
      <c r="M803" s="19" t="n">
        <v>5995</v>
      </c>
      <c r="N803" s="18" t="n">
        <v>5990</v>
      </c>
      <c r="O803" s="19" t="n">
        <v>5992</v>
      </c>
      <c r="P803" s="18" t="n">
        <v>6155</v>
      </c>
      <c r="Q803" s="19" t="n">
        <v>7872</v>
      </c>
      <c r="R803" s="18" t="n">
        <v>7866</v>
      </c>
      <c r="S803" s="20" t="n">
        <v>6386748271</v>
      </c>
      <c r="T803" s="6" t="n">
        <v>3</v>
      </c>
      <c r="U803" s="5" t="inlineStr">
        <is>
          <t>기타 장비 / 2025~ / 2026~ | 전장용 장비 / 2025~ / 2026~ | PC,광원등 / 2025~ / 2026~</t>
        </is>
      </c>
      <c r="V803" s="21">
        <f>HYPERLINK("https://dart.fss.or.kr/dsaf001/main.do?rcpNo=20260813001157", "공시열람")</f>
        <v/>
      </c>
    </row>
    <row r="804">
      <c r="A804" s="5" t="inlineStr">
        <is>
          <t>윤성에프앤씨</t>
        </is>
      </c>
      <c r="B804" s="6" t="inlineStr">
        <is>
          <t>372170</t>
        </is>
      </c>
      <c r="C804" s="6" t="inlineStr">
        <is>
          <t>2026Q2</t>
        </is>
      </c>
      <c r="D804" s="6" t="inlineStr">
        <is>
          <t>20260814</t>
        </is>
      </c>
      <c r="E804" s="16" t="n">
        <v>274420</v>
      </c>
      <c r="F804" s="16" t="n">
        <v>81735</v>
      </c>
      <c r="G804" s="16" t="n">
        <v>192685</v>
      </c>
      <c r="H804" s="6" t="inlineStr">
        <is>
          <t>백만원</t>
        </is>
      </c>
      <c r="I804" s="17" t="n">
        <v>-8.1</v>
      </c>
      <c r="J804" s="18" t="n">
        <v>252626</v>
      </c>
      <c r="K804" s="19" t="n">
        <v>300161</v>
      </c>
      <c r="L804" s="18" t="n">
        <v>286681</v>
      </c>
      <c r="M804" s="19" t="n">
        <v>238188</v>
      </c>
      <c r="N804" s="18" t="n">
        <v>228592</v>
      </c>
      <c r="O804" s="19" t="n">
        <v>194682</v>
      </c>
      <c r="P804" s="18" t="n">
        <v>189016</v>
      </c>
      <c r="Q804" s="19" t="n">
        <v>218676</v>
      </c>
      <c r="R804" s="18" t="n">
        <v>209671</v>
      </c>
      <c r="S804" s="20" t="n">
        <v>192685</v>
      </c>
      <c r="T804" s="6" t="n">
        <v>1</v>
      </c>
      <c r="U804" s="5" t="inlineStr">
        <is>
          <t>믹싱장비 및 시스템 / -</t>
        </is>
      </c>
      <c r="V804" s="21">
        <f>HYPERLINK("https://dart.fss.or.kr/dsaf001/main.do?rcpNo=20260814000641", "공시열람")</f>
        <v/>
      </c>
    </row>
    <row r="805">
      <c r="A805" s="5" t="inlineStr">
        <is>
          <t>아이티아이즈</t>
        </is>
      </c>
      <c r="B805" s="6" t="inlineStr">
        <is>
          <t>372800</t>
        </is>
      </c>
      <c r="C805" s="6" t="inlineStr">
        <is>
          <t>2026Q2</t>
        </is>
      </c>
      <c r="D805" s="6" t="inlineStr">
        <is>
          <t>20260814</t>
        </is>
      </c>
      <c r="E805" s="16" t="n">
        <v>116472</v>
      </c>
      <c r="F805" s="16" t="n">
        <v>64638</v>
      </c>
      <c r="G805" s="16" t="n">
        <v>51834</v>
      </c>
      <c r="H805" s="6" t="inlineStr">
        <is>
          <t>백만원</t>
        </is>
      </c>
      <c r="I805" s="17" t="n">
        <v>67.59999999999999</v>
      </c>
      <c r="J805" s="18" t="n">
        <v>49616</v>
      </c>
      <c r="K805" s="19" t="n">
        <v>47487</v>
      </c>
      <c r="L805" s="18" t="n">
        <v>48765</v>
      </c>
      <c r="M805" s="19" t="n">
        <v>66734</v>
      </c>
      <c r="N805" s="18" t="n">
        <v>55729</v>
      </c>
      <c r="O805" s="19" t="n">
        <v>44280</v>
      </c>
      <c r="P805" s="18" t="n">
        <v>35435</v>
      </c>
      <c r="Q805" s="19" t="n">
        <v>34711</v>
      </c>
      <c r="R805" s="18" t="n">
        <v>30929</v>
      </c>
      <c r="S805" s="20" t="n">
        <v>51834</v>
      </c>
      <c r="T805" s="6" t="n">
        <v>21</v>
      </c>
      <c r="U805" s="5" t="inlineStr">
        <is>
          <t>2026~2029년도 전력시장운영시스템 유지관리 위탁용 | 신용보증재단 및 신보중앙회 정보시스템 통합유지보수 /  | 기타 / 2022.06.01 / 2029.12.04</t>
        </is>
      </c>
      <c r="V805" s="21">
        <f>HYPERLINK("https://dart.fss.or.kr/dsaf001/main.do?rcpNo=20260814003419", "공시열람")</f>
        <v/>
      </c>
    </row>
    <row r="806">
      <c r="A806" s="5" t="inlineStr">
        <is>
          <t>한컴라이프케어</t>
        </is>
      </c>
      <c r="B806" s="6" t="inlineStr">
        <is>
          <t>372910</t>
        </is>
      </c>
      <c r="C806" s="6" t="inlineStr">
        <is>
          <t>2025Q1</t>
        </is>
      </c>
      <c r="D806" s="6" t="inlineStr">
        <is>
          <t>20250512</t>
        </is>
      </c>
      <c r="E806" s="16" t="n">
        <v>93929</v>
      </c>
      <c r="F806" s="16" t="inlineStr"/>
      <c r="G806" s="16" t="n">
        <v>93929</v>
      </c>
      <c r="H806" s="6" t="inlineStr">
        <is>
          <t>개,백만원</t>
        </is>
      </c>
      <c r="I806" s="17" t="n">
        <v>7.2</v>
      </c>
      <c r="J806" s="18" t="n">
        <v>116585</v>
      </c>
      <c r="K806" s="19" t="n">
        <v>108259</v>
      </c>
      <c r="L806" s="18" t="n">
        <v>98588</v>
      </c>
      <c r="M806" s="19" t="n">
        <v>87636</v>
      </c>
      <c r="N806" s="18" t="n">
        <v>93929</v>
      </c>
      <c r="O806" s="19" t="inlineStr"/>
      <c r="P806" s="18" t="inlineStr"/>
      <c r="Q806" s="19" t="inlineStr"/>
      <c r="R806" s="18" t="inlineStr"/>
      <c r="S806" s="20" t="inlineStr"/>
      <c r="T806" s="6" t="n">
        <v>5</v>
      </c>
      <c r="U806" s="5" t="inlineStr">
        <is>
          <t>지상레이저 표적지시기 2차 사업 / 2023.06.23 | 23년 예비군 교전훈련장비체계 / 2023.07.12  | 기갑/기계화 중대급 교전훈련체계 연구개발 / 2024.</t>
        </is>
      </c>
      <c r="V806" s="21">
        <f>HYPERLINK("https://dart.fss.or.kr/dsaf001/main.do?rcpNo=20250512000052", "공시열람")</f>
        <v/>
      </c>
    </row>
    <row r="807">
      <c r="A807" s="5" t="inlineStr">
        <is>
          <t>엠아이큐브솔루션</t>
        </is>
      </c>
      <c r="B807" s="6" t="inlineStr">
        <is>
          <t>373170</t>
        </is>
      </c>
      <c r="C807" s="6" t="inlineStr">
        <is>
          <t>2026Q2</t>
        </is>
      </c>
      <c r="D807" s="6" t="inlineStr">
        <is>
          <t>20260814</t>
        </is>
      </c>
      <c r="E807" s="16" t="n">
        <v>36684348</v>
      </c>
      <c r="F807" s="16" t="n">
        <v>24959327</v>
      </c>
      <c r="G807" s="16" t="n">
        <v>11725021</v>
      </c>
      <c r="H807" s="6" t="inlineStr">
        <is>
          <t>천원</t>
        </is>
      </c>
      <c r="I807" s="17" t="n">
        <v>2.3</v>
      </c>
      <c r="J807" s="18" t="n">
        <v>13718864</v>
      </c>
      <c r="K807" s="19" t="n">
        <v>11491924</v>
      </c>
      <c r="L807" s="18" t="n">
        <v>10636548</v>
      </c>
      <c r="M807" s="19" t="n">
        <v>7716711</v>
      </c>
      <c r="N807" s="18" t="n">
        <v>11923582</v>
      </c>
      <c r="O807" s="19" t="n">
        <v>11834</v>
      </c>
      <c r="P807" s="18" t="n">
        <v>9573750</v>
      </c>
      <c r="Q807" s="19" t="n">
        <v>5866654</v>
      </c>
      <c r="R807" s="18" t="n">
        <v>11462098</v>
      </c>
      <c r="S807" s="20" t="n">
        <v>11725021</v>
      </c>
      <c r="T807" s="6" t="n">
        <v>1</v>
      </c>
      <c r="U807" s="5" t="inlineStr">
        <is>
          <t>IT서비스 및 SW매출 / -</t>
        </is>
      </c>
      <c r="V807" s="21">
        <f>HYPERLINK("https://dart.fss.or.kr/dsaf001/main.do?rcpNo=20260814003216", "공시열람")</f>
        <v/>
      </c>
    </row>
    <row r="808">
      <c r="A808" s="5" t="inlineStr">
        <is>
          <t>DL이앤씨</t>
        </is>
      </c>
      <c r="B808" s="6" t="inlineStr">
        <is>
          <t>375500</t>
        </is>
      </c>
      <c r="C808" s="6" t="inlineStr">
        <is>
          <t>2026Q2</t>
        </is>
      </c>
      <c r="D808" s="6" t="inlineStr">
        <is>
          <t>20260814</t>
        </is>
      </c>
      <c r="E808" s="16" t="n">
        <v>40867535</v>
      </c>
      <c r="F808" s="16" t="n">
        <v>15227906</v>
      </c>
      <c r="G808" s="16" t="n">
        <v>25639629</v>
      </c>
      <c r="H808" s="6" t="inlineStr">
        <is>
          <t>백만원</t>
        </is>
      </c>
      <c r="I808" s="17" t="n">
        <v>15.4</v>
      </c>
      <c r="J808" s="18" t="n">
        <v>21748252</v>
      </c>
      <c r="K808" s="19" t="n">
        <v>21553212</v>
      </c>
      <c r="L808" s="18" t="n">
        <v>21322311</v>
      </c>
      <c r="M808" s="19" t="n">
        <v>21872078</v>
      </c>
      <c r="N808" s="18" t="n">
        <v>21652989</v>
      </c>
      <c r="O808" s="19" t="n">
        <v>20621363</v>
      </c>
      <c r="P808" s="18" t="n">
        <v>20570366</v>
      </c>
      <c r="Q808" s="19" t="n">
        <v>22436982</v>
      </c>
      <c r="R808" s="18" t="n">
        <v>22225195</v>
      </c>
      <c r="S808" s="20" t="n">
        <v>25639629</v>
      </c>
      <c r="T808" s="6" t="n">
        <v>114</v>
      </c>
      <c r="U808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8" s="21">
        <f>HYPERLINK("https://dart.fss.or.kr/dsaf001/main.do?rcpNo=20260814003712", "공시열람")</f>
        <v/>
      </c>
    </row>
    <row r="809">
      <c r="A809" s="5" t="inlineStr">
        <is>
          <t>노을</t>
        </is>
      </c>
      <c r="B809" s="6" t="inlineStr">
        <is>
          <t>376930</t>
        </is>
      </c>
      <c r="C809" s="6" t="inlineStr">
        <is>
          <t>2026Q2</t>
        </is>
      </c>
      <c r="D809" s="6" t="inlineStr">
        <is>
          <t>20260813</t>
        </is>
      </c>
      <c r="E809" s="16" t="n">
        <v>26057</v>
      </c>
      <c r="F809" s="16" t="n">
        <v>4886</v>
      </c>
      <c r="G809" s="16" t="n">
        <v>21172</v>
      </c>
      <c r="H809" s="6" t="inlineStr">
        <is>
          <t>백만원</t>
        </is>
      </c>
      <c r="I809" s="17" t="n">
        <v>-2.9</v>
      </c>
      <c r="J809" s="18" t="n">
        <v>12160</v>
      </c>
      <c r="K809" s="19" t="n">
        <v>11903</v>
      </c>
      <c r="L809" s="18" t="n">
        <v>11731</v>
      </c>
      <c r="M809" s="19" t="n">
        <v>13878</v>
      </c>
      <c r="N809" s="18" t="n">
        <v>20818</v>
      </c>
      <c r="O809" s="19" t="n">
        <v>22382</v>
      </c>
      <c r="P809" s="18" t="n">
        <v>22516</v>
      </c>
      <c r="Q809" s="19" t="n">
        <v>21923</v>
      </c>
      <c r="R809" s="18" t="n">
        <v>21799</v>
      </c>
      <c r="S809" s="20" t="n">
        <v>21172</v>
      </c>
      <c r="T809" s="6" t="n">
        <v>11</v>
      </c>
      <c r="U809" s="5" t="inlineStr">
        <is>
          <t>miLab™ 디바이스 및 카트리지 / 2023-08-0 | miLab™ 디바이스 및 카트리지 / 2025-02-2 | miLab™ 디바이스 및 카트리지 / 2024-11-0</t>
        </is>
      </c>
      <c r="V809" s="21">
        <f>HYPERLINK("https://dart.fss.or.kr/dsaf001/main.do?rcpNo=20260812000889", "공시열람")</f>
        <v/>
      </c>
    </row>
    <row r="810">
      <c r="A810" s="5" t="inlineStr">
        <is>
          <t>비트맥스</t>
        </is>
      </c>
      <c r="B810" s="6" t="inlineStr">
        <is>
          <t>377030</t>
        </is>
      </c>
      <c r="C810" s="6" t="inlineStr">
        <is>
          <t>2025Q1</t>
        </is>
      </c>
      <c r="D810" s="6" t="inlineStr">
        <is>
          <t>20250515</t>
        </is>
      </c>
      <c r="E810" s="16" t="n">
        <v>496</v>
      </c>
      <c r="F810" s="16" t="inlineStr"/>
      <c r="G810" s="16" t="n">
        <v>496</v>
      </c>
      <c r="H810" s="6" t="inlineStr">
        <is>
          <t>백만원</t>
        </is>
      </c>
      <c r="I810" s="17" t="n">
        <v>-94.7</v>
      </c>
      <c r="J810" s="18" t="n">
        <v>10823</v>
      </c>
      <c r="K810" s="19" t="n">
        <v>11630</v>
      </c>
      <c r="L810" s="18" t="n">
        <v>9529</v>
      </c>
      <c r="M810" s="19" t="n">
        <v>9443</v>
      </c>
      <c r="N810" s="18" t="n">
        <v>496</v>
      </c>
      <c r="O810" s="19" t="inlineStr"/>
      <c r="P810" s="18" t="inlineStr"/>
      <c r="Q810" s="19" t="inlineStr"/>
      <c r="R810" s="18" t="inlineStr"/>
      <c r="S810" s="20" t="inlineStr"/>
      <c r="T810" s="6" t="n">
        <v>1</v>
      </c>
      <c r="U810" s="5" t="inlineStr">
        <is>
          <t>IT서비스 / ㈜아이엘포유 / 시스템구축 및 운영 유지</t>
        </is>
      </c>
      <c r="V810" s="21">
        <f>HYPERLINK("https://dart.fss.or.kr/dsaf001/main.do?rcpNo=20250515001562", "공시열람")</f>
        <v/>
      </c>
    </row>
    <row r="811">
      <c r="A811" s="5" t="inlineStr">
        <is>
          <t>이지트로닉스</t>
        </is>
      </c>
      <c r="B811" s="6" t="inlineStr">
        <is>
          <t>377330</t>
        </is>
      </c>
      <c r="C811" s="6" t="inlineStr">
        <is>
          <t>2026Q2</t>
        </is>
      </c>
      <c r="D811" s="6" t="inlineStr">
        <is>
          <t>20260814</t>
        </is>
      </c>
      <c r="E811" s="16" t="n">
        <v>9495</v>
      </c>
      <c r="F811" s="16" t="n">
        <v>4905</v>
      </c>
      <c r="G811" s="16" t="n">
        <v>4590</v>
      </c>
      <c r="H811" s="6" t="inlineStr">
        <is>
          <t>백만원</t>
        </is>
      </c>
      <c r="I811" s="17" t="n">
        <v>-38.7</v>
      </c>
      <c r="J811" s="18" t="n">
        <v>2886</v>
      </c>
      <c r="K811" s="19" t="n">
        <v>5024</v>
      </c>
      <c r="L811" s="18" t="n">
        <v>12497</v>
      </c>
      <c r="M811" s="19" t="n">
        <v>3039</v>
      </c>
      <c r="N811" s="18" t="n">
        <v>5157</v>
      </c>
      <c r="O811" s="19" t="n">
        <v>3361</v>
      </c>
      <c r="P811" s="18" t="n">
        <v>3325</v>
      </c>
      <c r="Q811" s="19" t="n">
        <v>4939</v>
      </c>
      <c r="R811" s="18" t="n">
        <v>7486</v>
      </c>
      <c r="S811" s="20" t="n">
        <v>4590</v>
      </c>
      <c r="T811" s="6" t="n">
        <v>1</v>
      </c>
      <c r="U811" s="5" t="inlineStr">
        <is>
          <t>전력변환장치(제품) 외 / 2026년</t>
        </is>
      </c>
      <c r="V811" s="21">
        <f>HYPERLINK("https://dart.fss.or.kr/dsaf001/main.do?rcpNo=20260814002509", "공시열람")</f>
        <v/>
      </c>
    </row>
    <row r="812">
      <c r="A812" s="5" t="inlineStr">
        <is>
          <t>마음AI</t>
        </is>
      </c>
      <c r="B812" s="6" t="inlineStr">
        <is>
          <t>377480</t>
        </is>
      </c>
      <c r="C812" s="6" t="inlineStr">
        <is>
          <t>2026Q2</t>
        </is>
      </c>
      <c r="D812" s="6" t="inlineStr">
        <is>
          <t>20260814</t>
        </is>
      </c>
      <c r="E812" s="16" t="n">
        <v>4015317</v>
      </c>
      <c r="F812" s="16" t="n">
        <v>1598358</v>
      </c>
      <c r="G812" s="16" t="n">
        <v>2416959</v>
      </c>
      <c r="H812" s="6" t="inlineStr">
        <is>
          <t>천원</t>
        </is>
      </c>
      <c r="I812" s="17" t="n">
        <v>2218.6</v>
      </c>
      <c r="J812" s="18" t="n">
        <v>1395846</v>
      </c>
      <c r="K812" s="19" t="n">
        <v>1943692</v>
      </c>
      <c r="L812" s="18" t="n">
        <v>1619015</v>
      </c>
      <c r="M812" s="19" t="n">
        <v>518080</v>
      </c>
      <c r="N812" s="18" t="n">
        <v>673648</v>
      </c>
      <c r="O812" s="19" t="n">
        <v>1229587</v>
      </c>
      <c r="P812" s="18" t="n">
        <v>774501</v>
      </c>
      <c r="Q812" s="19" t="n">
        <v>2646480</v>
      </c>
      <c r="R812" s="18" t="n">
        <v>104240</v>
      </c>
      <c r="S812" s="20" t="n">
        <v>2416959</v>
      </c>
      <c r="T812" s="6" t="n">
        <v>14</v>
      </c>
      <c r="U812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2" s="21">
        <f>HYPERLINK("https://dart.fss.or.kr/dsaf001/main.do?rcpNo=20260814002855", "공시열람")</f>
        <v/>
      </c>
    </row>
    <row r="813">
      <c r="A813" s="5" t="inlineStr">
        <is>
          <t>필에너지</t>
        </is>
      </c>
      <c r="B813" s="6" t="inlineStr">
        <is>
          <t>378340</t>
        </is>
      </c>
      <c r="C813" s="6" t="inlineStr">
        <is>
          <t>2026Q2</t>
        </is>
      </c>
      <c r="D813" s="6" t="inlineStr">
        <is>
          <t>20260814</t>
        </is>
      </c>
      <c r="E813" s="16" t="n">
        <v>99387</v>
      </c>
      <c r="F813" s="16" t="n">
        <v>4129</v>
      </c>
      <c r="G813" s="16" t="n">
        <v>95258</v>
      </c>
      <c r="H813" s="6" t="inlineStr">
        <is>
          <t>백만원</t>
        </is>
      </c>
      <c r="I813" s="17" t="n">
        <v>16.4</v>
      </c>
      <c r="J813" s="18" t="n">
        <v>291171</v>
      </c>
      <c r="K813" s="19" t="n">
        <v>199885</v>
      </c>
      <c r="L813" s="18" t="n">
        <v>148244</v>
      </c>
      <c r="M813" s="19" t="n">
        <v>79163</v>
      </c>
      <c r="N813" s="18" t="n">
        <v>82878</v>
      </c>
      <c r="O813" s="19" t="n">
        <v>62162</v>
      </c>
      <c r="P813" s="18" t="n">
        <v>64638</v>
      </c>
      <c r="Q813" s="19" t="n">
        <v>73666</v>
      </c>
      <c r="R813" s="18" t="n">
        <v>81832</v>
      </c>
      <c r="S813" s="20" t="n">
        <v>95258</v>
      </c>
      <c r="T813" s="6" t="n">
        <v>1</v>
      </c>
      <c r="U813" s="5" t="inlineStr">
        <is>
          <t>이차전지 공정장비 / -</t>
        </is>
      </c>
      <c r="V813" s="21">
        <f>HYPERLINK("https://dart.fss.or.kr/dsaf001/main.do?rcpNo=20260814002628", "공시열람")</f>
        <v/>
      </c>
    </row>
    <row r="814">
      <c r="A814" s="5" t="inlineStr">
        <is>
          <t>이성씨엔아이</t>
        </is>
      </c>
      <c r="B814" s="6" t="inlineStr">
        <is>
          <t>379390</t>
        </is>
      </c>
      <c r="C814" s="6" t="inlineStr">
        <is>
          <t>2025Q4</t>
        </is>
      </c>
      <c r="D814" s="6" t="inlineStr">
        <is>
          <t>20260323</t>
        </is>
      </c>
      <c r="E814" s="16" t="n">
        <v>40691</v>
      </c>
      <c r="F814" s="16" t="n">
        <v>23305</v>
      </c>
      <c r="G814" s="16" t="n">
        <v>17386</v>
      </c>
      <c r="H814" s="6" t="inlineStr">
        <is>
          <t>백만원,천USD</t>
        </is>
      </c>
      <c r="I814" s="17" t="n">
        <v>25.5</v>
      </c>
      <c r="J814" s="18" t="inlineStr"/>
      <c r="K814" s="19" t="inlineStr"/>
      <c r="L814" s="18" t="inlineStr"/>
      <c r="M814" s="19" t="inlineStr"/>
      <c r="N814" s="18" t="inlineStr"/>
      <c r="O814" s="19" t="inlineStr"/>
      <c r="P814" s="18" t="inlineStr"/>
      <c r="Q814" s="19" t="n">
        <v>17386</v>
      </c>
      <c r="R814" s="18" t="inlineStr"/>
      <c r="S814" s="20" t="inlineStr"/>
      <c r="T814" s="6" t="n">
        <v>5</v>
      </c>
      <c r="U814" s="5" t="inlineStr">
        <is>
          <t>교전훈련체계 / - | 운송 물류주선 사업 / - | 원자력 / -</t>
        </is>
      </c>
      <c r="V814" s="21">
        <f>HYPERLINK("https://dart.fss.or.kr/dsaf001/main.do?rcpNo=20260323000676", "공시열람")</f>
        <v/>
      </c>
    </row>
    <row r="815">
      <c r="A815" s="5" t="inlineStr">
        <is>
          <t>옵티코어</t>
        </is>
      </c>
      <c r="B815" s="6" t="inlineStr">
        <is>
          <t>380540</t>
        </is>
      </c>
      <c r="C815" s="6" t="inlineStr">
        <is>
          <t>2026Q2</t>
        </is>
      </c>
      <c r="D815" s="6" t="inlineStr">
        <is>
          <t>20260814</t>
        </is>
      </c>
      <c r="E815" s="16" t="n">
        <v>17859</v>
      </c>
      <c r="F815" s="16" t="n">
        <v>14317</v>
      </c>
      <c r="G815" s="16" t="n">
        <v>3543</v>
      </c>
      <c r="H815" s="6" t="inlineStr">
        <is>
          <t>EA,백만원</t>
        </is>
      </c>
      <c r="I815" s="17" t="n">
        <v>25.7</v>
      </c>
      <c r="J815" s="18" t="n">
        <v>2542</v>
      </c>
      <c r="K815" s="19" t="n">
        <v>3422</v>
      </c>
      <c r="L815" s="18" t="n">
        <v>6104</v>
      </c>
      <c r="M815" s="19" t="n">
        <v>1603</v>
      </c>
      <c r="N815" s="18" t="n">
        <v>837</v>
      </c>
      <c r="O815" s="19" t="n">
        <v>1859</v>
      </c>
      <c r="P815" s="18" t="n">
        <v>9151</v>
      </c>
      <c r="Q815" s="19" t="n">
        <v>10808</v>
      </c>
      <c r="R815" s="18" t="n">
        <v>2819</v>
      </c>
      <c r="S815" s="20" t="n">
        <v>3543</v>
      </c>
      <c r="T815" s="6" t="n">
        <v>2</v>
      </c>
      <c r="U815" s="5" t="inlineStr">
        <is>
          <t>광트랜시버 / - | 기타</t>
        </is>
      </c>
      <c r="V815" s="21">
        <f>HYPERLINK("https://dart.fss.or.kr/dsaf001/main.do?rcpNo=20260814003643", "공시열람")</f>
        <v/>
      </c>
    </row>
    <row r="816">
      <c r="A816" s="5" t="inlineStr">
        <is>
          <t>뉴로핏</t>
        </is>
      </c>
      <c r="B816" s="6" t="inlineStr">
        <is>
          <t>380550</t>
        </is>
      </c>
      <c r="C816" s="6" t="inlineStr">
        <is>
          <t>2026Q2</t>
        </is>
      </c>
      <c r="D816" s="6" t="inlineStr">
        <is>
          <t>20260814</t>
        </is>
      </c>
      <c r="E816" s="16" t="n">
        <v>2310528</v>
      </c>
      <c r="F816" s="16" t="inlineStr"/>
      <c r="G816" s="16" t="n">
        <v>1141644</v>
      </c>
      <c r="H816" s="6" t="inlineStr">
        <is>
          <t>천원</t>
        </is>
      </c>
      <c r="I816" s="17" t="n">
        <v>2.4</v>
      </c>
      <c r="J816" s="18" t="inlineStr"/>
      <c r="K816" s="19" t="inlineStr"/>
      <c r="L816" s="18" t="inlineStr"/>
      <c r="M816" s="19" t="inlineStr"/>
      <c r="N816" s="18" t="inlineStr"/>
      <c r="O816" s="19" t="n">
        <v>1386125</v>
      </c>
      <c r="P816" s="18" t="n">
        <v>1146114</v>
      </c>
      <c r="Q816" s="19" t="n">
        <v>1161535</v>
      </c>
      <c r="R816" s="18" t="n">
        <v>1114642</v>
      </c>
      <c r="S816" s="20" t="n">
        <v>1141644</v>
      </c>
      <c r="T816" s="6" t="n">
        <v>38</v>
      </c>
      <c r="U816" s="5" t="inlineStr">
        <is>
          <t>Imaging CRO | Imaging CRO | Neurophet AQUA</t>
        </is>
      </c>
      <c r="V816" s="21">
        <f>HYPERLINK("https://dart.fss.or.kr/dsaf001/main.do?rcpNo=20260814002605", "공시열람")</f>
        <v/>
      </c>
    </row>
    <row r="817">
      <c r="A817" s="5" t="inlineStr">
        <is>
          <t>지앤비에스 에코</t>
        </is>
      </c>
      <c r="B817" s="6" t="inlineStr">
        <is>
          <t>382800</t>
        </is>
      </c>
      <c r="C817" s="6" t="inlineStr">
        <is>
          <t>2025Q1</t>
        </is>
      </c>
      <c r="D817" s="6" t="inlineStr">
        <is>
          <t>20250530</t>
        </is>
      </c>
      <c r="E817" s="16" t="inlineStr"/>
      <c r="F817" s="16" t="inlineStr"/>
      <c r="G817" s="16" t="n">
        <v>9169</v>
      </c>
      <c r="H817" s="6" t="inlineStr">
        <is>
          <t>백만원</t>
        </is>
      </c>
      <c r="I817" s="17" t="n">
        <v>-27.5</v>
      </c>
      <c r="J817" s="18" t="n">
        <v>6300</v>
      </c>
      <c r="K817" s="19" t="n">
        <v>2761</v>
      </c>
      <c r="L817" s="18" t="n">
        <v>2373</v>
      </c>
      <c r="M817" s="19" t="n">
        <v>12648</v>
      </c>
      <c r="N817" s="18" t="n">
        <v>9169</v>
      </c>
      <c r="O817" s="19" t="inlineStr"/>
      <c r="P817" s="18" t="inlineStr"/>
      <c r="Q817" s="19" t="inlineStr"/>
      <c r="R817" s="18" t="inlineStr"/>
      <c r="S817" s="20" t="inlineStr"/>
      <c r="T817" s="6" t="n">
        <v>1</v>
      </c>
      <c r="U817" s="5" t="inlineStr">
        <is>
          <t>SCRUBBER 외 / -</t>
        </is>
      </c>
      <c r="V817" s="21">
        <f>HYPERLINK("https://dart.fss.or.kr/dsaf001/main.do?rcpNo=20250530001989", "공시열람")</f>
        <v/>
      </c>
    </row>
    <row r="818">
      <c r="A818" s="5" t="inlineStr">
        <is>
          <t>원준</t>
        </is>
      </c>
      <c r="B818" s="6" t="inlineStr">
        <is>
          <t>382840</t>
        </is>
      </c>
      <c r="C818" s="6" t="inlineStr">
        <is>
          <t>2026Q2</t>
        </is>
      </c>
      <c r="D818" s="6" t="inlineStr">
        <is>
          <t>20260814</t>
        </is>
      </c>
      <c r="E818" s="16" t="n">
        <v>121812</v>
      </c>
      <c r="F818" s="16" t="n">
        <v>71639</v>
      </c>
      <c r="G818" s="16" t="n">
        <v>50173</v>
      </c>
      <c r="H818" s="6" t="inlineStr">
        <is>
          <t>백만원</t>
        </is>
      </c>
      <c r="I818" s="17" t="n">
        <v>3.3</v>
      </c>
      <c r="J818" s="18" t="n">
        <v>246010</v>
      </c>
      <c r="K818" s="19" t="n">
        <v>198246</v>
      </c>
      <c r="L818" s="18" t="n">
        <v>178613</v>
      </c>
      <c r="M818" s="19" t="n">
        <v>147154</v>
      </c>
      <c r="N818" s="18" t="n">
        <v>53005</v>
      </c>
      <c r="O818" s="19" t="n">
        <v>48866</v>
      </c>
      <c r="P818" s="18" t="n">
        <v>47606</v>
      </c>
      <c r="Q818" s="19" t="n">
        <v>48218</v>
      </c>
      <c r="R818" s="18" t="n">
        <v>48589</v>
      </c>
      <c r="S818" s="20" t="n">
        <v>50173</v>
      </c>
      <c r="T818" s="6" t="n">
        <v>1</v>
      </c>
      <c r="U818" s="5" t="inlineStr">
        <is>
          <t>열처리 장비 및 공정설비 / -</t>
        </is>
      </c>
      <c r="V818" s="21">
        <f>HYPERLINK("https://dart.fss.or.kr/dsaf001/main.do?rcpNo=20260814003223", "공시열람")</f>
        <v/>
      </c>
    </row>
    <row r="819">
      <c r="A819" s="5" t="inlineStr">
        <is>
          <t>범한퓨얼셀</t>
        </is>
      </c>
      <c r="B819" s="6" t="inlineStr">
        <is>
          <t>382900</t>
        </is>
      </c>
      <c r="C819" s="6" t="inlineStr">
        <is>
          <t>2026Q2</t>
        </is>
      </c>
      <c r="D819" s="6" t="inlineStr">
        <is>
          <t>20260814</t>
        </is>
      </c>
      <c r="E819" s="16" t="n">
        <v>87645</v>
      </c>
      <c r="F819" s="16" t="n">
        <v>26574</v>
      </c>
      <c r="G819" s="16" t="n">
        <v>61071</v>
      </c>
      <c r="H819" s="6" t="inlineStr">
        <is>
          <t>백만원</t>
        </is>
      </c>
      <c r="I819" s="17" t="n">
        <v>-19.5</v>
      </c>
      <c r="J819" s="18" t="n">
        <v>3382</v>
      </c>
      <c r="K819" s="19" t="n">
        <v>2971</v>
      </c>
      <c r="L819" s="18" t="n">
        <v>2560</v>
      </c>
      <c r="M819" s="19" t="n">
        <v>12934</v>
      </c>
      <c r="N819" s="18" t="n">
        <v>12667</v>
      </c>
      <c r="O819" s="19" t="n">
        <v>13550</v>
      </c>
      <c r="P819" s="18" t="n">
        <v>76263</v>
      </c>
      <c r="Q819" s="19" t="n">
        <v>67853</v>
      </c>
      <c r="R819" s="18" t="n">
        <v>75879</v>
      </c>
      <c r="S819" s="20" t="n">
        <v>61071</v>
      </c>
      <c r="T819" s="6" t="n">
        <v>1</v>
      </c>
      <c r="U819" s="5" t="inlineStr">
        <is>
          <t xml:space="preserve">수소충전소 / '21.07.23~'26.04.29 / </t>
        </is>
      </c>
      <c r="V819" s="21">
        <f>HYPERLINK("https://dart.fss.or.kr/dsaf001/main.do?rcpNo=20260814003724", "공시열람")</f>
        <v/>
      </c>
    </row>
    <row r="820">
      <c r="A820" s="5" t="inlineStr">
        <is>
          <t>에코프로에이치엔</t>
        </is>
      </c>
      <c r="B820" s="6" t="inlineStr">
        <is>
          <t>383310</t>
        </is>
      </c>
      <c r="C820" s="6" t="inlineStr">
        <is>
          <t>2026Q2</t>
        </is>
      </c>
      <c r="D820" s="6" t="inlineStr">
        <is>
          <t>20260814</t>
        </is>
      </c>
      <c r="E820" s="16" t="n">
        <v>162441</v>
      </c>
      <c r="F820" s="16" t="n">
        <v>79411</v>
      </c>
      <c r="G820" s="16" t="n">
        <v>83030</v>
      </c>
      <c r="H820" s="6" t="inlineStr">
        <is>
          <t>백만원</t>
        </is>
      </c>
      <c r="I820" s="17" t="n">
        <v>-7.5</v>
      </c>
      <c r="J820" s="18" t="n">
        <v>129684</v>
      </c>
      <c r="K820" s="19" t="n">
        <v>105484</v>
      </c>
      <c r="L820" s="18" t="n">
        <v>89347</v>
      </c>
      <c r="M820" s="19" t="n">
        <v>77099</v>
      </c>
      <c r="N820" s="18" t="n">
        <v>72058</v>
      </c>
      <c r="O820" s="19" t="n">
        <v>78334</v>
      </c>
      <c r="P820" s="18" t="n">
        <v>82744</v>
      </c>
      <c r="Q820" s="19" t="n">
        <v>64269</v>
      </c>
      <c r="R820" s="18" t="n">
        <v>89753</v>
      </c>
      <c r="S820" s="20" t="n">
        <v>83030</v>
      </c>
      <c r="T820" s="6" t="n">
        <v>5</v>
      </c>
      <c r="U820" s="5" t="inlineStr">
        <is>
          <t>온실가스 감축 솔루션 / ~2026.06.30 / - | 미세먼지 저감 솔루션 / ~2026.06.30 / - | 클린룸 케미컬 필터 / ~2026.06.30 / -</t>
        </is>
      </c>
      <c r="V820" s="21">
        <f>HYPERLINK("https://dart.fss.or.kr/dsaf001/main.do?rcpNo=20260814001912", "공시열람")</f>
        <v/>
      </c>
    </row>
    <row r="821">
      <c r="A821" s="5" t="inlineStr">
        <is>
          <t>디티앤씨알오</t>
        </is>
      </c>
      <c r="B821" s="6" t="inlineStr">
        <is>
          <t>383930</t>
        </is>
      </c>
      <c r="C821" s="6" t="inlineStr">
        <is>
          <t>2026Q2</t>
        </is>
      </c>
      <c r="D821" s="6" t="inlineStr">
        <is>
          <t>20260814</t>
        </is>
      </c>
      <c r="E821" s="16" t="n">
        <v>113413974</v>
      </c>
      <c r="F821" s="16" t="n">
        <v>57221612</v>
      </c>
      <c r="G821" s="16" t="n">
        <v>56192362</v>
      </c>
      <c r="H821" s="6" t="inlineStr">
        <is>
          <t>천원</t>
        </is>
      </c>
      <c r="I821" s="17" t="n">
        <v>8.6</v>
      </c>
      <c r="J821" s="18" t="n">
        <v>39874739</v>
      </c>
      <c r="K821" s="19" t="n">
        <v>42712496</v>
      </c>
      <c r="L821" s="18" t="n">
        <v>42739514</v>
      </c>
      <c r="M821" s="19" t="n">
        <v>47914244</v>
      </c>
      <c r="N821" s="18" t="n">
        <v>44770378</v>
      </c>
      <c r="O821" s="19" t="n">
        <v>48764533</v>
      </c>
      <c r="P821" s="18" t="n">
        <v>49558403</v>
      </c>
      <c r="Q821" s="19" t="n">
        <v>51756226</v>
      </c>
      <c r="R821" s="18" t="n">
        <v>51756226</v>
      </c>
      <c r="S821" s="20" t="n">
        <v>56192362</v>
      </c>
      <c r="T821" s="6" t="n">
        <v>4</v>
      </c>
      <c r="U821" s="5" t="inlineStr">
        <is>
          <t>임상사업부 / - | 안전성센터 / - | 효능평가센터 / -</t>
        </is>
      </c>
      <c r="V821" s="21">
        <f>HYPERLINK("https://dart.fss.or.kr/dsaf001/main.do?rcpNo=20260814003017", "공시열람")</f>
        <v/>
      </c>
    </row>
    <row r="822">
      <c r="A822" s="5" t="inlineStr">
        <is>
          <t>지투파워</t>
        </is>
      </c>
      <c r="B822" s="6" t="inlineStr">
        <is>
          <t>388050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114135</v>
      </c>
      <c r="F822" s="16" t="inlineStr"/>
      <c r="G822" s="16" t="n">
        <v>114135</v>
      </c>
      <c r="H822" s="6" t="inlineStr">
        <is>
          <t>백만원</t>
        </is>
      </c>
      <c r="I822" s="17" t="n">
        <v>6.8</v>
      </c>
      <c r="J822" s="18" t="n">
        <v>55747</v>
      </c>
      <c r="K822" s="19" t="n">
        <v>71115</v>
      </c>
      <c r="L822" s="18" t="n">
        <v>80667</v>
      </c>
      <c r="M822" s="19" t="n">
        <v>76880</v>
      </c>
      <c r="N822" s="18" t="n">
        <v>120348</v>
      </c>
      <c r="O822" s="19" t="n">
        <v>129623</v>
      </c>
      <c r="P822" s="18" t="n">
        <v>128156</v>
      </c>
      <c r="Q822" s="19" t="n">
        <v>115314</v>
      </c>
      <c r="R822" s="18" t="n">
        <v>106896</v>
      </c>
      <c r="S822" s="20" t="n">
        <v>114135</v>
      </c>
      <c r="T822" s="6" t="n">
        <v>5</v>
      </c>
      <c r="U822" s="5" t="inlineStr">
        <is>
          <t xml:space="preserve">수배전반 / 2022-04-06 ~2026-06-30  | 태양광 / 2023-06-23 ~ 2026-06-30  | ESS / 2024-08-28 ~ 2026-06-01 </t>
        </is>
      </c>
      <c r="V822" s="21">
        <f>HYPERLINK("https://dart.fss.or.kr/dsaf001/main.do?rcpNo=20260814000447", "공시열람")</f>
        <v/>
      </c>
    </row>
    <row r="823">
      <c r="A823" s="5" t="inlineStr">
        <is>
          <t>유일로보틱스</t>
        </is>
      </c>
      <c r="B823" s="6" t="inlineStr">
        <is>
          <t>388720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11120</v>
      </c>
      <c r="F823" s="16" t="inlineStr"/>
      <c r="G823" s="16" t="n">
        <v>11120</v>
      </c>
      <c r="H823" s="6" t="inlineStr">
        <is>
          <t>백만원</t>
        </is>
      </c>
      <c r="I823" s="17" t="n">
        <v>87.7</v>
      </c>
      <c r="J823" s="18" t="inlineStr"/>
      <c r="K823" s="19" t="inlineStr"/>
      <c r="L823" s="18" t="inlineStr"/>
      <c r="M823" s="19" t="inlineStr"/>
      <c r="N823" s="18" t="inlineStr"/>
      <c r="O823" s="19" t="inlineStr"/>
      <c r="P823" s="18" t="inlineStr"/>
      <c r="Q823" s="19" t="n">
        <v>5925</v>
      </c>
      <c r="R823" s="18" t="n">
        <v>5925</v>
      </c>
      <c r="S823" s="20" t="n">
        <v>11120</v>
      </c>
      <c r="T823" s="6" t="n">
        <v>2</v>
      </c>
      <c r="U823" s="5" t="inlineStr">
        <is>
          <t>진공기상건조로 제4호기, 제5호기 / 2026.02.1 | 신공장 자동화 구축 (물류자동화+MES시스템) / 20</t>
        </is>
      </c>
      <c r="V823" s="21">
        <f>HYPERLINK("https://dart.fss.or.kr/dsaf001/main.do?rcpNo=20260814002610", "공시열람")</f>
        <v/>
      </c>
    </row>
    <row r="824">
      <c r="A824" s="5" t="inlineStr">
        <is>
          <t>라이콤</t>
        </is>
      </c>
      <c r="B824" s="6" t="inlineStr">
        <is>
          <t>388790</t>
        </is>
      </c>
      <c r="C824" s="6" t="inlineStr">
        <is>
          <t>2026Q2</t>
        </is>
      </c>
      <c r="D824" s="6" t="inlineStr">
        <is>
          <t>20260814</t>
        </is>
      </c>
      <c r="E824" s="16" t="n">
        <v>26337</v>
      </c>
      <c r="F824" s="16" t="n">
        <v>7224</v>
      </c>
      <c r="G824" s="16" t="n">
        <v>19115</v>
      </c>
      <c r="H824" s="6" t="inlineStr">
        <is>
          <t>백만원</t>
        </is>
      </c>
      <c r="I824" s="17" t="n">
        <v>78.2</v>
      </c>
      <c r="J824" s="18" t="n">
        <v>5099</v>
      </c>
      <c r="K824" s="19" t="n">
        <v>4345</v>
      </c>
      <c r="L824" s="18" t="n">
        <v>5331</v>
      </c>
      <c r="M824" s="19" t="n">
        <v>4706</v>
      </c>
      <c r="N824" s="18" t="n">
        <v>3180</v>
      </c>
      <c r="O824" s="19" t="n">
        <v>3902</v>
      </c>
      <c r="P824" s="18" t="n">
        <v>10200</v>
      </c>
      <c r="Q824" s="19" t="n">
        <v>6583</v>
      </c>
      <c r="R824" s="18" t="n">
        <v>10726</v>
      </c>
      <c r="S824" s="20" t="n">
        <v>19115</v>
      </c>
      <c r="T824" s="6" t="n">
        <v>4</v>
      </c>
      <c r="U824" s="5" t="inlineStr">
        <is>
          <t>광증폭기 / - | 광섬유레이저 / - | 광중계기 / -</t>
        </is>
      </c>
      <c r="V824" s="21">
        <f>HYPERLINK("https://dart.fss.or.kr/dsaf001/main.do?rcpNo=20260814001795", "공시열람")</f>
        <v/>
      </c>
    </row>
    <row r="825">
      <c r="A825" s="5" t="inlineStr">
        <is>
          <t>자람테크놀로지</t>
        </is>
      </c>
      <c r="B825" s="6" t="inlineStr">
        <is>
          <t>389020</t>
        </is>
      </c>
      <c r="C825" s="6" t="inlineStr">
        <is>
          <t>2026Q2</t>
        </is>
      </c>
      <c r="D825" s="6" t="inlineStr">
        <is>
          <t>20260814</t>
        </is>
      </c>
      <c r="E825" s="16" t="inlineStr"/>
      <c r="F825" s="16" t="inlineStr"/>
      <c r="G825" s="16" t="n">
        <v>24178</v>
      </c>
      <c r="H825" s="6" t="inlineStr">
        <is>
          <t>백만원</t>
        </is>
      </c>
      <c r="I825" s="17" t="n">
        <v>-7.8</v>
      </c>
      <c r="J825" s="18" t="n">
        <v>12805</v>
      </c>
      <c r="K825" s="19" t="n">
        <v>10508</v>
      </c>
      <c r="L825" s="18" t="n">
        <v>6926</v>
      </c>
      <c r="M825" s="19" t="n">
        <v>5184</v>
      </c>
      <c r="N825" s="18" t="n">
        <v>4820</v>
      </c>
      <c r="O825" s="19" t="n">
        <v>5080</v>
      </c>
      <c r="P825" s="18" t="n">
        <v>4927</v>
      </c>
      <c r="Q825" s="19" t="n">
        <v>27886</v>
      </c>
      <c r="R825" s="18" t="n">
        <v>26228</v>
      </c>
      <c r="S825" s="20" t="n">
        <v>24178</v>
      </c>
      <c r="T825" s="6" t="n">
        <v>2</v>
      </c>
      <c r="U825" s="5" t="inlineStr">
        <is>
          <t>N社 등 / XGSPON 및 개발비 | B社 등 / 광트랜시버</t>
        </is>
      </c>
      <c r="V825" s="21">
        <f>HYPERLINK("https://dart.fss.or.kr/dsaf001/main.do?rcpNo=20260814001594", "공시열람")</f>
        <v/>
      </c>
    </row>
    <row r="826">
      <c r="A826" s="5" t="inlineStr">
        <is>
          <t>포바이포</t>
        </is>
      </c>
      <c r="B826" s="6" t="inlineStr">
        <is>
          <t>389140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14444</v>
      </c>
      <c r="F826" s="16" t="n">
        <v>8143</v>
      </c>
      <c r="G826" s="16" t="n">
        <v>6301</v>
      </c>
      <c r="H826" s="6" t="inlineStr">
        <is>
          <t>백만원</t>
        </is>
      </c>
      <c r="I826" s="17" t="n">
        <v>-37.2</v>
      </c>
      <c r="J826" s="18" t="inlineStr"/>
      <c r="K826" s="19" t="inlineStr"/>
      <c r="L826" s="18" t="inlineStr"/>
      <c r="M826" s="19" t="inlineStr"/>
      <c r="N826" s="18" t="inlineStr"/>
      <c r="O826" s="19" t="n">
        <v>11660</v>
      </c>
      <c r="P826" s="18" t="n">
        <v>12417</v>
      </c>
      <c r="Q826" s="19" t="n">
        <v>12343</v>
      </c>
      <c r="R826" s="18" t="n">
        <v>10029</v>
      </c>
      <c r="S826" s="20" t="n">
        <v>6301</v>
      </c>
      <c r="T826" s="6" t="n">
        <v>5</v>
      </c>
      <c r="U826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6" s="21">
        <f>HYPERLINK("https://dart.fss.or.kr/dsaf001/main.do?rcpNo=20260814002740", "공시열람")</f>
        <v/>
      </c>
    </row>
    <row r="827">
      <c r="A827" s="5" t="inlineStr">
        <is>
          <t>대명에너지</t>
        </is>
      </c>
      <c r="B827" s="6" t="inlineStr">
        <is>
          <t>389260</t>
        </is>
      </c>
      <c r="C827" s="6" t="inlineStr">
        <is>
          <t>2026Q2</t>
        </is>
      </c>
      <c r="D827" s="6" t="inlineStr">
        <is>
          <t>20260814</t>
        </is>
      </c>
      <c r="E827" s="16" t="n">
        <v>693698738</v>
      </c>
      <c r="F827" s="16" t="n">
        <v>238515675</v>
      </c>
      <c r="G827" s="16" t="n">
        <v>455183064</v>
      </c>
      <c r="H827" s="6" t="inlineStr">
        <is>
          <t>천원</t>
        </is>
      </c>
      <c r="I827" s="17" t="n">
        <v>292895.4</v>
      </c>
      <c r="J827" s="18" t="n">
        <v>266114002</v>
      </c>
      <c r="K827" s="19" t="n">
        <v>239306177</v>
      </c>
      <c r="L827" s="18" t="n">
        <v>223076312</v>
      </c>
      <c r="M827" s="19" t="n">
        <v>210571971</v>
      </c>
      <c r="N827" s="18" t="n">
        <v>201797290</v>
      </c>
      <c r="O827" s="19" t="n">
        <v>284434629</v>
      </c>
      <c r="P827" s="18" t="n">
        <v>251950525</v>
      </c>
      <c r="Q827" s="19" t="n">
        <v>238608268</v>
      </c>
      <c r="R827" s="18" t="n">
        <v>155355</v>
      </c>
      <c r="S827" s="20" t="n">
        <v>455183064</v>
      </c>
      <c r="T827" s="6" t="n">
        <v>45</v>
      </c>
      <c r="U827" s="5" t="inlineStr">
        <is>
          <t>개발 / 2026.02.05 / 2029.03.01 | 개발 / 2026.03.18 / 2027.03.31 | 운영 / 2021.07.23 / 2043.06.26</t>
        </is>
      </c>
      <c r="V827" s="21">
        <f>HYPERLINK("https://dart.fss.or.kr/dsaf001/main.do?rcpNo=20260814000931", "공시열람")</f>
        <v/>
      </c>
    </row>
    <row r="828">
      <c r="A828" s="5" t="inlineStr">
        <is>
          <t>인벤티지랩</t>
        </is>
      </c>
      <c r="B828" s="6" t="inlineStr">
        <is>
          <t>389470</t>
        </is>
      </c>
      <c r="C828" s="6" t="inlineStr">
        <is>
          <t>2026Q2</t>
        </is>
      </c>
      <c r="D828" s="6" t="inlineStr">
        <is>
          <t>20260826</t>
        </is>
      </c>
      <c r="E828" s="16" t="n">
        <v>6891</v>
      </c>
      <c r="F828" s="16" t="n">
        <v>6457</v>
      </c>
      <c r="G828" s="16" t="n">
        <v>434</v>
      </c>
      <c r="H828" s="6" t="inlineStr">
        <is>
          <t>백만원</t>
        </is>
      </c>
      <c r="I828" s="17" t="n">
        <v>-32.4</v>
      </c>
      <c r="J828" s="18" t="inlineStr"/>
      <c r="K828" s="19" t="inlineStr"/>
      <c r="L828" s="18" t="inlineStr"/>
      <c r="M828" s="19" t="inlineStr"/>
      <c r="N828" s="18" t="inlineStr"/>
      <c r="O828" s="19" t="n">
        <v>6891</v>
      </c>
      <c r="P828" s="18" t="inlineStr"/>
      <c r="Q828" s="19" t="n">
        <v>4627</v>
      </c>
      <c r="R828" s="18" t="n">
        <v>642</v>
      </c>
      <c r="S828" s="20" t="n">
        <v>434</v>
      </c>
      <c r="T828" s="6" t="n">
        <v>1</v>
      </c>
      <c r="U828" s="5" t="inlineStr">
        <is>
          <t>장기지속형 주사제 제조설비구축 / 2026.02.</t>
        </is>
      </c>
      <c r="V828" s="21">
        <f>HYPERLINK("https://dart.fss.or.kr/dsaf001/main.do?rcpNo=20260826000836", "공시열람")</f>
        <v/>
      </c>
    </row>
    <row r="829">
      <c r="A829" s="5" t="inlineStr">
        <is>
          <t>에스비비테크</t>
        </is>
      </c>
      <c r="B829" s="6" t="inlineStr">
        <is>
          <t>389500</t>
        </is>
      </c>
      <c r="C829" s="6" t="inlineStr">
        <is>
          <t>2026Q2</t>
        </is>
      </c>
      <c r="D829" s="6" t="inlineStr">
        <is>
          <t>20260814</t>
        </is>
      </c>
      <c r="E829" s="16" t="n">
        <v>15400</v>
      </c>
      <c r="F829" s="16" t="n">
        <v>4284</v>
      </c>
      <c r="G829" s="16" t="n">
        <v>11116</v>
      </c>
      <c r="H829" s="6" t="inlineStr">
        <is>
          <t>백만원</t>
        </is>
      </c>
      <c r="I829" s="17" t="n">
        <v>-1.5</v>
      </c>
      <c r="J829" s="18" t="n">
        <v>5263</v>
      </c>
      <c r="K829" s="19" t="n">
        <v>9186</v>
      </c>
      <c r="L829" s="18" t="n">
        <v>4474</v>
      </c>
      <c r="M829" s="19" t="n">
        <v>7772</v>
      </c>
      <c r="N829" s="18" t="n">
        <v>7633</v>
      </c>
      <c r="O829" s="19" t="n">
        <v>7571</v>
      </c>
      <c r="P829" s="18" t="n">
        <v>7530</v>
      </c>
      <c r="Q829" s="19" t="n">
        <v>10069</v>
      </c>
      <c r="R829" s="18" t="n">
        <v>11280</v>
      </c>
      <c r="S829" s="20" t="n">
        <v>11116</v>
      </c>
      <c r="T829" s="6" t="n">
        <v>1</v>
      </c>
      <c r="U829" s="5" t="inlineStr">
        <is>
          <t>감속기 / 2024.01 ~ 2026.06 / 2024</t>
        </is>
      </c>
      <c r="V829" s="21">
        <f>HYPERLINK("https://dart.fss.or.kr/dsaf001/main.do?rcpNo=20260814000984", "공시열람")</f>
        <v/>
      </c>
    </row>
    <row r="830">
      <c r="A830" s="5" t="inlineStr">
        <is>
          <t>토마토시스템</t>
        </is>
      </c>
      <c r="B830" s="6" t="inlineStr">
        <is>
          <t>393210</t>
        </is>
      </c>
      <c r="C830" s="6" t="inlineStr">
        <is>
          <t>2026Q2</t>
        </is>
      </c>
      <c r="D830" s="6" t="inlineStr">
        <is>
          <t>20260812</t>
        </is>
      </c>
      <c r="E830" s="16" t="n">
        <v>45381687</v>
      </c>
      <c r="F830" s="16" t="inlineStr"/>
      <c r="G830" s="16" t="n">
        <v>18414317</v>
      </c>
      <c r="H830" s="6" t="inlineStr">
        <is>
          <t>천원</t>
        </is>
      </c>
      <c r="I830" s="17" t="n">
        <v>-22.1</v>
      </c>
      <c r="J830" s="18" t="n">
        <v>11517922</v>
      </c>
      <c r="K830" s="19" t="n">
        <v>8361159</v>
      </c>
      <c r="L830" s="18" t="n">
        <v>6117139</v>
      </c>
      <c r="M830" s="19" t="n">
        <v>19477998</v>
      </c>
      <c r="N830" s="18" t="n">
        <v>19239044</v>
      </c>
      <c r="O830" s="19" t="n">
        <v>17557845</v>
      </c>
      <c r="P830" s="18" t="inlineStr"/>
      <c r="Q830" s="19" t="n">
        <v>27622934</v>
      </c>
      <c r="R830" s="18" t="n">
        <v>23638058</v>
      </c>
      <c r="S830" s="20" t="n">
        <v>18414317</v>
      </c>
      <c r="T830" s="6" t="n">
        <v>10</v>
      </c>
      <c r="U830" s="5" t="inlineStr">
        <is>
          <t>기타 / - | 원광대학교 / 2025-09-25 / 2027-09-1 | 서울대학교 / 2024-12-30 / 2028-02-2</t>
        </is>
      </c>
      <c r="V830" s="21">
        <f>HYPERLINK("https://dart.fss.or.kr/dsaf001/main.do?rcpNo=20260812000435", "공시열람")</f>
        <v/>
      </c>
    </row>
    <row r="831">
      <c r="A831" s="5" t="inlineStr">
        <is>
          <t>쓰리빌리언</t>
        </is>
      </c>
      <c r="B831" s="6" t="inlineStr">
        <is>
          <t>394800</t>
        </is>
      </c>
      <c r="C831" s="6" t="inlineStr">
        <is>
          <t>2026Q2</t>
        </is>
      </c>
      <c r="D831" s="6" t="inlineStr">
        <is>
          <t>20260813</t>
        </is>
      </c>
      <c r="E831" s="16" t="n">
        <v>2631818</v>
      </c>
      <c r="F831" s="16" t="n">
        <v>916601</v>
      </c>
      <c r="G831" s="16" t="n">
        <v>1715217</v>
      </c>
      <c r="H831" s="6" t="inlineStr">
        <is>
          <t>건,천원</t>
        </is>
      </c>
      <c r="I831" s="17" t="n">
        <v>376.4</v>
      </c>
      <c r="J831" s="18" t="inlineStr"/>
      <c r="K831" s="19" t="inlineStr"/>
      <c r="L831" s="18" t="inlineStr"/>
      <c r="M831" s="19" t="inlineStr"/>
      <c r="N831" s="18" t="n">
        <v>654545</v>
      </c>
      <c r="O831" s="19" t="n">
        <v>208636</v>
      </c>
      <c r="P831" s="18" t="n">
        <v>486819</v>
      </c>
      <c r="Q831" s="19" t="n">
        <v>306819</v>
      </c>
      <c r="R831" s="18" t="n">
        <v>360000</v>
      </c>
      <c r="S831" s="20" t="n">
        <v>1715217</v>
      </c>
      <c r="T831" s="6" t="n">
        <v>3</v>
      </c>
      <c r="U831" s="5" t="inlineStr">
        <is>
          <t>전장유전체 염기서열기반 신생아 선별검사 / 2026.0 | 전장유전체 염기서열 분석 / 2026.04.09 / 2 | 급성 중증 신생아 희귀질환 진단 / 2025.07.01</t>
        </is>
      </c>
      <c r="V831" s="21">
        <f>HYPERLINK("https://dart.fss.or.kr/dsaf001/main.do?rcpNo=20260813000733", "공시열람")</f>
        <v/>
      </c>
    </row>
    <row r="832">
      <c r="A832" s="5" t="inlineStr">
        <is>
          <t>세아메카닉스</t>
        </is>
      </c>
      <c r="B832" s="6" t="inlineStr">
        <is>
          <t>396300</t>
        </is>
      </c>
      <c r="C832" s="6" t="inlineStr">
        <is>
          <t>2026Q2</t>
        </is>
      </c>
      <c r="D832" s="6" t="inlineStr">
        <is>
          <t>20260813</t>
        </is>
      </c>
      <c r="E832" s="16" t="inlineStr"/>
      <c r="F832" s="16" t="inlineStr"/>
      <c r="G832" s="16" t="n">
        <v>577539</v>
      </c>
      <c r="H832" s="6" t="inlineStr">
        <is>
          <t>백만원</t>
        </is>
      </c>
      <c r="I832" s="17" t="n">
        <v>-5.6</v>
      </c>
      <c r="J832" s="18" t="n">
        <v>553975</v>
      </c>
      <c r="K832" s="19" t="n">
        <v>461535</v>
      </c>
      <c r="L832" s="18" t="n">
        <v>467737</v>
      </c>
      <c r="M832" s="19" t="n">
        <v>555070</v>
      </c>
      <c r="N832" s="18" t="n">
        <v>727579</v>
      </c>
      <c r="O832" s="19" t="n">
        <v>708425</v>
      </c>
      <c r="P832" s="18" t="n">
        <v>705298</v>
      </c>
      <c r="Q832" s="19" t="n">
        <v>611844</v>
      </c>
      <c r="R832" s="18" t="n">
        <v>611910</v>
      </c>
      <c r="S832" s="20" t="n">
        <v>577539</v>
      </c>
      <c r="T832" s="6" t="n">
        <v>1</v>
      </c>
      <c r="U832" s="5" t="inlineStr">
        <is>
          <t>자동차부품 / -</t>
        </is>
      </c>
      <c r="V832" s="21">
        <f>HYPERLINK("https://dart.fss.or.kr/dsaf001/main.do?rcpNo=20260813001552", "공시열람")</f>
        <v/>
      </c>
    </row>
    <row r="833">
      <c r="A833" s="5" t="inlineStr">
        <is>
          <t>에스지헬스케어</t>
        </is>
      </c>
      <c r="B833" s="6" t="inlineStr">
        <is>
          <t>398120</t>
        </is>
      </c>
      <c r="C833" s="6" t="inlineStr">
        <is>
          <t>2026Q1</t>
        </is>
      </c>
      <c r="D833" s="6" t="inlineStr">
        <is>
          <t>20260601</t>
        </is>
      </c>
      <c r="E833" s="16" t="n">
        <v>15757</v>
      </c>
      <c r="F833" s="16" t="n">
        <v>13803</v>
      </c>
      <c r="G833" s="16" t="n">
        <v>1954</v>
      </c>
      <c r="H833" s="6" t="inlineStr">
        <is>
          <t>백만</t>
        </is>
      </c>
      <c r="I833" s="17" t="n">
        <v>-43.2</v>
      </c>
      <c r="J833" s="18" t="inlineStr"/>
      <c r="K833" s="19" t="inlineStr"/>
      <c r="L833" s="18" t="inlineStr"/>
      <c r="M833" s="19" t="n">
        <v>1909.5</v>
      </c>
      <c r="N833" s="18" t="n">
        <v>1448</v>
      </c>
      <c r="O833" s="19" t="n">
        <v>13257</v>
      </c>
      <c r="P833" s="18" t="inlineStr"/>
      <c r="Q833" s="19" t="n">
        <v>3442</v>
      </c>
      <c r="R833" s="18" t="n">
        <v>1954</v>
      </c>
      <c r="S833" s="20" t="inlineStr"/>
      <c r="T833" s="6" t="n">
        <v>3</v>
      </c>
      <c r="U833" s="5" t="inlineStr">
        <is>
          <t>Jumong GeneralC-arm 외2 / 2025. | MRI, CT / 2025.02.17 / 2026.06 | 의료기자재 / 2025.08.29 / 2026.06.3</t>
        </is>
      </c>
      <c r="V833" s="21">
        <f>HYPERLINK("https://dart.fss.or.kr/dsaf001/main.do?rcpNo=20260601000090", "공시열람")</f>
        <v/>
      </c>
    </row>
    <row r="834">
      <c r="A834" s="5" t="inlineStr">
        <is>
          <t>가온칩스</t>
        </is>
      </c>
      <c r="B834" s="6" t="inlineStr">
        <is>
          <t>399720</t>
        </is>
      </c>
      <c r="C834" s="6" t="inlineStr">
        <is>
          <t>2026Q2</t>
        </is>
      </c>
      <c r="D834" s="6" t="inlineStr">
        <is>
          <t>20260814</t>
        </is>
      </c>
      <c r="E834" s="16" t="n">
        <v>151279</v>
      </c>
      <c r="F834" s="16" t="inlineStr"/>
      <c r="G834" s="16" t="n">
        <v>76412</v>
      </c>
      <c r="H834" s="6" t="inlineStr">
        <is>
          <t>백만원</t>
        </is>
      </c>
      <c r="I834" s="17" t="n">
        <v>52</v>
      </c>
      <c r="J834" s="18" t="inlineStr"/>
      <c r="K834" s="19" t="inlineStr"/>
      <c r="L834" s="18" t="inlineStr"/>
      <c r="M834" s="19" t="inlineStr"/>
      <c r="N834" s="18" t="inlineStr"/>
      <c r="O834" s="19" t="n">
        <v>25003</v>
      </c>
      <c r="P834" s="18" t="n">
        <v>34747</v>
      </c>
      <c r="Q834" s="19" t="n">
        <v>61051</v>
      </c>
      <c r="R834" s="18" t="n">
        <v>50267</v>
      </c>
      <c r="S834" s="20" t="n">
        <v>76412</v>
      </c>
      <c r="T834" s="6" t="n">
        <v>5</v>
      </c>
      <c r="U834" s="5" t="inlineStr">
        <is>
          <t>주문형 반도체 설계 개발 / 2026-06-10 / 2 | 주문형 반도체 설계 개발 / 2025-10-29 / 2 | 주문형 반도체 설계 개발 / 2025-12-26 / 2</t>
        </is>
      </c>
      <c r="V834" s="21">
        <f>HYPERLINK("https://dart.fss.or.kr/dsaf001/main.do?rcpNo=20260814003050", "공시열람")</f>
        <v/>
      </c>
    </row>
    <row r="835">
      <c r="A835" s="5" t="inlineStr">
        <is>
          <t>코난테크놀로지</t>
        </is>
      </c>
      <c r="B835" s="6" t="inlineStr">
        <is>
          <t>402030</t>
        </is>
      </c>
      <c r="C835" s="6" t="inlineStr">
        <is>
          <t>2026Q2</t>
        </is>
      </c>
      <c r="D835" s="6" t="inlineStr">
        <is>
          <t>20260814</t>
        </is>
      </c>
      <c r="E835" s="16" t="inlineStr"/>
      <c r="F835" s="16" t="inlineStr"/>
      <c r="G835" s="16" t="n">
        <v>22501</v>
      </c>
      <c r="H835" s="6" t="inlineStr">
        <is>
          <t>백만원</t>
        </is>
      </c>
      <c r="I835" s="17" t="n">
        <v>853</v>
      </c>
      <c r="J835" s="18" t="n">
        <v>5286</v>
      </c>
      <c r="K835" s="19" t="n">
        <v>5676</v>
      </c>
      <c r="L835" s="18" t="n">
        <v>15007</v>
      </c>
      <c r="M835" s="19" t="n">
        <v>8067</v>
      </c>
      <c r="N835" s="18" t="n">
        <v>4379</v>
      </c>
      <c r="O835" s="19" t="n">
        <v>7487</v>
      </c>
      <c r="P835" s="18" t="n">
        <v>18434</v>
      </c>
      <c r="Q835" s="19" t="n">
        <v>14077</v>
      </c>
      <c r="R835" s="18" t="n">
        <v>2361</v>
      </c>
      <c r="S835" s="20" t="n">
        <v>22501</v>
      </c>
      <c r="T835" s="6" t="n">
        <v>1</v>
      </c>
      <c r="U835" s="5" t="inlineStr"/>
      <c r="V835" s="21">
        <f>HYPERLINK("https://dart.fss.or.kr/dsaf001/main.do?rcpNo=20260814002288", "공시열람")</f>
        <v/>
      </c>
    </row>
    <row r="836">
      <c r="A836" s="5" t="inlineStr">
        <is>
          <t>라피치</t>
        </is>
      </c>
      <c r="B836" s="6" t="inlineStr">
        <is>
          <t>403360</t>
        </is>
      </c>
      <c r="C836" s="6" t="inlineStr">
        <is>
          <t>2026Q2</t>
        </is>
      </c>
      <c r="D836" s="6" t="inlineStr">
        <is>
          <t>20260814</t>
        </is>
      </c>
      <c r="E836" s="16" t="n">
        <v>32180</v>
      </c>
      <c r="F836" s="16" t="n">
        <v>19427</v>
      </c>
      <c r="G836" s="16" t="n">
        <v>12752</v>
      </c>
      <c r="H836" s="6" t="inlineStr">
        <is>
          <t>백만원</t>
        </is>
      </c>
      <c r="I836" s="17" t="n">
        <v>-99.5</v>
      </c>
      <c r="J836" s="18" t="inlineStr"/>
      <c r="K836" s="19" t="n">
        <v>4348331</v>
      </c>
      <c r="L836" s="18" t="inlineStr"/>
      <c r="M836" s="19" t="n">
        <v>2725658</v>
      </c>
      <c r="N836" s="18" t="inlineStr"/>
      <c r="O836" s="19" t="inlineStr"/>
      <c r="P836" s="18" t="inlineStr"/>
      <c r="Q836" s="19" t="n">
        <v>2684112</v>
      </c>
      <c r="R836" s="18" t="inlineStr"/>
      <c r="S836" s="20" t="n">
        <v>12752</v>
      </c>
      <c r="T836" s="6" t="n">
        <v>6</v>
      </c>
      <c r="U836" s="5" t="inlineStr">
        <is>
          <t>AI 인프라(국내) / 진행중 | AI 인프라(국내) / 진행중 | ConvAI / 진행중</t>
        </is>
      </c>
      <c r="V836" s="21">
        <f>HYPERLINK("https://dart.fss.or.kr/dsaf001/main.do?rcpNo=20260814001610", "공시열람")</f>
        <v/>
      </c>
    </row>
    <row r="837">
      <c r="A837" s="5" t="inlineStr">
        <is>
          <t>아이엘로보틱스</t>
        </is>
      </c>
      <c r="B837" s="6" t="inlineStr">
        <is>
          <t>403810</t>
        </is>
      </c>
      <c r="C837" s="6" t="inlineStr">
        <is>
          <t>2025Q4</t>
        </is>
      </c>
      <c r="D837" s="6" t="inlineStr">
        <is>
          <t>20260320</t>
        </is>
      </c>
      <c r="E837" s="16" t="n">
        <v>3738</v>
      </c>
      <c r="F837" s="16" t="n">
        <v>134</v>
      </c>
      <c r="G837" s="16" t="n">
        <v>3604</v>
      </c>
      <c r="H837" s="6" t="inlineStr">
        <is>
          <t>백만원</t>
        </is>
      </c>
      <c r="I837" s="17" t="inlineStr"/>
      <c r="J837" s="18" t="inlineStr"/>
      <c r="K837" s="19" t="inlineStr"/>
      <c r="L837" s="18" t="inlineStr"/>
      <c r="M837" s="19" t="inlineStr"/>
      <c r="N837" s="18" t="inlineStr"/>
      <c r="O837" s="19" t="inlineStr"/>
      <c r="P837" s="18" t="inlineStr"/>
      <c r="Q837" s="19" t="n">
        <v>3604</v>
      </c>
      <c r="R837" s="18" t="inlineStr"/>
      <c r="S837" s="20" t="inlineStr"/>
      <c r="T837" s="6" t="n">
        <v>3</v>
      </c>
      <c r="U837" s="5" t="inlineStr">
        <is>
          <t>미세먼지 측정 보안등 / - | 터널등 제어 시스템 / - | IoT 제어 시스템 / -</t>
        </is>
      </c>
      <c r="V837" s="21">
        <f>HYPERLINK("https://dart.fss.or.kr/dsaf001/main.do?rcpNo=20260320001132", "공시열람")</f>
        <v/>
      </c>
    </row>
    <row r="838">
      <c r="A838" s="5" t="inlineStr">
        <is>
          <t>제일엠앤에스</t>
        </is>
      </c>
      <c r="B838" s="6" t="inlineStr">
        <is>
          <t>412540</t>
        </is>
      </c>
      <c r="C838" s="6" t="inlineStr">
        <is>
          <t>2026Q2</t>
        </is>
      </c>
      <c r="D838" s="6" t="inlineStr">
        <is>
          <t>20260814</t>
        </is>
      </c>
      <c r="E838" s="16" t="n">
        <v>421407</v>
      </c>
      <c r="F838" s="16" t="n">
        <v>127076</v>
      </c>
      <c r="G838" s="16" t="n">
        <v>294331</v>
      </c>
      <c r="H838" s="6" t="inlineStr">
        <is>
          <t>백만원</t>
        </is>
      </c>
      <c r="I838" s="17" t="n">
        <v>-25.4</v>
      </c>
      <c r="J838" s="18" t="inlineStr"/>
      <c r="K838" s="19" t="n">
        <v>289130</v>
      </c>
      <c r="L838" s="18" t="n">
        <v>338297</v>
      </c>
      <c r="M838" s="19" t="n">
        <v>434218</v>
      </c>
      <c r="N838" s="18" t="n">
        <v>278268</v>
      </c>
      <c r="O838" s="19" t="n">
        <v>248229</v>
      </c>
      <c r="P838" s="18" t="inlineStr"/>
      <c r="Q838" s="19" t="n">
        <v>393120</v>
      </c>
      <c r="R838" s="18" t="n">
        <v>394291</v>
      </c>
      <c r="S838" s="20" t="n">
        <v>294331</v>
      </c>
      <c r="T838" s="6" t="n">
        <v>1</v>
      </c>
      <c r="U838" s="5" t="inlineStr">
        <is>
          <t>믹싱장비 및 믹싱시스템 / -</t>
        </is>
      </c>
      <c r="V838" s="21">
        <f>HYPERLINK("https://dart.fss.or.kr/dsaf001/main.do?rcpNo=20260813001794", "공시열람")</f>
        <v/>
      </c>
    </row>
    <row r="839">
      <c r="A839" s="5" t="inlineStr">
        <is>
          <t>티엘엔지니어링</t>
        </is>
      </c>
      <c r="B839" s="6" t="inlineStr">
        <is>
          <t>413300</t>
        </is>
      </c>
      <c r="C839" s="6" t="inlineStr">
        <is>
          <t>2025Q4</t>
        </is>
      </c>
      <c r="D839" s="6" t="inlineStr">
        <is>
          <t>20260323</t>
        </is>
      </c>
      <c r="E839" s="16" t="n">
        <v>7533807754</v>
      </c>
      <c r="F839" s="16" t="inlineStr"/>
      <c r="G839" s="16" t="n">
        <v>1633785854</v>
      </c>
      <c r="H839" s="6" t="inlineStr">
        <is>
          <t>원</t>
        </is>
      </c>
      <c r="I839" s="17" t="n">
        <v>-51.8</v>
      </c>
      <c r="J839" s="18" t="inlineStr"/>
      <c r="K839" s="19" t="inlineStr"/>
      <c r="L839" s="18" t="inlineStr"/>
      <c r="M839" s="19" t="n">
        <v>3388457253</v>
      </c>
      <c r="N839" s="18" t="inlineStr"/>
      <c r="O839" s="19" t="inlineStr"/>
      <c r="P839" s="18" t="inlineStr"/>
      <c r="Q839" s="19" t="n">
        <v>1633785854</v>
      </c>
      <c r="R839" s="18" t="inlineStr"/>
      <c r="S839" s="20" t="inlineStr"/>
      <c r="T839" s="6" t="n">
        <v>28</v>
      </c>
      <c r="U839" s="5" t="inlineStr">
        <is>
          <t>N / 2025-11-24 | AA / 2026-01-12 | BB / 2026-01-05</t>
        </is>
      </c>
      <c r="V839" s="21">
        <f>HYPERLINK("https://dart.fss.or.kr/dsaf001/main.do?rcpNo=20260323000750", "공시열람")</f>
        <v/>
      </c>
    </row>
    <row r="840">
      <c r="A840" s="5" t="inlineStr">
        <is>
          <t>비아이매트릭스</t>
        </is>
      </c>
      <c r="B840" s="6" t="inlineStr">
        <is>
          <t>413640</t>
        </is>
      </c>
      <c r="C840" s="6" t="inlineStr">
        <is>
          <t>2026Q2</t>
        </is>
      </c>
      <c r="D840" s="6" t="inlineStr">
        <is>
          <t>20260814</t>
        </is>
      </c>
      <c r="E840" s="16" t="n">
        <v>49635</v>
      </c>
      <c r="F840" s="16" t="inlineStr"/>
      <c r="G840" s="16" t="n">
        <v>13868</v>
      </c>
      <c r="H840" s="6" t="inlineStr">
        <is>
          <t>백만원</t>
        </is>
      </c>
      <c r="I840" s="17" t="n">
        <v>3.1</v>
      </c>
      <c r="J840" s="18" t="n">
        <v>3855</v>
      </c>
      <c r="K840" s="19" t="n">
        <v>3850</v>
      </c>
      <c r="L840" s="18" t="n">
        <v>6956</v>
      </c>
      <c r="M840" s="19" t="n">
        <v>7435</v>
      </c>
      <c r="N840" s="18" t="n">
        <v>10173</v>
      </c>
      <c r="O840" s="19" t="n">
        <v>10234</v>
      </c>
      <c r="P840" s="18" t="n">
        <v>10543</v>
      </c>
      <c r="Q840" s="19" t="n">
        <v>11651</v>
      </c>
      <c r="R840" s="18" t="n">
        <v>13447</v>
      </c>
      <c r="S840" s="20" t="n">
        <v>13868</v>
      </c>
      <c r="T840" s="6" t="n">
        <v>9</v>
      </c>
      <c r="U840" s="5" t="inlineStr">
        <is>
          <t>비아이매트릭스 / 기타 / - | 비아이매트릭스 / 솔루션 외 / 2026-06-01 / | 비아이매트릭스 / 솔루션 / 2026-03-27 / 2</t>
        </is>
      </c>
      <c r="V840" s="21">
        <f>HYPERLINK("https://dart.fss.or.kr/dsaf001/main.do?rcpNo=20260814003267", "공시열람")</f>
        <v/>
      </c>
    </row>
    <row r="841">
      <c r="A841" s="5" t="inlineStr">
        <is>
          <t>오브젠</t>
        </is>
      </c>
      <c r="B841" s="6" t="inlineStr">
        <is>
          <t>417860</t>
        </is>
      </c>
      <c r="C841" s="6" t="inlineStr">
        <is>
          <t>2026Q2</t>
        </is>
      </c>
      <c r="D841" s="6" t="inlineStr">
        <is>
          <t>20260814</t>
        </is>
      </c>
      <c r="E841" s="16" t="n">
        <v>52960</v>
      </c>
      <c r="F841" s="16" t="n">
        <v>25600</v>
      </c>
      <c r="G841" s="16" t="n">
        <v>27360</v>
      </c>
      <c r="H841" s="6" t="inlineStr">
        <is>
          <t>백만원</t>
        </is>
      </c>
      <c r="I841" s="17" t="n">
        <v>22.4</v>
      </c>
      <c r="J841" s="18" t="n">
        <v>5993</v>
      </c>
      <c r="K841" s="19" t="n">
        <v>9936</v>
      </c>
      <c r="L841" s="18" t="n">
        <v>7903</v>
      </c>
      <c r="M841" s="19" t="n">
        <v>16262</v>
      </c>
      <c r="N841" s="18" t="n">
        <v>14409</v>
      </c>
      <c r="O841" s="19" t="n">
        <v>10682</v>
      </c>
      <c r="P841" s="18" t="n">
        <v>7948</v>
      </c>
      <c r="Q841" s="19" t="n">
        <v>8051</v>
      </c>
      <c r="R841" s="18" t="n">
        <v>22355</v>
      </c>
      <c r="S841" s="20" t="n">
        <v>27360</v>
      </c>
      <c r="T841" s="6" t="n">
        <v>7</v>
      </c>
      <c r="U841" s="5" t="inlineStr">
        <is>
          <t>데이터 분석 플랫폼 사업부문 / 용역 / - | 고객 데이터&amp; 경험관리 플랫폼(CDXP+) 사업부문 / | 데이터 분석 플랫폼 사업부문 / 유지보수 / -</t>
        </is>
      </c>
      <c r="V841" s="21">
        <f>HYPERLINK("https://dart.fss.or.kr/dsaf001/main.do?rcpNo=20260814003882", "공시열람")</f>
        <v/>
      </c>
    </row>
    <row r="842">
      <c r="A842" s="5" t="inlineStr">
        <is>
          <t>제이오</t>
        </is>
      </c>
      <c r="B842" s="6" t="inlineStr">
        <is>
          <t>418550</t>
        </is>
      </c>
      <c r="C842" s="6" t="inlineStr">
        <is>
          <t>2026Q2</t>
        </is>
      </c>
      <c r="D842" s="6" t="inlineStr">
        <is>
          <t>20260814</t>
        </is>
      </c>
      <c r="E842" s="16" t="n">
        <v>92030314</v>
      </c>
      <c r="F842" s="16" t="inlineStr"/>
      <c r="G842" s="16" t="n">
        <v>13111428</v>
      </c>
      <c r="H842" s="6" t="inlineStr">
        <is>
          <t>천원</t>
        </is>
      </c>
      <c r="I842" s="17" t="n">
        <v>267.8</v>
      </c>
      <c r="J842" s="18" t="n">
        <v>52816834</v>
      </c>
      <c r="K842" s="19" t="n">
        <v>39991099</v>
      </c>
      <c r="L842" s="18" t="n">
        <v>23146090</v>
      </c>
      <c r="M842" s="19" t="n">
        <v>10964569</v>
      </c>
      <c r="N842" s="18" t="n">
        <v>20946902</v>
      </c>
      <c r="O842" s="19" t="n">
        <v>16110238</v>
      </c>
      <c r="P842" s="18" t="n">
        <v>8177068</v>
      </c>
      <c r="Q842" s="19" t="n">
        <v>5511204</v>
      </c>
      <c r="R842" s="18" t="n">
        <v>3565238</v>
      </c>
      <c r="S842" s="20" t="n">
        <v>13111428</v>
      </c>
      <c r="T842" s="6" t="n">
        <v>1</v>
      </c>
      <c r="U842" s="5" t="inlineStr">
        <is>
          <t>국내 / 에코프로머티리얼즈 등 / 플랜트공사 외</t>
        </is>
      </c>
      <c r="V842" s="21">
        <f>HYPERLINK("https://dart.fss.or.kr/dsaf001/main.do?rcpNo=20260814001514", "공시열람")</f>
        <v/>
      </c>
    </row>
    <row r="843">
      <c r="A843" s="5" t="inlineStr">
        <is>
          <t>E8</t>
        </is>
      </c>
      <c r="B843" s="6" t="inlineStr">
        <is>
          <t>418620</t>
        </is>
      </c>
      <c r="C843" s="6" t="inlineStr">
        <is>
          <t>2026Q2</t>
        </is>
      </c>
      <c r="D843" s="6" t="inlineStr">
        <is>
          <t>20260814</t>
        </is>
      </c>
      <c r="E843" s="16" t="n">
        <v>11540115</v>
      </c>
      <c r="F843" s="16" t="inlineStr"/>
      <c r="G843" s="16" t="n">
        <v>7406797</v>
      </c>
      <c r="H843" s="6" t="inlineStr">
        <is>
          <t>천원</t>
        </is>
      </c>
      <c r="I843" s="17" t="n">
        <v>-6.5</v>
      </c>
      <c r="J843" s="18" t="n">
        <v>6973600</v>
      </c>
      <c r="K843" s="19" t="n">
        <v>6583</v>
      </c>
      <c r="L843" s="18" t="n">
        <v>6876946</v>
      </c>
      <c r="M843" s="19" t="n">
        <v>6703241</v>
      </c>
      <c r="N843" s="18" t="n">
        <v>6450193</v>
      </c>
      <c r="O843" s="19" t="n">
        <v>6417667</v>
      </c>
      <c r="P843" s="18" t="n">
        <v>7252909</v>
      </c>
      <c r="Q843" s="19" t="n">
        <v>7161634</v>
      </c>
      <c r="R843" s="18" t="n">
        <v>7919338</v>
      </c>
      <c r="S843" s="20" t="n">
        <v>7406797</v>
      </c>
      <c r="T843" s="6" t="n">
        <v>2</v>
      </c>
      <c r="U843" s="5" t="inlineStr">
        <is>
          <t>용역 | 서비스</t>
        </is>
      </c>
      <c r="V843" s="21">
        <f>HYPERLINK("https://dart.fss.or.kr/dsaf001/main.do?rcpNo=20260814002560", "공시열람")</f>
        <v/>
      </c>
    </row>
    <row r="844">
      <c r="A844" s="5" t="inlineStr">
        <is>
          <t>삼기에너지솔루션즈</t>
        </is>
      </c>
      <c r="B844" s="6" t="inlineStr">
        <is>
          <t>419050</t>
        </is>
      </c>
      <c r="C844" s="6" t="inlineStr">
        <is>
          <t>2026Q2</t>
        </is>
      </c>
      <c r="D844" s="6" t="inlineStr">
        <is>
          <t>20260813</t>
        </is>
      </c>
      <c r="E844" s="16" t="n">
        <v>535943</v>
      </c>
      <c r="F844" s="16" t="n">
        <v>433448</v>
      </c>
      <c r="G844" s="16" t="n">
        <v>146838</v>
      </c>
      <c r="H844" s="6" t="inlineStr">
        <is>
          <t>백만원</t>
        </is>
      </c>
      <c r="I844" s="17" t="n">
        <v>-11.8</v>
      </c>
      <c r="J844" s="18" t="n">
        <v>859330924</v>
      </c>
      <c r="K844" s="19" t="n">
        <v>847035043</v>
      </c>
      <c r="L844" s="18" t="n">
        <v>830674207</v>
      </c>
      <c r="M844" s="19" t="n">
        <v>279496</v>
      </c>
      <c r="N844" s="18" t="n">
        <v>266391</v>
      </c>
      <c r="O844" s="19" t="n">
        <v>257201</v>
      </c>
      <c r="P844" s="18" t="n">
        <v>257201</v>
      </c>
      <c r="Q844" s="19" t="n">
        <v>181246</v>
      </c>
      <c r="R844" s="18" t="n">
        <v>166559</v>
      </c>
      <c r="S844" s="20" t="n">
        <v>146838</v>
      </c>
      <c r="T844" s="6" t="n">
        <v>4</v>
      </c>
      <c r="U844" s="5" t="inlineStr">
        <is>
          <t>End-Plate | End-Plate | End-Plate</t>
        </is>
      </c>
      <c r="V844" s="21">
        <f>HYPERLINK("https://dart.fss.or.kr/dsaf001/main.do?rcpNo=20260813000643", "공시열람")</f>
        <v/>
      </c>
    </row>
    <row r="845">
      <c r="A845" s="5" t="inlineStr">
        <is>
          <t>산돌</t>
        </is>
      </c>
      <c r="B845" s="6" t="inlineStr">
        <is>
          <t>419120</t>
        </is>
      </c>
      <c r="C845" s="6" t="inlineStr">
        <is>
          <t>2026Q2</t>
        </is>
      </c>
      <c r="D845" s="6" t="inlineStr">
        <is>
          <t>20260814</t>
        </is>
      </c>
      <c r="E845" s="16" t="n">
        <v>3362535620</v>
      </c>
      <c r="F845" s="16" t="inlineStr"/>
      <c r="G845" s="16" t="n">
        <v>1629888881</v>
      </c>
      <c r="H845" s="6" t="inlineStr">
        <is>
          <t>연결,원</t>
        </is>
      </c>
      <c r="I845" s="17" t="n">
        <v>-17.1</v>
      </c>
      <c r="J845" s="18" t="n">
        <v>252200000</v>
      </c>
      <c r="K845" s="19" t="n">
        <v>264198488</v>
      </c>
      <c r="L845" s="18" t="n">
        <v>520200046</v>
      </c>
      <c r="M845" s="19" t="n">
        <v>1493318867</v>
      </c>
      <c r="N845" s="18" t="n">
        <v>2255671606</v>
      </c>
      <c r="O845" s="19" t="n">
        <v>2393741288</v>
      </c>
      <c r="P845" s="18" t="n">
        <v>2121142108</v>
      </c>
      <c r="Q845" s="19" t="n">
        <v>2556153560</v>
      </c>
      <c r="R845" s="18" t="n">
        <v>1965102545</v>
      </c>
      <c r="S845" s="20" t="n">
        <v>1629888881</v>
      </c>
      <c r="T845" s="6" t="n">
        <v>1</v>
      </c>
      <c r="U845" s="5" t="inlineStr">
        <is>
          <t>커스텀폰트</t>
        </is>
      </c>
      <c r="V845" s="21">
        <f>HYPERLINK("https://dart.fss.or.kr/dsaf001/main.do?rcpNo=20260814000109", "공시열람")</f>
        <v/>
      </c>
    </row>
    <row r="846">
      <c r="A846" s="5" t="inlineStr">
        <is>
          <t>기가비스</t>
        </is>
      </c>
      <c r="B846" s="6" t="inlineStr">
        <is>
          <t>420770</t>
        </is>
      </c>
      <c r="C846" s="6" t="inlineStr">
        <is>
          <t>2026Q2</t>
        </is>
      </c>
      <c r="D846" s="6" t="inlineStr">
        <is>
          <t>20260814</t>
        </is>
      </c>
      <c r="E846" s="16" t="inlineStr"/>
      <c r="F846" s="16" t="inlineStr"/>
      <c r="G846" s="16" t="n">
        <v>65266</v>
      </c>
      <c r="H846" s="6" t="inlineStr">
        <is>
          <t>백만원</t>
        </is>
      </c>
      <c r="I846" s="17" t="n">
        <v>251.4</v>
      </c>
      <c r="J846" s="18" t="inlineStr"/>
      <c r="K846" s="19" t="inlineStr"/>
      <c r="L846" s="18" t="inlineStr"/>
      <c r="M846" s="19" t="inlineStr"/>
      <c r="N846" s="18" t="n">
        <v>33402</v>
      </c>
      <c r="O846" s="19" t="n">
        <v>34423</v>
      </c>
      <c r="P846" s="18" t="n">
        <v>34604</v>
      </c>
      <c r="Q846" s="19" t="n">
        <v>13566</v>
      </c>
      <c r="R846" s="18" t="n">
        <v>18575</v>
      </c>
      <c r="S846" s="20" t="n">
        <v>65266</v>
      </c>
      <c r="T846" s="6" t="n">
        <v>1</v>
      </c>
      <c r="U846" s="5" t="inlineStr">
        <is>
          <t>반도체 기판 검사 및 수리장비</t>
        </is>
      </c>
      <c r="V846" s="21">
        <f>HYPERLINK("https://dart.fss.or.kr/dsaf001/main.do?rcpNo=20260814003218", "공시열람")</f>
        <v/>
      </c>
    </row>
    <row r="847">
      <c r="A847" s="5" t="inlineStr">
        <is>
          <t>벨로크</t>
        </is>
      </c>
      <c r="B847" s="6" t="inlineStr">
        <is>
          <t>424760</t>
        </is>
      </c>
      <c r="C847" s="6" t="inlineStr">
        <is>
          <t>2026Q2</t>
        </is>
      </c>
      <c r="D847" s="6" t="inlineStr">
        <is>
          <t>20260814</t>
        </is>
      </c>
      <c r="E847" s="16" t="n">
        <v>23653</v>
      </c>
      <c r="F847" s="16" t="n">
        <v>8952</v>
      </c>
      <c r="G847" s="16" t="n">
        <v>14700</v>
      </c>
      <c r="H847" s="6" t="inlineStr">
        <is>
          <t>백만원</t>
        </is>
      </c>
      <c r="I847" s="17" t="n">
        <v>-1.2</v>
      </c>
      <c r="J847" s="18" t="n">
        <v>10016</v>
      </c>
      <c r="K847" s="19" t="n">
        <v>8613</v>
      </c>
      <c r="L847" s="18" t="n">
        <v>9280</v>
      </c>
      <c r="M847" s="19" t="n">
        <v>6130</v>
      </c>
      <c r="N847" s="18" t="n">
        <v>6069</v>
      </c>
      <c r="O847" s="19" t="n">
        <v>8753</v>
      </c>
      <c r="P847" s="18" t="n">
        <v>19064</v>
      </c>
      <c r="Q847" s="19" t="n">
        <v>14845</v>
      </c>
      <c r="R847" s="18" t="n">
        <v>14885</v>
      </c>
      <c r="S847" s="20" t="n">
        <v>14700</v>
      </c>
      <c r="T847" s="6" t="n">
        <v>2</v>
      </c>
      <c r="U847" s="5" t="inlineStr">
        <is>
          <t>보안서비스 / 주1) | 보안솔루션 / 주1)</t>
        </is>
      </c>
      <c r="V847" s="21">
        <f>HYPERLINK("https://dart.fss.or.kr/dsaf001/main.do?rcpNo=20260814002442", "공시열람")</f>
        <v/>
      </c>
    </row>
    <row r="848">
      <c r="A848" s="5" t="inlineStr">
        <is>
          <t>스마트레이더시스템</t>
        </is>
      </c>
      <c r="B848" s="6" t="inlineStr">
        <is>
          <t>424960</t>
        </is>
      </c>
      <c r="C848" s="6" t="inlineStr">
        <is>
          <t>2023Q4</t>
        </is>
      </c>
      <c r="D848" s="6" t="inlineStr">
        <is>
          <t>20240320</t>
        </is>
      </c>
      <c r="E848" s="16" t="n">
        <v>2505</v>
      </c>
      <c r="F848" s="16" t="n">
        <v>473</v>
      </c>
      <c r="G848" s="16" t="n">
        <v>2032</v>
      </c>
      <c r="H848" s="6" t="inlineStr"/>
      <c r="I848" s="17" t="inlineStr"/>
      <c r="J848" s="18" t="inlineStr"/>
      <c r="K848" s="19" t="inlineStr"/>
      <c r="L848" s="18" t="inlineStr"/>
      <c r="M848" s="19" t="inlineStr"/>
      <c r="N848" s="18" t="inlineStr"/>
      <c r="O848" s="19" t="inlineStr"/>
      <c r="P848" s="18" t="inlineStr"/>
      <c r="Q848" s="19" t="inlineStr"/>
      <c r="R848" s="18" t="inlineStr"/>
      <c r="S848" s="20" t="inlineStr"/>
      <c r="T848" s="6" t="n">
        <v>6</v>
      </c>
      <c r="U848" s="5" t="inlineStr">
        <is>
          <t>비모빌리티 / 스마트시티 / 2023~ | 비모빌리티 / 산업 / 2023~ | 모빌리티 / 특수장비차 / 2023~</t>
        </is>
      </c>
      <c r="V848" s="21">
        <f>HYPERLINK("https://dart.fss.or.kr/dsaf001/main.do?rcpNo=20240320001173", "공시열람")</f>
        <v/>
      </c>
    </row>
    <row r="849">
      <c r="A849" s="5" t="inlineStr">
        <is>
          <t>케이쓰리아이</t>
        </is>
      </c>
      <c r="B849" s="6" t="inlineStr">
        <is>
          <t>431190</t>
        </is>
      </c>
      <c r="C849" s="6" t="inlineStr">
        <is>
          <t>2026Q2</t>
        </is>
      </c>
      <c r="D849" s="6" t="inlineStr">
        <is>
          <t>20260813</t>
        </is>
      </c>
      <c r="E849" s="16" t="n">
        <v>7103</v>
      </c>
      <c r="F849" s="16" t="n">
        <v>6103</v>
      </c>
      <c r="G849" s="16" t="n">
        <v>7783</v>
      </c>
      <c r="H849" s="6" t="inlineStr">
        <is>
          <t>백만원</t>
        </is>
      </c>
      <c r="I849" s="17" t="n">
        <v>30.7</v>
      </c>
      <c r="J849" s="18" t="inlineStr"/>
      <c r="K849" s="19" t="inlineStr"/>
      <c r="L849" s="18" t="n">
        <v>5952</v>
      </c>
      <c r="M849" s="19" t="n">
        <v>4677</v>
      </c>
      <c r="N849" s="18" t="n">
        <v>3230</v>
      </c>
      <c r="O849" s="19" t="n">
        <v>7058</v>
      </c>
      <c r="P849" s="18" t="n">
        <v>8413</v>
      </c>
      <c r="Q849" s="19" t="n">
        <v>6783</v>
      </c>
      <c r="R849" s="18" t="n">
        <v>5955</v>
      </c>
      <c r="S849" s="20" t="n">
        <v>7783</v>
      </c>
      <c r="T849" s="6" t="n">
        <v>2</v>
      </c>
      <c r="U849" s="5" t="inlineStr">
        <is>
          <t>XR 사업 / - | 디지털트윈 및 기타 / -</t>
        </is>
      </c>
      <c r="V849" s="21">
        <f>HYPERLINK("https://dart.fss.or.kr/dsaf001/main.do?rcpNo=20260813001741", "공시열람")</f>
        <v/>
      </c>
    </row>
    <row r="850">
      <c r="A850" s="5" t="inlineStr">
        <is>
          <t>와이랩</t>
        </is>
      </c>
      <c r="B850" s="6" t="inlineStr">
        <is>
          <t>432430</t>
        </is>
      </c>
      <c r="C850" s="6" t="inlineStr">
        <is>
          <t>2026Q2</t>
        </is>
      </c>
      <c r="D850" s="6" t="inlineStr">
        <is>
          <t>20260814</t>
        </is>
      </c>
      <c r="E850" s="16" t="n">
        <v>5600000</v>
      </c>
      <c r="F850" s="16" t="inlineStr"/>
      <c r="G850" s="16" t="n">
        <v>5600000</v>
      </c>
      <c r="H850" s="6" t="inlineStr">
        <is>
          <t>천원</t>
        </is>
      </c>
      <c r="I850" s="17" t="n">
        <v>0</v>
      </c>
      <c r="J850" s="18" t="inlineStr"/>
      <c r="K850" s="19" t="inlineStr"/>
      <c r="L850" s="18" t="inlineStr"/>
      <c r="M850" s="19" t="inlineStr"/>
      <c r="N850" s="18" t="inlineStr"/>
      <c r="O850" s="19" t="n">
        <v>5600000</v>
      </c>
      <c r="P850" s="18" t="n">
        <v>5600000</v>
      </c>
      <c r="Q850" s="19" t="n">
        <v>5600000</v>
      </c>
      <c r="R850" s="18" t="n">
        <v>5600000</v>
      </c>
      <c r="S850" s="20" t="n">
        <v>5600000</v>
      </c>
      <c r="T850" s="6" t="n">
        <v>1</v>
      </c>
      <c r="U850" s="5" t="inlineStr">
        <is>
          <t>드라마 제작 대행 계약 / 2024-06-28 / 20</t>
        </is>
      </c>
      <c r="V850" s="21">
        <f>HYPERLINK("https://dart.fss.or.kr/dsaf001/main.do?rcpNo=20260814001850", "공시열람")</f>
        <v/>
      </c>
    </row>
    <row r="851">
      <c r="A851" s="5" t="inlineStr">
        <is>
          <t>버넥트</t>
        </is>
      </c>
      <c r="B851" s="6" t="inlineStr">
        <is>
          <t>438700</t>
        </is>
      </c>
      <c r="C851" s="6" t="inlineStr">
        <is>
          <t>2026Q2</t>
        </is>
      </c>
      <c r="D851" s="6" t="inlineStr">
        <is>
          <t>20260814</t>
        </is>
      </c>
      <c r="E851" s="16" t="n">
        <v>1038</v>
      </c>
      <c r="F851" s="16" t="n">
        <v>727</v>
      </c>
      <c r="G851" s="16" t="n">
        <v>311</v>
      </c>
      <c r="H851" s="6" t="inlineStr"/>
      <c r="I851" s="17" t="n">
        <v>-65.90000000000001</v>
      </c>
      <c r="J851" s="18" t="n">
        <v>1032</v>
      </c>
      <c r="K851" s="19" t="n">
        <v>874</v>
      </c>
      <c r="L851" s="18" t="n">
        <v>835</v>
      </c>
      <c r="M851" s="19" t="n">
        <v>558</v>
      </c>
      <c r="N851" s="18" t="n">
        <v>764</v>
      </c>
      <c r="O851" s="19" t="n">
        <v>874</v>
      </c>
      <c r="P851" s="18" t="n">
        <v>1061</v>
      </c>
      <c r="Q851" s="19" t="n">
        <v>892</v>
      </c>
      <c r="R851" s="18" t="n">
        <v>912</v>
      </c>
      <c r="S851" s="20" t="n">
        <v>311</v>
      </c>
      <c r="T851" s="6" t="n">
        <v>5</v>
      </c>
      <c r="U851" s="5" t="inlineStr">
        <is>
          <t>D / 라이선스 / 2026.01.19 | E / 솔루션 / 2026.06.04 | B / 솔루션 / 2026.01.14</t>
        </is>
      </c>
      <c r="V851" s="21">
        <f>HYPERLINK("https://dart.fss.or.kr/dsaf001/main.do?rcpNo=20260814002340", "공시열람")</f>
        <v/>
      </c>
    </row>
    <row r="852">
      <c r="A852" s="5" t="inlineStr">
        <is>
          <t>대한조선</t>
        </is>
      </c>
      <c r="B852" s="6" t="inlineStr">
        <is>
          <t>439260</t>
        </is>
      </c>
      <c r="C852" s="6" t="inlineStr">
        <is>
          <t>2026Q2</t>
        </is>
      </c>
      <c r="D852" s="6" t="inlineStr">
        <is>
          <t>20260814</t>
        </is>
      </c>
      <c r="E852" s="16" t="inlineStr"/>
      <c r="F852" s="16" t="n">
        <v>657618</v>
      </c>
      <c r="G852" s="16" t="n">
        <v>2366510</v>
      </c>
      <c r="H852" s="6" t="inlineStr">
        <is>
          <t>척,백만원</t>
        </is>
      </c>
      <c r="I852" s="17" t="n">
        <v>39.7</v>
      </c>
      <c r="J852" s="18" t="inlineStr"/>
      <c r="K852" s="19" t="inlineStr"/>
      <c r="L852" s="18" t="inlineStr"/>
      <c r="M852" s="19" t="inlineStr"/>
      <c r="N852" s="18" t="inlineStr"/>
      <c r="O852" s="19" t="n">
        <v>1821580</v>
      </c>
      <c r="P852" s="18" t="n">
        <v>1572066</v>
      </c>
      <c r="Q852" s="19" t="n">
        <v>1723129</v>
      </c>
      <c r="R852" s="18" t="n">
        <v>1694146</v>
      </c>
      <c r="S852" s="20" t="n">
        <v>2366510</v>
      </c>
      <c r="T852" s="6" t="n">
        <v>1</v>
      </c>
      <c r="U852" s="5" t="inlineStr">
        <is>
          <t>선박 / 26년 6월 30일까지 / -</t>
        </is>
      </c>
      <c r="V852" s="21">
        <f>HYPERLINK("https://dart.fss.or.kr/dsaf001/main.do?rcpNo=20260814001422", "공시열람")</f>
        <v/>
      </c>
    </row>
    <row r="853">
      <c r="A853" s="5" t="inlineStr">
        <is>
          <t>파두</t>
        </is>
      </c>
      <c r="B853" s="6" t="inlineStr">
        <is>
          <t>440110</t>
        </is>
      </c>
      <c r="C853" s="6" t="inlineStr">
        <is>
          <t>2026Q2</t>
        </is>
      </c>
      <c r="D853" s="6" t="inlineStr">
        <is>
          <t>20260813</t>
        </is>
      </c>
      <c r="E853" s="16" t="n">
        <v>205625</v>
      </c>
      <c r="F853" s="16" t="n">
        <v>13870</v>
      </c>
      <c r="G853" s="16" t="n">
        <v>191755</v>
      </c>
      <c r="H853" s="6" t="inlineStr">
        <is>
          <t>천USD</t>
        </is>
      </c>
      <c r="I853" s="17" t="n">
        <v>65</v>
      </c>
      <c r="J853" s="18" t="inlineStr"/>
      <c r="K853" s="19" t="n">
        <v>13985</v>
      </c>
      <c r="L853" s="18" t="n">
        <v>17671</v>
      </c>
      <c r="M853" s="19" t="n">
        <v>28971</v>
      </c>
      <c r="N853" s="18" t="n">
        <v>24070</v>
      </c>
      <c r="O853" s="19" t="n">
        <v>6292</v>
      </c>
      <c r="P853" s="18" t="n">
        <v>20675</v>
      </c>
      <c r="Q853" s="19" t="n">
        <v>69906</v>
      </c>
      <c r="R853" s="18" t="n">
        <v>116208</v>
      </c>
      <c r="S853" s="20" t="n">
        <v>191755</v>
      </c>
      <c r="T853" s="6" t="n">
        <v>11</v>
      </c>
      <c r="U853" s="5" t="inlineStr">
        <is>
          <t>SSD 컨트롤러 (주1) / 2026.05.05 / 2 | SSD 완제품 (주1) / 2025.11.04 / 20 | SSD 컨트롤러 / 2026.05.28 / 2026.1</t>
        </is>
      </c>
      <c r="V853" s="21">
        <f>HYPERLINK("https://dart.fss.or.kr/dsaf001/main.do?rcpNo=20260813001260", "공시열람")</f>
        <v/>
      </c>
    </row>
    <row r="854">
      <c r="A854" s="5" t="inlineStr">
        <is>
          <t>오픈놀</t>
        </is>
      </c>
      <c r="B854" s="6" t="inlineStr">
        <is>
          <t>440320</t>
        </is>
      </c>
      <c r="C854" s="6" t="inlineStr">
        <is>
          <t>2026Q2</t>
        </is>
      </c>
      <c r="D854" s="6" t="inlineStr">
        <is>
          <t>20260812</t>
        </is>
      </c>
      <c r="E854" s="16" t="n">
        <v>63805</v>
      </c>
      <c r="F854" s="16" t="n">
        <v>39285</v>
      </c>
      <c r="G854" s="16" t="n">
        <v>24520</v>
      </c>
      <c r="H854" s="6" t="inlineStr">
        <is>
          <t>백만원</t>
        </is>
      </c>
      <c r="I854" s="17" t="n">
        <v>-17.6</v>
      </c>
      <c r="J854" s="18" t="n">
        <v>17333</v>
      </c>
      <c r="K854" s="19" t="n">
        <v>13782</v>
      </c>
      <c r="L854" s="18" t="n">
        <v>8543</v>
      </c>
      <c r="M854" s="19" t="n">
        <v>626</v>
      </c>
      <c r="N854" s="18" t="n">
        <v>17577</v>
      </c>
      <c r="O854" s="19" t="n">
        <v>17477</v>
      </c>
      <c r="P854" s="18" t="n">
        <v>9512</v>
      </c>
      <c r="Q854" s="19" t="n">
        <v>5995</v>
      </c>
      <c r="R854" s="18" t="n">
        <v>29769</v>
      </c>
      <c r="S854" s="20" t="n">
        <v>24520</v>
      </c>
      <c r="T854" s="6" t="n">
        <v>1</v>
      </c>
      <c r="U854" s="5" t="inlineStr">
        <is>
          <t xml:space="preserve">미니인턴 및 플랫폼서비스 등 / 수주과업에 따라 다름 </t>
        </is>
      </c>
      <c r="V854" s="21">
        <f>HYPERLINK("https://dart.fss.or.kr/dsaf001/main.do?rcpNo=20260812000706", "공시열람")</f>
        <v/>
      </c>
    </row>
    <row r="855">
      <c r="A855" s="5" t="inlineStr">
        <is>
          <t>HD현대마린솔루션</t>
        </is>
      </c>
      <c r="B855" s="6" t="inlineStr">
        <is>
          <t>443060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n">
        <v>50122</v>
      </c>
      <c r="G855" s="16" t="n">
        <v>206776</v>
      </c>
      <c r="H855" s="6" t="inlineStr">
        <is>
          <t>백만원</t>
        </is>
      </c>
      <c r="I855" s="17" t="n">
        <v>-7.7</v>
      </c>
      <c r="J855" s="18" t="inlineStr"/>
      <c r="K855" s="19" t="n">
        <v>212169</v>
      </c>
      <c r="L855" s="18" t="n">
        <v>208069</v>
      </c>
      <c r="M855" s="19" t="n">
        <v>189745</v>
      </c>
      <c r="N855" s="18" t="inlineStr"/>
      <c r="O855" s="19" t="n">
        <v>198690</v>
      </c>
      <c r="P855" s="18" t="n">
        <v>245057</v>
      </c>
      <c r="Q855" s="19" t="n">
        <v>230592</v>
      </c>
      <c r="R855" s="18" t="n">
        <v>224108</v>
      </c>
      <c r="S855" s="20" t="n">
        <v>206776</v>
      </c>
      <c r="T855" s="6" t="n">
        <v>1</v>
      </c>
      <c r="U855" s="5" t="inlineStr">
        <is>
          <t>친환경솔루션(FSRU, FSU, EPLO, EGCS 등</t>
        </is>
      </c>
      <c r="V855" s="21">
        <f>HYPERLINK("https://dart.fss.or.kr/dsaf001/main.do?rcpNo=20260814001752", "공시열람")</f>
        <v/>
      </c>
    </row>
    <row r="856">
      <c r="A856" s="5" t="inlineStr">
        <is>
          <t>에스피소프트</t>
        </is>
      </c>
      <c r="B856" s="6" t="inlineStr">
        <is>
          <t>443670</t>
        </is>
      </c>
      <c r="C856" s="6" t="inlineStr">
        <is>
          <t>2026Q2</t>
        </is>
      </c>
      <c r="D856" s="6" t="inlineStr">
        <is>
          <t>20260813</t>
        </is>
      </c>
      <c r="E856" s="16" t="n">
        <v>3407554637</v>
      </c>
      <c r="F856" s="16" t="n">
        <v>1946409832</v>
      </c>
      <c r="G856" s="16" t="n">
        <v>1461144805</v>
      </c>
      <c r="H856" s="6" t="inlineStr">
        <is>
          <t>원</t>
        </is>
      </c>
      <c r="I856" s="17" t="n">
        <v>-15.2</v>
      </c>
      <c r="J856" s="18" t="n">
        <v>233127200</v>
      </c>
      <c r="K856" s="19" t="n">
        <v>281341222</v>
      </c>
      <c r="L856" s="18" t="n">
        <v>725537324</v>
      </c>
      <c r="M856" s="19" t="n">
        <v>587056645</v>
      </c>
      <c r="N856" s="18" t="n">
        <v>771439808</v>
      </c>
      <c r="O856" s="19" t="n">
        <v>735886927</v>
      </c>
      <c r="P856" s="18" t="n">
        <v>1244237864</v>
      </c>
      <c r="Q856" s="19" t="n">
        <v>1656260847</v>
      </c>
      <c r="R856" s="18" t="n">
        <v>1723488129</v>
      </c>
      <c r="S856" s="20" t="n">
        <v>1461144805</v>
      </c>
      <c r="T856" s="6" t="n">
        <v>3</v>
      </c>
      <c r="U856" s="5" t="inlineStr">
        <is>
          <t>M365 / - | SPLA / - | 라이선스 / -</t>
        </is>
      </c>
      <c r="V856" s="21">
        <f>HYPERLINK("https://dart.fss.or.kr/dsaf001/main.do?rcpNo=20260813001182", "공시열람")</f>
        <v/>
      </c>
    </row>
    <row r="857">
      <c r="A857" s="5" t="inlineStr">
        <is>
          <t>심플랫폼</t>
        </is>
      </c>
      <c r="B857" s="6" t="inlineStr">
        <is>
          <t>444530</t>
        </is>
      </c>
      <c r="C857" s="6" t="inlineStr">
        <is>
          <t>2026Q2</t>
        </is>
      </c>
      <c r="D857" s="6" t="inlineStr">
        <is>
          <t>20260814</t>
        </is>
      </c>
      <c r="E857" s="16" t="n">
        <v>8009183</v>
      </c>
      <c r="F857" s="16" t="inlineStr"/>
      <c r="G857" s="16" t="n">
        <v>5291531</v>
      </c>
      <c r="H857" s="6" t="inlineStr">
        <is>
          <t>천원</t>
        </is>
      </c>
      <c r="I857" s="17" t="n">
        <v>45.4</v>
      </c>
      <c r="J857" s="18" t="inlineStr"/>
      <c r="K857" s="19" t="inlineStr"/>
      <c r="L857" s="18" t="inlineStr"/>
      <c r="M857" s="19" t="inlineStr"/>
      <c r="N857" s="18" t="inlineStr"/>
      <c r="O857" s="19" t="inlineStr"/>
      <c r="P857" s="18" t="n">
        <v>3467214</v>
      </c>
      <c r="Q857" s="19" t="n">
        <v>707420</v>
      </c>
      <c r="R857" s="18" t="n">
        <v>3638291</v>
      </c>
      <c r="S857" s="20" t="n">
        <v>5291531</v>
      </c>
      <c r="T857" s="6" t="n">
        <v>1</v>
      </c>
      <c r="U857" s="5" t="inlineStr">
        <is>
          <t>NUBISON AX</t>
        </is>
      </c>
      <c r="V857" s="21">
        <f>HYPERLINK("https://dart.fss.or.kr/dsaf001/main.do?rcpNo=20260814002308", "공시열람")</f>
        <v/>
      </c>
    </row>
    <row r="858">
      <c r="A858" s="5" t="inlineStr">
        <is>
          <t>에이직랜드</t>
        </is>
      </c>
      <c r="B858" s="6" t="inlineStr">
        <is>
          <t>445090</t>
        </is>
      </c>
      <c r="C858" s="6" t="inlineStr">
        <is>
          <t>2026Q2</t>
        </is>
      </c>
      <c r="D858" s="6" t="inlineStr">
        <is>
          <t>20260814</t>
        </is>
      </c>
      <c r="E858" s="16" t="n">
        <v>179082</v>
      </c>
      <c r="F858" s="16" t="n">
        <v>16510</v>
      </c>
      <c r="G858" s="16" t="n">
        <v>61821</v>
      </c>
      <c r="H858" s="6" t="inlineStr">
        <is>
          <t>백만원</t>
        </is>
      </c>
      <c r="I858" s="17" t="n">
        <v>-29.6</v>
      </c>
      <c r="J858" s="18" t="n">
        <v>93489</v>
      </c>
      <c r="K858" s="19" t="inlineStr"/>
      <c r="L858" s="18" t="inlineStr"/>
      <c r="M858" s="19" t="n">
        <v>62757</v>
      </c>
      <c r="N858" s="18" t="n">
        <v>64207</v>
      </c>
      <c r="O858" s="19" t="inlineStr"/>
      <c r="P858" s="18" t="n">
        <v>84994</v>
      </c>
      <c r="Q858" s="19" t="n">
        <v>100686</v>
      </c>
      <c r="R858" s="18" t="n">
        <v>87824</v>
      </c>
      <c r="S858" s="20" t="n">
        <v>61821</v>
      </c>
      <c r="T858" s="6" t="n">
        <v>7</v>
      </c>
      <c r="U858" s="5" t="inlineStr">
        <is>
          <t>주문형 반도체 설계 / 2024.11.01 / 2026 | 주문형 반도체 설계 / 2025.05.27 / 2027 | 양산 계약 / 2026.01.08 / 2026.12.3</t>
        </is>
      </c>
      <c r="V858" s="21">
        <f>HYPERLINK("https://dart.fss.or.kr/dsaf001/main.do?rcpNo=20260814000520", "공시열람")</f>
        <v/>
      </c>
    </row>
    <row r="859">
      <c r="A859" s="5" t="inlineStr">
        <is>
          <t>큐리옥스바이오시스템즈</t>
        </is>
      </c>
      <c r="B859" s="6" t="inlineStr">
        <is>
          <t>445680</t>
        </is>
      </c>
      <c r="C859" s="6" t="inlineStr">
        <is>
          <t>2026Q2</t>
        </is>
      </c>
      <c r="D859" s="6" t="inlineStr">
        <is>
          <t>20260814</t>
        </is>
      </c>
      <c r="E859" s="16" t="n">
        <v>3532</v>
      </c>
      <c r="F859" s="16" t="n">
        <v>619</v>
      </c>
      <c r="G859" s="16" t="n">
        <v>2913</v>
      </c>
      <c r="H859" s="6" t="inlineStr">
        <is>
          <t>대,백만원</t>
        </is>
      </c>
      <c r="I859" s="17" t="n">
        <v>0</v>
      </c>
      <c r="J859" s="18" t="n">
        <v>2643056640</v>
      </c>
      <c r="K859" s="19" t="n">
        <v>2643056640</v>
      </c>
      <c r="L859" s="18" t="n">
        <v>2643056640</v>
      </c>
      <c r="M859" s="19" t="n">
        <v>2643</v>
      </c>
      <c r="N859" s="18" t="n">
        <v>2643</v>
      </c>
      <c r="O859" s="19" t="n">
        <v>3454</v>
      </c>
      <c r="P859" s="18" t="n">
        <v>2934</v>
      </c>
      <c r="Q859" s="19" t="n">
        <v>2913</v>
      </c>
      <c r="R859" s="18" t="n">
        <v>2913</v>
      </c>
      <c r="S859" s="20" t="n">
        <v>2913</v>
      </c>
      <c r="T859" s="6" t="n">
        <v>1</v>
      </c>
      <c r="U859" s="5" t="inlineStr">
        <is>
          <t>Laminar Wash HT 2000 시스템/Lamin</t>
        </is>
      </c>
      <c r="V859" s="21">
        <f>HYPERLINK("https://dart.fss.or.kr/dsaf001/main.do?rcpNo=20260814004125", "공시열람")</f>
        <v/>
      </c>
    </row>
    <row r="860">
      <c r="A860" s="5" t="inlineStr">
        <is>
          <t>에코아이</t>
        </is>
      </c>
      <c r="B860" s="6" t="inlineStr">
        <is>
          <t>448280</t>
        </is>
      </c>
      <c r="C860" s="6" t="inlineStr">
        <is>
          <t>2026Q2</t>
        </is>
      </c>
      <c r="D860" s="6" t="inlineStr">
        <is>
          <t>20260814</t>
        </is>
      </c>
      <c r="E860" s="16" t="n">
        <v>2825303</v>
      </c>
      <c r="F860" s="16" t="n">
        <v>6999</v>
      </c>
      <c r="G860" s="16" t="n">
        <v>8480</v>
      </c>
      <c r="H860" s="6" t="inlineStr">
        <is>
          <t>톤,백만원</t>
        </is>
      </c>
      <c r="I860" s="17" t="n">
        <v>0</v>
      </c>
      <c r="J860" s="18" t="n">
        <v>8476</v>
      </c>
      <c r="K860" s="19" t="n">
        <v>8476</v>
      </c>
      <c r="L860" s="18" t="n">
        <v>8476</v>
      </c>
      <c r="M860" s="19" t="n">
        <v>8476</v>
      </c>
      <c r="N860" s="18" t="n">
        <v>8476</v>
      </c>
      <c r="O860" s="19" t="n">
        <v>8480</v>
      </c>
      <c r="P860" s="18" t="n">
        <v>8480</v>
      </c>
      <c r="Q860" s="19" t="n">
        <v>8480</v>
      </c>
      <c r="R860" s="18" t="n">
        <v>8480</v>
      </c>
      <c r="S860" s="20" t="n">
        <v>8480</v>
      </c>
      <c r="T860" s="6" t="n">
        <v>11</v>
      </c>
      <c r="U860" s="5" t="inlineStr">
        <is>
          <t>방글라데시 / 쿡스토브 / i-KOC / 2019-09 | 미얀마 / 쿡스토브 / i-KOC / 2020-02-2 | 미얀마 / 쿡스토브 / i-KOC / 2020-02-2</t>
        </is>
      </c>
      <c r="V860" s="21">
        <f>HYPERLINK("https://dart.fss.or.kr/dsaf001/main.do?rcpNo=20260814000143", "공시열람")</f>
        <v/>
      </c>
    </row>
    <row r="861">
      <c r="A861" s="5" t="inlineStr">
        <is>
          <t>한국피아이엠</t>
        </is>
      </c>
      <c r="B861" s="6" t="inlineStr">
        <is>
          <t>448900</t>
        </is>
      </c>
      <c r="C861" s="6" t="inlineStr">
        <is>
          <t>2026Q2</t>
        </is>
      </c>
      <c r="D861" s="6" t="inlineStr">
        <is>
          <t>20260814</t>
        </is>
      </c>
      <c r="E861" s="16" t="n">
        <v>48337998</v>
      </c>
      <c r="F861" s="16" t="n">
        <v>5920553</v>
      </c>
      <c r="G861" s="16" t="n">
        <v>42417445</v>
      </c>
      <c r="H861" s="6" t="inlineStr">
        <is>
          <t>천원</t>
        </is>
      </c>
      <c r="I861" s="17" t="n">
        <v>7.4</v>
      </c>
      <c r="J861" s="18" t="inlineStr"/>
      <c r="K861" s="19" t="inlineStr"/>
      <c r="L861" s="18" t="inlineStr"/>
      <c r="M861" s="19" t="n">
        <v>27015058</v>
      </c>
      <c r="N861" s="18" t="n">
        <v>31114346</v>
      </c>
      <c r="O861" s="19" t="n">
        <v>35687974</v>
      </c>
      <c r="P861" s="18" t="n">
        <v>35516371</v>
      </c>
      <c r="Q861" s="19" t="n">
        <v>39811667</v>
      </c>
      <c r="R861" s="18" t="n">
        <v>39492025</v>
      </c>
      <c r="S861" s="20" t="n">
        <v>42417445</v>
      </c>
      <c r="T861" s="6" t="n">
        <v>10</v>
      </c>
      <c r="U861" s="5" t="inlineStr">
        <is>
          <t>V / 수시 | M / 수시 | A / 수시</t>
        </is>
      </c>
      <c r="V861" s="21">
        <f>HYPERLINK("https://dart.fss.or.kr/dsaf001/main.do?rcpNo=20260814004093", "공시열람")</f>
        <v/>
      </c>
    </row>
    <row r="862">
      <c r="A862" s="5" t="inlineStr">
        <is>
          <t>인스웨이브</t>
        </is>
      </c>
      <c r="B862" s="6" t="inlineStr">
        <is>
          <t>450520</t>
        </is>
      </c>
      <c r="C862" s="6" t="inlineStr">
        <is>
          <t>2026Q2</t>
        </is>
      </c>
      <c r="D862" s="6" t="inlineStr">
        <is>
          <t>20260813</t>
        </is>
      </c>
      <c r="E862" s="16" t="n">
        <v>57030</v>
      </c>
      <c r="F862" s="16" t="n">
        <v>12916</v>
      </c>
      <c r="G862" s="16" t="n">
        <v>44114</v>
      </c>
      <c r="H862" s="6" t="inlineStr">
        <is>
          <t>백만원</t>
        </is>
      </c>
      <c r="I862" s="17" t="n">
        <v>39.9</v>
      </c>
      <c r="J862" s="18" t="n">
        <v>8064</v>
      </c>
      <c r="K862" s="19" t="n">
        <v>7103</v>
      </c>
      <c r="L862" s="18" t="n">
        <v>14142</v>
      </c>
      <c r="M862" s="19" t="n">
        <v>12212</v>
      </c>
      <c r="N862" s="18" t="n">
        <v>12176</v>
      </c>
      <c r="O862" s="19" t="n">
        <v>10862</v>
      </c>
      <c r="P862" s="18" t="n">
        <v>13744</v>
      </c>
      <c r="Q862" s="19" t="n">
        <v>20855</v>
      </c>
      <c r="R862" s="18" t="n">
        <v>31529</v>
      </c>
      <c r="S862" s="20" t="n">
        <v>44114</v>
      </c>
      <c r="T862" s="6" t="n">
        <v>4</v>
      </c>
      <c r="U862" s="5" t="inlineStr">
        <is>
          <t>농협은행 계정계 차세대 (프로젝트 NEO) / 2026 | 기타 | 코어뱅킹현대화_웹단말전환 / 2026-06-01 / 2</t>
        </is>
      </c>
      <c r="V862" s="21">
        <f>HYPERLINK("https://dart.fss.or.kr/dsaf001/main.do?rcpNo=20260813001397", "공시열람")</f>
        <v/>
      </c>
    </row>
    <row r="863">
      <c r="A863" s="5" t="inlineStr">
        <is>
          <t>아이엠티</t>
        </is>
      </c>
      <c r="B863" s="6" t="inlineStr">
        <is>
          <t>451220</t>
        </is>
      </c>
      <c r="C863" s="6" t="inlineStr">
        <is>
          <t>2026Q2</t>
        </is>
      </c>
      <c r="D863" s="6" t="inlineStr">
        <is>
          <t>20260814</t>
        </is>
      </c>
      <c r="E863" s="16" t="n">
        <v>1280000</v>
      </c>
      <c r="F863" s="16" t="inlineStr"/>
      <c r="G863" s="16" t="n">
        <v>1280000</v>
      </c>
      <c r="H863" s="6" t="inlineStr">
        <is>
          <t>대,USD</t>
        </is>
      </c>
      <c r="I863" s="17" t="n">
        <v>0</v>
      </c>
      <c r="J863" s="18" t="inlineStr"/>
      <c r="K863" s="19" t="inlineStr"/>
      <c r="L863" s="18" t="inlineStr"/>
      <c r="M863" s="19" t="n">
        <v>1295000</v>
      </c>
      <c r="N863" s="18" t="n">
        <v>1295000</v>
      </c>
      <c r="O863" s="19" t="n">
        <v>2625000</v>
      </c>
      <c r="P863" s="18" t="n">
        <v>2742000</v>
      </c>
      <c r="Q863" s="19" t="n">
        <v>2742000</v>
      </c>
      <c r="R863" s="18" t="n">
        <v>1280000</v>
      </c>
      <c r="S863" s="20" t="n">
        <v>1280000</v>
      </c>
      <c r="T863" s="6" t="n">
        <v>1</v>
      </c>
      <c r="U863" s="5" t="inlineStr">
        <is>
          <t>HBM용 Wafer 세정장비 / 2025-09-02 /</t>
        </is>
      </c>
      <c r="V863" s="21">
        <f>HYPERLINK("https://dart.fss.or.kr/dsaf001/main.do?rcpNo=20260814001618", "공시열람")</f>
        <v/>
      </c>
    </row>
    <row r="864">
      <c r="A864" s="5" t="inlineStr">
        <is>
          <t>컨텍</t>
        </is>
      </c>
      <c r="B864" s="6" t="inlineStr">
        <is>
          <t>451760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inlineStr"/>
      <c r="G864" s="16" t="n">
        <v>32777553</v>
      </c>
      <c r="H864" s="6" t="inlineStr">
        <is>
          <t>천원</t>
        </is>
      </c>
      <c r="I864" s="17" t="n">
        <v>-51.8</v>
      </c>
      <c r="J864" s="18" t="n">
        <v>26019</v>
      </c>
      <c r="K864" s="19" t="n">
        <v>21362334</v>
      </c>
      <c r="L864" s="18" t="n">
        <v>70717698</v>
      </c>
      <c r="M864" s="19" t="n">
        <v>70647949</v>
      </c>
      <c r="N864" s="18" t="n">
        <v>70225551</v>
      </c>
      <c r="O864" s="19" t="n">
        <v>58061079</v>
      </c>
      <c r="P864" s="18" t="n">
        <v>56043528</v>
      </c>
      <c r="Q864" s="19" t="n">
        <v>63004833</v>
      </c>
      <c r="R864" s="18" t="n">
        <v>68071376</v>
      </c>
      <c r="S864" s="20" t="n">
        <v>32777553</v>
      </c>
      <c r="T864" s="6" t="n">
        <v>4</v>
      </c>
      <c r="U864" s="5" t="inlineStr">
        <is>
          <t>위성제조 및 서비스 솔루션 | 기 타 | 지상국솔루션 / -</t>
        </is>
      </c>
      <c r="V864" s="21">
        <f>HYPERLINK("https://dart.fss.or.kr/dsaf001/main.do?rcpNo=20260814000791", "공시열람")</f>
        <v/>
      </c>
    </row>
    <row r="865">
      <c r="A865" s="5" t="inlineStr">
        <is>
          <t>제이엔비</t>
        </is>
      </c>
      <c r="B865" s="6" t="inlineStr">
        <is>
          <t>452160</t>
        </is>
      </c>
      <c r="C865" s="6" t="inlineStr">
        <is>
          <t>2024Q1</t>
        </is>
      </c>
      <c r="D865" s="6" t="inlineStr">
        <is>
          <t>20240514</t>
        </is>
      </c>
      <c r="E865" s="16" t="inlineStr"/>
      <c r="F865" s="16" t="inlineStr"/>
      <c r="G865" s="16" t="n">
        <v>1773800</v>
      </c>
      <c r="H865" s="6" t="inlineStr">
        <is>
          <t>USD</t>
        </is>
      </c>
      <c r="I865" s="17" t="n">
        <v>0</v>
      </c>
      <c r="J865" s="18" t="n">
        <v>1773800</v>
      </c>
      <c r="K865" s="19" t="inlineStr"/>
      <c r="L865" s="18" t="inlineStr"/>
      <c r="M865" s="19" t="inlineStr"/>
      <c r="N865" s="18" t="inlineStr"/>
      <c r="O865" s="19" t="inlineStr"/>
      <c r="P865" s="18" t="inlineStr"/>
      <c r="Q865" s="19" t="inlineStr"/>
      <c r="R865" s="18" t="inlineStr"/>
      <c r="S865" s="20" t="inlineStr"/>
      <c r="T865" s="6" t="n">
        <v>1</v>
      </c>
      <c r="U865" s="5" t="inlineStr">
        <is>
          <t>통화선물환 / 중소기업은행</t>
        </is>
      </c>
      <c r="V865" s="21">
        <f>HYPERLINK("https://dart.fss.or.kr/dsaf001/main.do?rcpNo=20240514001502", "공시열람")</f>
        <v/>
      </c>
    </row>
    <row r="866">
      <c r="A866" s="5" t="inlineStr">
        <is>
          <t>한빛레이저</t>
        </is>
      </c>
      <c r="B866" s="6" t="inlineStr">
        <is>
          <t>452190</t>
        </is>
      </c>
      <c r="C866" s="6" t="inlineStr">
        <is>
          <t>2026Q2</t>
        </is>
      </c>
      <c r="D866" s="6" t="inlineStr">
        <is>
          <t>20260813</t>
        </is>
      </c>
      <c r="E866" s="16" t="inlineStr"/>
      <c r="F866" s="16" t="inlineStr"/>
      <c r="G866" s="16" t="n">
        <v>11569483</v>
      </c>
      <c r="H866" s="6" t="inlineStr">
        <is>
          <t>천원</t>
        </is>
      </c>
      <c r="I866" s="17" t="n">
        <v>-4.5</v>
      </c>
      <c r="J866" s="18" t="n">
        <v>13255538</v>
      </c>
      <c r="K866" s="19" t="n">
        <v>14992788</v>
      </c>
      <c r="L866" s="18" t="n">
        <v>12317390</v>
      </c>
      <c r="M866" s="19" t="n">
        <v>12297801</v>
      </c>
      <c r="N866" s="18" t="n">
        <v>18611946</v>
      </c>
      <c r="O866" s="19" t="n">
        <v>14920180</v>
      </c>
      <c r="P866" s="18" t="n">
        <v>15709023</v>
      </c>
      <c r="Q866" s="19" t="n">
        <v>10190703</v>
      </c>
      <c r="R866" s="18" t="n">
        <v>12109195</v>
      </c>
      <c r="S866" s="20" t="n">
        <v>11569483</v>
      </c>
      <c r="T866" s="6" t="n">
        <v>0</v>
      </c>
      <c r="U866" s="5" t="inlineStr"/>
      <c r="V866" s="21">
        <f>HYPERLINK("https://dart.fss.or.kr/dsaf001/main.do?rcpNo=20260813001626", "공시열람")</f>
        <v/>
      </c>
    </row>
    <row r="867">
      <c r="A867" s="5" t="inlineStr">
        <is>
          <t>민테크</t>
        </is>
      </c>
      <c r="B867" s="6" t="inlineStr">
        <is>
          <t>452200</t>
        </is>
      </c>
      <c r="C867" s="6" t="inlineStr">
        <is>
          <t>2026Q2</t>
        </is>
      </c>
      <c r="D867" s="6" t="inlineStr">
        <is>
          <t>20260814</t>
        </is>
      </c>
      <c r="E867" s="16" t="n">
        <v>5486</v>
      </c>
      <c r="F867" s="16" t="n">
        <v>3143</v>
      </c>
      <c r="G867" s="16" t="n">
        <v>2343</v>
      </c>
      <c r="H867" s="6" t="inlineStr">
        <is>
          <t>백만원</t>
        </is>
      </c>
      <c r="I867" s="17" t="n">
        <v>-19.2</v>
      </c>
      <c r="J867" s="18" t="inlineStr"/>
      <c r="K867" s="19" t="n">
        <v>11595</v>
      </c>
      <c r="L867" s="18" t="n">
        <v>11535</v>
      </c>
      <c r="M867" s="19" t="n">
        <v>13841</v>
      </c>
      <c r="N867" s="18" t="n">
        <v>14035</v>
      </c>
      <c r="O867" s="19" t="n">
        <v>17366</v>
      </c>
      <c r="P867" s="18" t="n">
        <v>9319</v>
      </c>
      <c r="Q867" s="19" t="n">
        <v>3917</v>
      </c>
      <c r="R867" s="18" t="n">
        <v>2901</v>
      </c>
      <c r="S867" s="20" t="n">
        <v>2343</v>
      </c>
      <c r="T867" s="6" t="n">
        <v>3</v>
      </c>
      <c r="U867" s="5" t="inlineStr">
        <is>
          <t>기타 / - | 배터리 진단시스템 / - | 충방전검사장비 / -</t>
        </is>
      </c>
      <c r="V867" s="21">
        <f>HYPERLINK("https://dart.fss.or.kr/dsaf001/main.do?rcpNo=20260814002464", "공시열람")</f>
        <v/>
      </c>
    </row>
    <row r="868">
      <c r="A868" s="5" t="inlineStr">
        <is>
          <t>피아이이</t>
        </is>
      </c>
      <c r="B868" s="6" t="inlineStr">
        <is>
          <t>452450</t>
        </is>
      </c>
      <c r="C868" s="6" t="inlineStr">
        <is>
          <t>2026Q2</t>
        </is>
      </c>
      <c r="D868" s="6" t="inlineStr">
        <is>
          <t>20260813</t>
        </is>
      </c>
      <c r="E868" s="16" t="n">
        <v>44944443</v>
      </c>
      <c r="F868" s="16" t="n">
        <v>14691076</v>
      </c>
      <c r="G868" s="16" t="n">
        <v>30253367</v>
      </c>
      <c r="H868" s="6" t="inlineStr">
        <is>
          <t>천원</t>
        </is>
      </c>
      <c r="I868" s="17" t="n">
        <v>-21</v>
      </c>
      <c r="J868" s="18" t="inlineStr"/>
      <c r="K868" s="19" t="inlineStr"/>
      <c r="L868" s="18" t="inlineStr"/>
      <c r="M868" s="19" t="n">
        <v>29345690821</v>
      </c>
      <c r="N868" s="18" t="n">
        <v>29458734</v>
      </c>
      <c r="O868" s="19" t="n">
        <v>28596758</v>
      </c>
      <c r="P868" s="18" t="n">
        <v>31483810</v>
      </c>
      <c r="Q868" s="19" t="n">
        <v>24862774</v>
      </c>
      <c r="R868" s="18" t="n">
        <v>38319372</v>
      </c>
      <c r="S868" s="20" t="n">
        <v>30253367</v>
      </c>
      <c r="T868" s="6" t="n">
        <v>2</v>
      </c>
      <c r="U868" s="5" t="inlineStr">
        <is>
          <t>비전 및 장비 솔루션 | 기타</t>
        </is>
      </c>
      <c r="V868" s="21">
        <f>HYPERLINK("https://dart.fss.or.kr/dsaf001/main.do?rcpNo=20260813001351", "공시열람")</f>
        <v/>
      </c>
    </row>
    <row r="869">
      <c r="A869" s="5" t="inlineStr">
        <is>
          <t>두산로보틱스</t>
        </is>
      </c>
      <c r="B869" s="6" t="inlineStr">
        <is>
          <t>454910</t>
        </is>
      </c>
      <c r="C869" s="6" t="inlineStr">
        <is>
          <t>2026Q1</t>
        </is>
      </c>
      <c r="D869" s="6" t="inlineStr">
        <is>
          <t>20260515</t>
        </is>
      </c>
      <c r="E869" s="16" t="n">
        <v>18100</v>
      </c>
      <c r="F869" s="16" t="n">
        <v>4553</v>
      </c>
      <c r="G869" s="16" t="n">
        <v>13547</v>
      </c>
      <c r="H869" s="6" t="inlineStr">
        <is>
          <t>USD천</t>
        </is>
      </c>
      <c r="I869" s="17" t="n">
        <v>-9</v>
      </c>
      <c r="J869" s="18" t="inlineStr"/>
      <c r="K869" s="19" t="inlineStr"/>
      <c r="L869" s="18" t="inlineStr"/>
      <c r="M869" s="19" t="inlineStr"/>
      <c r="N869" s="18" t="inlineStr"/>
      <c r="O869" s="19" t="inlineStr"/>
      <c r="P869" s="18" t="n">
        <v>9343</v>
      </c>
      <c r="Q869" s="19" t="n">
        <v>14884</v>
      </c>
      <c r="R869" s="18" t="n">
        <v>13547</v>
      </c>
      <c r="S869" s="20" t="inlineStr"/>
      <c r="T869" s="6" t="n">
        <v>1</v>
      </c>
      <c r="U869" s="5" t="inlineStr">
        <is>
          <t>자동화 솔루션 / EOL/CMI 등</t>
        </is>
      </c>
      <c r="V869" s="21">
        <f>HYPERLINK("https://dart.fss.or.kr/dsaf001/main.do?rcpNo=20260515001834", "공시열람")</f>
        <v/>
      </c>
    </row>
    <row r="870">
      <c r="A870" s="5" t="inlineStr">
        <is>
          <t>케이지에이</t>
        </is>
      </c>
      <c r="B870" s="6" t="inlineStr">
        <is>
          <t>455180</t>
        </is>
      </c>
      <c r="C870" s="6" t="inlineStr">
        <is>
          <t>2026Q2</t>
        </is>
      </c>
      <c r="D870" s="6" t="inlineStr">
        <is>
          <t>20260814</t>
        </is>
      </c>
      <c r="E870" s="16" t="n">
        <v>22483930</v>
      </c>
      <c r="F870" s="16" t="n">
        <v>2558748</v>
      </c>
      <c r="G870" s="16" t="n">
        <v>19925182</v>
      </c>
      <c r="H870" s="6" t="inlineStr">
        <is>
          <t>천원</t>
        </is>
      </c>
      <c r="I870" s="17" t="n">
        <v>-99.7</v>
      </c>
      <c r="J870" s="18" t="inlineStr"/>
      <c r="K870" s="19" t="inlineStr"/>
      <c r="L870" s="18" t="inlineStr"/>
      <c r="M870" s="19" t="inlineStr"/>
      <c r="N870" s="18" t="inlineStr"/>
      <c r="O870" s="19" t="inlineStr"/>
      <c r="P870" s="18" t="inlineStr"/>
      <c r="Q870" s="19" t="inlineStr"/>
      <c r="R870" s="18" t="n">
        <v>7546000000</v>
      </c>
      <c r="S870" s="20" t="n">
        <v>19925182</v>
      </c>
      <c r="T870" s="6" t="n">
        <v>2</v>
      </c>
      <c r="U870" s="5" t="inlineStr">
        <is>
          <t>2차전지 전극공정 장비 / - | 기타 / -</t>
        </is>
      </c>
      <c r="V870" s="21">
        <f>HYPERLINK("https://dart.fss.or.kr/dsaf001/main.do?rcpNo=20260814002235", "공시열람")</f>
        <v/>
      </c>
    </row>
    <row r="871">
      <c r="A871" s="5" t="inlineStr">
        <is>
          <t>아이씨티케이</t>
        </is>
      </c>
      <c r="B871" s="6" t="inlineStr">
        <is>
          <t>456010</t>
        </is>
      </c>
      <c r="C871" s="6" t="inlineStr">
        <is>
          <t>2026Q2</t>
        </is>
      </c>
      <c r="D871" s="6" t="inlineStr">
        <is>
          <t>20260814</t>
        </is>
      </c>
      <c r="E871" s="16" t="n">
        <v>14772860</v>
      </c>
      <c r="F871" s="16" t="n">
        <v>3365175</v>
      </c>
      <c r="G871" s="16" t="n">
        <v>11407685</v>
      </c>
      <c r="H871" s="6" t="inlineStr">
        <is>
          <t>천원</t>
        </is>
      </c>
      <c r="I871" s="17" t="n">
        <v>-6.3</v>
      </c>
      <c r="J871" s="18" t="n">
        <v>3710000</v>
      </c>
      <c r="K871" s="19" t="n">
        <v>3345000</v>
      </c>
      <c r="L871" s="18" t="n">
        <v>1700000</v>
      </c>
      <c r="M871" s="19" t="n">
        <v>329700</v>
      </c>
      <c r="N871" s="18" t="n">
        <v>250000</v>
      </c>
      <c r="O871" s="19" t="n">
        <v>360561</v>
      </c>
      <c r="P871" s="18" t="n">
        <v>228859</v>
      </c>
      <c r="Q871" s="19" t="n">
        <v>12761850</v>
      </c>
      <c r="R871" s="18" t="n">
        <v>12180535</v>
      </c>
      <c r="S871" s="20" t="n">
        <v>11407685</v>
      </c>
      <c r="T871" s="6" t="n">
        <v>3</v>
      </c>
      <c r="U871" s="5" t="inlineStr">
        <is>
          <t>개발용역 / 양자암호 솔루션 개발 | 개발용역 / 이동통신사 | 연구용역 / 보안기술연구소</t>
        </is>
      </c>
      <c r="V871" s="21">
        <f>HYPERLINK("https://dart.fss.or.kr/dsaf001/main.do?rcpNo=20260814003391", "공시열람")</f>
        <v/>
      </c>
    </row>
    <row r="872">
      <c r="A872" s="5" t="inlineStr">
        <is>
          <t>이엔셀</t>
        </is>
      </c>
      <c r="B872" s="6" t="inlineStr">
        <is>
          <t>456070</t>
        </is>
      </c>
      <c r="C872" s="6" t="inlineStr">
        <is>
          <t>2026Q2</t>
        </is>
      </c>
      <c r="D872" s="6" t="inlineStr">
        <is>
          <t>20260814</t>
        </is>
      </c>
      <c r="E872" s="16" t="n">
        <v>14676</v>
      </c>
      <c r="F872" s="16" t="n">
        <v>5491</v>
      </c>
      <c r="G872" s="16" t="n">
        <v>9185</v>
      </c>
      <c r="H872" s="6" t="inlineStr">
        <is>
          <t>백만원</t>
        </is>
      </c>
      <c r="I872" s="17" t="n">
        <v>19.6</v>
      </c>
      <c r="J872" s="18" t="inlineStr"/>
      <c r="K872" s="19" t="inlineStr"/>
      <c r="L872" s="18" t="n">
        <v>9202</v>
      </c>
      <c r="M872" s="19" t="n">
        <v>4014</v>
      </c>
      <c r="N872" s="18" t="n">
        <v>3858</v>
      </c>
      <c r="O872" s="19" t="n">
        <v>5047</v>
      </c>
      <c r="P872" s="18" t="n">
        <v>9101</v>
      </c>
      <c r="Q872" s="19" t="n">
        <v>8001</v>
      </c>
      <c r="R872" s="18" t="n">
        <v>7681</v>
      </c>
      <c r="S872" s="20" t="n">
        <v>9185</v>
      </c>
      <c r="T872" s="6" t="n">
        <v>1</v>
      </c>
      <c r="U872" s="5" t="inlineStr">
        <is>
          <t>CDMO / 2023년~ (계약별 상이) / ~2029</t>
        </is>
      </c>
      <c r="V872" s="21">
        <f>HYPERLINK("https://dart.fss.or.kr/dsaf001/main.do?rcpNo=20260814003945", "공시열람")</f>
        <v/>
      </c>
    </row>
    <row r="873">
      <c r="A873" s="5" t="inlineStr">
        <is>
          <t>우진엔텍</t>
        </is>
      </c>
      <c r="B873" s="6" t="inlineStr">
        <is>
          <t>457550</t>
        </is>
      </c>
      <c r="C873" s="6" t="inlineStr">
        <is>
          <t>2026Q2</t>
        </is>
      </c>
      <c r="D873" s="6" t="inlineStr">
        <is>
          <t>20260814</t>
        </is>
      </c>
      <c r="E873" s="16" t="n">
        <v>167239</v>
      </c>
      <c r="F873" s="16" t="n">
        <v>146153</v>
      </c>
      <c r="G873" s="16" t="n">
        <v>21086</v>
      </c>
      <c r="H873" s="6" t="inlineStr">
        <is>
          <t>백만원</t>
        </is>
      </c>
      <c r="I873" s="17" t="n">
        <v>-17.8</v>
      </c>
      <c r="J873" s="18" t="n">
        <v>50044</v>
      </c>
      <c r="K873" s="19" t="n">
        <v>40484</v>
      </c>
      <c r="L873" s="18" t="n">
        <v>53494</v>
      </c>
      <c r="M873" s="19" t="n">
        <v>45661</v>
      </c>
      <c r="N873" s="18" t="n">
        <v>43724</v>
      </c>
      <c r="O873" s="19" t="n">
        <v>36259</v>
      </c>
      <c r="P873" s="18" t="n">
        <v>32608</v>
      </c>
      <c r="Q873" s="19" t="n">
        <v>26383</v>
      </c>
      <c r="R873" s="18" t="n">
        <v>25641</v>
      </c>
      <c r="S873" s="20" t="n">
        <v>21086</v>
      </c>
      <c r="T873" s="6" t="n">
        <v>9</v>
      </c>
      <c r="U873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3" s="21">
        <f>HYPERLINK("https://dart.fss.or.kr/dsaf001/main.do?rcpNo=20260814000513", "공시열람")</f>
        <v/>
      </c>
    </row>
    <row r="874">
      <c r="A874" s="5" t="inlineStr">
        <is>
          <t>나우로보틱스</t>
        </is>
      </c>
      <c r="B874" s="6" t="inlineStr">
        <is>
          <t>459510</t>
        </is>
      </c>
      <c r="C874" s="6" t="inlineStr">
        <is>
          <t>2025Q4</t>
        </is>
      </c>
      <c r="D874" s="6" t="inlineStr">
        <is>
          <t>20260323</t>
        </is>
      </c>
      <c r="E874" s="16" t="inlineStr"/>
      <c r="F874" s="16" t="inlineStr"/>
      <c r="G874" s="16" t="n">
        <v>723234</v>
      </c>
      <c r="H874" s="6" t="inlineStr">
        <is>
          <t>천원</t>
        </is>
      </c>
      <c r="I874" s="17" t="inlineStr"/>
      <c r="J874" s="18" t="inlineStr"/>
      <c r="K874" s="19" t="inlineStr"/>
      <c r="L874" s="18" t="inlineStr"/>
      <c r="M874" s="19" t="inlineStr"/>
      <c r="N874" s="18" t="inlineStr"/>
      <c r="O874" s="19" t="inlineStr"/>
      <c r="P874" s="18" t="inlineStr"/>
      <c r="Q874" s="19" t="n">
        <v>723234</v>
      </c>
      <c r="R874" s="18" t="inlineStr"/>
      <c r="S874" s="20" t="inlineStr"/>
      <c r="T874" s="6" t="n">
        <v>1</v>
      </c>
      <c r="U874" s="5" t="inlineStr">
        <is>
          <t>주문제작 방식 산업용로봇 / -</t>
        </is>
      </c>
      <c r="V874" s="21">
        <f>HYPERLINK("https://dart.fss.or.kr/dsaf001/main.do?rcpNo=20260323000990", "공시열람")</f>
        <v/>
      </c>
    </row>
    <row r="875">
      <c r="A875" s="5" t="inlineStr">
        <is>
          <t>아이빔테크놀로지</t>
        </is>
      </c>
      <c r="B875" s="6" t="inlineStr">
        <is>
          <t>460470</t>
        </is>
      </c>
      <c r="C875" s="6" t="inlineStr">
        <is>
          <t>2026Q2</t>
        </is>
      </c>
      <c r="D875" s="6" t="inlineStr">
        <is>
          <t>20260813</t>
        </is>
      </c>
      <c r="E875" s="16" t="n">
        <v>301837</v>
      </c>
      <c r="F875" s="16" t="inlineStr"/>
      <c r="G875" s="16" t="n">
        <v>301837</v>
      </c>
      <c r="H875" s="6" t="inlineStr">
        <is>
          <t>천원</t>
        </is>
      </c>
      <c r="I875" s="17" t="n">
        <v>-83</v>
      </c>
      <c r="J875" s="18" t="inlineStr"/>
      <c r="K875" s="19" t="n">
        <v>782352</v>
      </c>
      <c r="L875" s="18" t="n">
        <v>647060</v>
      </c>
      <c r="M875" s="19" t="n">
        <v>525603</v>
      </c>
      <c r="N875" s="18" t="n">
        <v>572245</v>
      </c>
      <c r="O875" s="19" t="n">
        <v>880989</v>
      </c>
      <c r="P875" s="18" t="n">
        <v>532362</v>
      </c>
      <c r="Q875" s="19" t="n">
        <v>711083</v>
      </c>
      <c r="R875" s="18" t="n">
        <v>1772405</v>
      </c>
      <c r="S875" s="20" t="n">
        <v>301837</v>
      </c>
      <c r="T875" s="6" t="n">
        <v>8</v>
      </c>
      <c r="U875" s="5" t="inlineStr">
        <is>
          <t>CRO서비스 / 2025-03-18 / 2026년 예정 | CRO서비스 / 2026-06-05 / 2026년 예정 | CRO서비스 / 2026-05-26 / 2026년 예정</t>
        </is>
      </c>
      <c r="V875" s="21">
        <f>HYPERLINK("https://dart.fss.or.kr/dsaf001/main.do?rcpNo=20260813000688", "공시열람")</f>
        <v/>
      </c>
    </row>
    <row r="876">
      <c r="A876" s="5" t="inlineStr">
        <is>
          <t>동국제강</t>
        </is>
      </c>
      <c r="B876" s="6" t="inlineStr">
        <is>
          <t>460860</t>
        </is>
      </c>
      <c r="C876" s="6" t="inlineStr">
        <is>
          <t>2026Q2</t>
        </is>
      </c>
      <c r="D876" s="6" t="inlineStr">
        <is>
          <t>20260814</t>
        </is>
      </c>
      <c r="E876" s="16" t="n">
        <v>699010</v>
      </c>
      <c r="F876" s="16" t="n">
        <v>87896</v>
      </c>
      <c r="G876" s="16" t="n">
        <v>611114</v>
      </c>
      <c r="H876" s="6" t="inlineStr">
        <is>
          <t>톤,백만원</t>
        </is>
      </c>
      <c r="I876" s="17" t="n">
        <v>-5.3</v>
      </c>
      <c r="J876" s="18" t="n">
        <v>86719</v>
      </c>
      <c r="K876" s="19" t="n">
        <v>239931</v>
      </c>
      <c r="L876" s="18" t="n">
        <v>198900</v>
      </c>
      <c r="M876" s="19" t="n">
        <v>140695</v>
      </c>
      <c r="N876" s="18" t="n">
        <v>109957</v>
      </c>
      <c r="O876" s="19" t="n">
        <v>58781</v>
      </c>
      <c r="P876" s="18" t="n">
        <v>19179</v>
      </c>
      <c r="Q876" s="19" t="n">
        <v>668827</v>
      </c>
      <c r="R876" s="18" t="n">
        <v>645314</v>
      </c>
      <c r="S876" s="20" t="n">
        <v>611114</v>
      </c>
      <c r="T876" s="6" t="n">
        <v>1</v>
      </c>
      <c r="U876" s="5" t="inlineStr">
        <is>
          <t>이형철근 / 조달청 / 2025.10.29</t>
        </is>
      </c>
      <c r="V876" s="21">
        <f>HYPERLINK("https://dart.fss.or.kr/dsaf001/main.do?rcpNo=20260814001702", "공시열람")</f>
        <v/>
      </c>
    </row>
    <row r="877">
      <c r="A877" s="5" t="inlineStr">
        <is>
          <t>현대힘스</t>
        </is>
      </c>
      <c r="B877" s="6" t="inlineStr">
        <is>
          <t>460930</t>
        </is>
      </c>
      <c r="C877" s="6" t="inlineStr">
        <is>
          <t>2026Q2</t>
        </is>
      </c>
      <c r="D877" s="6" t="inlineStr">
        <is>
          <t>20260813</t>
        </is>
      </c>
      <c r="E877" s="16" t="n">
        <v>202343</v>
      </c>
      <c r="F877" s="16" t="n">
        <v>152481</v>
      </c>
      <c r="G877" s="16" t="n">
        <v>49862</v>
      </c>
      <c r="H877" s="6" t="inlineStr">
        <is>
          <t>백만원</t>
        </is>
      </c>
      <c r="I877" s="17" t="n">
        <v>-13.5</v>
      </c>
      <c r="J877" s="18" t="n">
        <v>38283</v>
      </c>
      <c r="K877" s="19" t="n">
        <v>36280</v>
      </c>
      <c r="L877" s="18" t="n">
        <v>34724</v>
      </c>
      <c r="M877" s="19" t="n">
        <v>35684</v>
      </c>
      <c r="N877" s="18" t="n">
        <v>41194</v>
      </c>
      <c r="O877" s="19" t="n">
        <v>60520</v>
      </c>
      <c r="P877" s="18" t="n">
        <v>54815</v>
      </c>
      <c r="Q877" s="19" t="n">
        <v>65375</v>
      </c>
      <c r="R877" s="18" t="n">
        <v>57628</v>
      </c>
      <c r="S877" s="20" t="n">
        <v>49862</v>
      </c>
      <c r="T877" s="6" t="n">
        <v>4</v>
      </c>
      <c r="U877" s="5" t="inlineStr">
        <is>
          <t>블록 / '26.06.30까지 / - | 항만크레인 / '26.06.30까지 / - | 배관/철의장 / '26.06.30까지 / -</t>
        </is>
      </c>
      <c r="V877" s="21">
        <f>HYPERLINK("https://dart.fss.or.kr/dsaf001/main.do?rcpNo=20260813000095", "공시열람")</f>
        <v/>
      </c>
    </row>
    <row r="878">
      <c r="A878" s="5" t="inlineStr">
        <is>
          <t>이노스페이스</t>
        </is>
      </c>
      <c r="B878" s="6" t="inlineStr">
        <is>
          <t>462350</t>
        </is>
      </c>
      <c r="C878" s="6" t="inlineStr">
        <is>
          <t>2026Q2</t>
        </is>
      </c>
      <c r="D878" s="6" t="inlineStr">
        <is>
          <t>20260814</t>
        </is>
      </c>
      <c r="E878" s="16" t="n">
        <v>11750</v>
      </c>
      <c r="F878" s="16" t="n">
        <v>5827</v>
      </c>
      <c r="G878" s="16" t="n">
        <v>5923</v>
      </c>
      <c r="H878" s="6" t="inlineStr">
        <is>
          <t>백만원</t>
        </is>
      </c>
      <c r="I878" s="17" t="n">
        <v>-27.3</v>
      </c>
      <c r="J878" s="18" t="n">
        <v>12608</v>
      </c>
      <c r="K878" s="19" t="n">
        <v>14149</v>
      </c>
      <c r="L878" s="18" t="n">
        <v>14932</v>
      </c>
      <c r="M878" s="19" t="n">
        <v>16204</v>
      </c>
      <c r="N878" s="18" t="n">
        <v>14389</v>
      </c>
      <c r="O878" s="19" t="n">
        <v>14432</v>
      </c>
      <c r="P878" s="18" t="n">
        <v>7374</v>
      </c>
      <c r="Q878" s="19" t="n">
        <v>9065</v>
      </c>
      <c r="R878" s="18" t="n">
        <v>8148</v>
      </c>
      <c r="S878" s="20" t="n">
        <v>5923</v>
      </c>
      <c r="T878" s="6" t="n">
        <v>2</v>
      </c>
      <c r="U878" s="5" t="inlineStr">
        <is>
          <t>모의 발사체 공급계약 / 2025년 / 2025년 ~  | 재사용 기술 시연체 유공압 엄빌리컬 위탁 개발 계약 /</t>
        </is>
      </c>
      <c r="V878" s="21">
        <f>HYPERLINK("https://dart.fss.or.kr/dsaf001/main.do?rcpNo=20260814003448", "공시열람")</f>
        <v/>
      </c>
    </row>
    <row r="879">
      <c r="A879" s="5" t="inlineStr">
        <is>
          <t>라메디텍</t>
        </is>
      </c>
      <c r="B879" s="6" t="inlineStr">
        <is>
          <t>462510</t>
        </is>
      </c>
      <c r="C879" s="6" t="inlineStr">
        <is>
          <t>2025Q1</t>
        </is>
      </c>
      <c r="D879" s="6" t="inlineStr">
        <is>
          <t>20250514</t>
        </is>
      </c>
      <c r="E879" s="16" t="n">
        <v>1493379</v>
      </c>
      <c r="F879" s="16" t="n">
        <v>1391379</v>
      </c>
      <c r="G879" s="16" t="n">
        <v>102000</v>
      </c>
      <c r="H879" s="6" t="inlineStr">
        <is>
          <t>천원</t>
        </is>
      </c>
      <c r="I879" s="17" t="n">
        <v>51.7</v>
      </c>
      <c r="J879" s="18" t="inlineStr"/>
      <c r="K879" s="19" t="n">
        <v>749000</v>
      </c>
      <c r="L879" s="18" t="n">
        <v>433000</v>
      </c>
      <c r="M879" s="19" t="n">
        <v>67244</v>
      </c>
      <c r="N879" s="18" t="n">
        <v>102000</v>
      </c>
      <c r="O879" s="19" t="inlineStr"/>
      <c r="P879" s="18" t="inlineStr"/>
      <c r="Q879" s="19" t="inlineStr"/>
      <c r="R879" s="18" t="inlineStr"/>
      <c r="S879" s="20" t="inlineStr"/>
      <c r="T879" s="6" t="n">
        <v>1</v>
      </c>
      <c r="U879" s="5" t="inlineStr">
        <is>
          <t>레이저 미용기기 / 2025-01-02 / 2025-0</t>
        </is>
      </c>
      <c r="V879" s="21">
        <f>HYPERLINK("https://dart.fss.or.kr/dsaf001/main.do?rcpNo=20250514000373", "공시열람")</f>
        <v/>
      </c>
    </row>
    <row r="880">
      <c r="A880" s="5" t="inlineStr">
        <is>
          <t>조선내화</t>
        </is>
      </c>
      <c r="B880" s="6" t="inlineStr">
        <is>
          <t>462520</t>
        </is>
      </c>
      <c r="C880" s="6" t="inlineStr">
        <is>
          <t>2023Q4</t>
        </is>
      </c>
      <c r="D880" s="6" t="inlineStr">
        <is>
          <t>20240313</t>
        </is>
      </c>
      <c r="E880" s="16" t="inlineStr"/>
      <c r="F880" s="16" t="inlineStr"/>
      <c r="G880" s="16" t="n">
        <v>49000000</v>
      </c>
      <c r="H880" s="6" t="inlineStr">
        <is>
          <t>천원</t>
        </is>
      </c>
      <c r="I880" s="17" t="inlineStr"/>
      <c r="J880" s="18" t="inlineStr"/>
      <c r="K880" s="19" t="inlineStr"/>
      <c r="L880" s="18" t="inlineStr"/>
      <c r="M880" s="19" t="inlineStr"/>
      <c r="N880" s="18" t="inlineStr"/>
      <c r="O880" s="19" t="inlineStr"/>
      <c r="P880" s="18" t="inlineStr"/>
      <c r="Q880" s="19" t="inlineStr"/>
      <c r="R880" s="18" t="inlineStr"/>
      <c r="S880" s="20" t="inlineStr"/>
      <c r="T880" s="6" t="n">
        <v>1</v>
      </c>
      <c r="U880" s="5" t="inlineStr">
        <is>
          <t>국내플랜트공사 / -</t>
        </is>
      </c>
      <c r="V880" s="21">
        <f>HYPERLINK("https://dart.fss.or.kr/dsaf001/main.do?rcpNo=20240313001572", "공시열람")</f>
        <v/>
      </c>
    </row>
    <row r="881">
      <c r="A881" s="5" t="inlineStr">
        <is>
          <t>에스오에스랩</t>
        </is>
      </c>
      <c r="B881" s="6" t="inlineStr">
        <is>
          <t>464080</t>
        </is>
      </c>
      <c r="C881" s="6" t="inlineStr">
        <is>
          <t>2026Q2</t>
        </is>
      </c>
      <c r="D881" s="6" t="inlineStr">
        <is>
          <t>20260814</t>
        </is>
      </c>
      <c r="E881" s="16" t="n">
        <v>2240</v>
      </c>
      <c r="F881" s="16" t="inlineStr"/>
      <c r="G881" s="16" t="n">
        <v>1808</v>
      </c>
      <c r="H881" s="6" t="inlineStr">
        <is>
          <t>백만원</t>
        </is>
      </c>
      <c r="I881" s="17" t="n">
        <v>203.4</v>
      </c>
      <c r="J881" s="18" t="inlineStr"/>
      <c r="K881" s="19" t="n">
        <v>2986</v>
      </c>
      <c r="L881" s="18" t="n">
        <v>2247</v>
      </c>
      <c r="M881" s="19" t="n">
        <v>2038</v>
      </c>
      <c r="N881" s="18" t="n">
        <v>2674</v>
      </c>
      <c r="O881" s="19" t="n">
        <v>1503</v>
      </c>
      <c r="P881" s="18" t="n">
        <v>1503</v>
      </c>
      <c r="Q881" s="19" t="n">
        <v>370</v>
      </c>
      <c r="R881" s="18" t="n">
        <v>596</v>
      </c>
      <c r="S881" s="20" t="n">
        <v>1808</v>
      </c>
      <c r="T881" s="6" t="n">
        <v>7</v>
      </c>
      <c r="U881" s="5" t="inlineStr">
        <is>
          <t>인프라 / 스마트시티 / E사 / ML / 2026-0 | 인프라 / 기타 / E사 / 2023-08-16 | 모빌리티 / 로보틱스 / C사 / GL / 2026-0</t>
        </is>
      </c>
      <c r="V881" s="21">
        <f>HYPERLINK("https://dart.fss.or.kr/dsaf001/main.do?rcpNo=20260814003376", "공시열람")</f>
        <v/>
      </c>
    </row>
    <row r="882">
      <c r="A882" s="5" t="inlineStr">
        <is>
          <t>닷밀</t>
        </is>
      </c>
      <c r="B882" s="6" t="inlineStr">
        <is>
          <t>464580</t>
        </is>
      </c>
      <c r="C882" s="6" t="inlineStr">
        <is>
          <t>2026Q2</t>
        </is>
      </c>
      <c r="D882" s="6" t="inlineStr">
        <is>
          <t>20260814</t>
        </is>
      </c>
      <c r="E882" s="16" t="n">
        <v>27443</v>
      </c>
      <c r="F882" s="16" t="n">
        <v>24763</v>
      </c>
      <c r="G882" s="16" t="n">
        <v>2680</v>
      </c>
      <c r="H882" s="6" t="inlineStr">
        <is>
          <t>백만원</t>
        </is>
      </c>
      <c r="I882" s="17" t="n">
        <v>-59.8</v>
      </c>
      <c r="J882" s="18" t="inlineStr"/>
      <c r="K882" s="19" t="inlineStr"/>
      <c r="L882" s="18" t="inlineStr"/>
      <c r="M882" s="19" t="n">
        <v>7371</v>
      </c>
      <c r="N882" s="18" t="n">
        <v>8263</v>
      </c>
      <c r="O882" s="19" t="n">
        <v>9922</v>
      </c>
      <c r="P882" s="18" t="n">
        <v>1378</v>
      </c>
      <c r="Q882" s="19" t="n">
        <v>9012</v>
      </c>
      <c r="R882" s="18" t="n">
        <v>6669</v>
      </c>
      <c r="S882" s="20" t="n">
        <v>2680</v>
      </c>
      <c r="T882" s="6" t="n">
        <v>7</v>
      </c>
      <c r="U882" s="5" t="inlineStr">
        <is>
          <t>프로젝트 4 / 2025.06.20 / 2027.06. | 프로젝트 5 / 2025.12.24 / 2026.11. | 프로젝트 6 / 2025.12.29 / 2026.12.</t>
        </is>
      </c>
      <c r="V882" s="21">
        <f>HYPERLINK("https://dart.fss.or.kr/dsaf001/main.do?rcpNo=20260814000901", "공시열람")</f>
        <v/>
      </c>
    </row>
    <row r="883">
      <c r="A883" s="5" t="inlineStr">
        <is>
          <t>인스피언</t>
        </is>
      </c>
      <c r="B883" s="6" t="inlineStr">
        <is>
          <t>465480</t>
        </is>
      </c>
      <c r="C883" s="6" t="inlineStr">
        <is>
          <t>2026Q2</t>
        </is>
      </c>
      <c r="D883" s="6" t="inlineStr">
        <is>
          <t>20260813</t>
        </is>
      </c>
      <c r="E883" s="16" t="n">
        <v>17672576</v>
      </c>
      <c r="F883" s="16" t="inlineStr"/>
      <c r="G883" s="16" t="n">
        <v>8634035</v>
      </c>
      <c r="H883" s="6" t="inlineStr">
        <is>
          <t>건,천원</t>
        </is>
      </c>
      <c r="I883" s="17" t="n">
        <v>-4.5</v>
      </c>
      <c r="J883" s="18" t="inlineStr"/>
      <c r="K883" s="19" t="inlineStr"/>
      <c r="L883" s="18" t="inlineStr"/>
      <c r="M883" s="19" t="n">
        <v>8523195</v>
      </c>
      <c r="N883" s="18" t="n">
        <v>11527551</v>
      </c>
      <c r="O883" s="19" t="n">
        <v>10814854</v>
      </c>
      <c r="P883" s="18" t="n">
        <v>10676233</v>
      </c>
      <c r="Q883" s="19" t="n">
        <v>7686628</v>
      </c>
      <c r="R883" s="18" t="n">
        <v>9040396</v>
      </c>
      <c r="S883" s="20" t="n">
        <v>8634035</v>
      </c>
      <c r="T883" s="6" t="n">
        <v>7</v>
      </c>
      <c r="U883" s="5" t="inlineStr">
        <is>
          <t>솔루션 사업 / SW/HW | 솔루션 사업 / 유지보수 | 컨설팅 사업 / SM</t>
        </is>
      </c>
      <c r="V883" s="21">
        <f>HYPERLINK("https://dart.fss.or.kr/dsaf001/main.do?rcpNo=20260813001070", "공시열람")</f>
        <v/>
      </c>
    </row>
    <row r="884">
      <c r="A884" s="5" t="inlineStr">
        <is>
          <t>이노테크</t>
        </is>
      </c>
      <c r="B884" s="6" t="inlineStr">
        <is>
          <t>469610</t>
        </is>
      </c>
      <c r="C884" s="6" t="inlineStr">
        <is>
          <t>2026Q2</t>
        </is>
      </c>
      <c r="D884" s="6" t="inlineStr">
        <is>
          <t>20260811</t>
        </is>
      </c>
      <c r="E884" s="16" t="n">
        <v>3841</v>
      </c>
      <c r="F884" s="16" t="n">
        <v>602</v>
      </c>
      <c r="G884" s="16" t="n">
        <v>3239</v>
      </c>
      <c r="H884" s="6" t="inlineStr">
        <is>
          <t>백만원</t>
        </is>
      </c>
      <c r="I884" s="17" t="n">
        <v>-14.2</v>
      </c>
      <c r="J884" s="18" t="inlineStr"/>
      <c r="K884" s="19" t="inlineStr"/>
      <c r="L884" s="18" t="inlineStr"/>
      <c r="M884" s="19" t="inlineStr"/>
      <c r="N884" s="18" t="inlineStr"/>
      <c r="O884" s="19" t="inlineStr"/>
      <c r="P884" s="18" t="inlineStr"/>
      <c r="Q884" s="19" t="n">
        <v>3352366663</v>
      </c>
      <c r="R884" s="18" t="n">
        <v>3774</v>
      </c>
      <c r="S884" s="20" t="n">
        <v>3239</v>
      </c>
      <c r="T884" s="6" t="n">
        <v>3</v>
      </c>
      <c r="U884" s="5" t="inlineStr">
        <is>
          <t>디스플레이 | 반도체 | 기타</t>
        </is>
      </c>
      <c r="V884" s="21">
        <f>HYPERLINK("https://dart.fss.or.kr/dsaf001/main.do?rcpNo=20260811000295", "공시열람")</f>
        <v/>
      </c>
    </row>
    <row r="885">
      <c r="A885" s="5" t="inlineStr">
        <is>
          <t>아이비젼웍스</t>
        </is>
      </c>
      <c r="B885" s="6" t="inlineStr">
        <is>
          <t>469750</t>
        </is>
      </c>
      <c r="C885" s="6" t="inlineStr">
        <is>
          <t>2026Q2</t>
        </is>
      </c>
      <c r="D885" s="6" t="inlineStr">
        <is>
          <t>20260814</t>
        </is>
      </c>
      <c r="E885" s="16" t="n">
        <v>11579</v>
      </c>
      <c r="F885" s="16" t="n">
        <v>1742</v>
      </c>
      <c r="G885" s="16" t="n">
        <v>9508</v>
      </c>
      <c r="H885" s="6" t="inlineStr">
        <is>
          <t>백만원</t>
        </is>
      </c>
      <c r="I885" s="17" t="n">
        <v>45.4</v>
      </c>
      <c r="J885" s="18" t="inlineStr"/>
      <c r="K885" s="19" t="inlineStr"/>
      <c r="L885" s="18" t="n">
        <v>9175</v>
      </c>
      <c r="M885" s="19" t="n">
        <v>10423</v>
      </c>
      <c r="N885" s="18" t="n">
        <v>10744</v>
      </c>
      <c r="O885" s="19" t="n">
        <v>16645</v>
      </c>
      <c r="P885" s="18" t="n">
        <v>8244</v>
      </c>
      <c r="Q885" s="19" t="n">
        <v>7077</v>
      </c>
      <c r="R885" s="18" t="n">
        <v>6538</v>
      </c>
      <c r="S885" s="20" t="n">
        <v>9508</v>
      </c>
      <c r="T885" s="6" t="n">
        <v>1</v>
      </c>
      <c r="U885" s="5" t="inlineStr">
        <is>
          <t>이차전지검사시스템</t>
        </is>
      </c>
      <c r="V885" s="21">
        <f>HYPERLINK("https://dart.fss.or.kr/dsaf001/main.do?rcpNo=20260814000826", "공시열람")</f>
        <v/>
      </c>
    </row>
    <row r="886">
      <c r="A886" s="5" t="inlineStr">
        <is>
          <t>루미르</t>
        </is>
      </c>
      <c r="B886" s="6" t="inlineStr">
        <is>
          <t>474170</t>
        </is>
      </c>
      <c r="C886" s="6" t="inlineStr">
        <is>
          <t>2026Q2</t>
        </is>
      </c>
      <c r="D886" s="6" t="inlineStr">
        <is>
          <t>20260814</t>
        </is>
      </c>
      <c r="E886" s="16" t="n">
        <v>30992654</v>
      </c>
      <c r="F886" s="16" t="n">
        <v>26537861</v>
      </c>
      <c r="G886" s="16" t="n">
        <v>4454793</v>
      </c>
      <c r="H886" s="6" t="inlineStr">
        <is>
          <t>천원</t>
        </is>
      </c>
      <c r="I886" s="17" t="n">
        <v>-37.1</v>
      </c>
      <c r="J886" s="18" t="inlineStr"/>
      <c r="K886" s="19" t="inlineStr"/>
      <c r="L886" s="18" t="inlineStr"/>
      <c r="M886" s="19" t="n">
        <v>13201090</v>
      </c>
      <c r="N886" s="18" t="n">
        <v>11992186</v>
      </c>
      <c r="O886" s="19" t="n">
        <v>11103409</v>
      </c>
      <c r="P886" s="18" t="n">
        <v>8775404</v>
      </c>
      <c r="Q886" s="19" t="n">
        <v>7471105</v>
      </c>
      <c r="R886" s="18" t="n">
        <v>7083658</v>
      </c>
      <c r="S886" s="20" t="n">
        <v>4454793</v>
      </c>
      <c r="T886" s="6" t="n">
        <v>1</v>
      </c>
      <c r="U886" s="5" t="inlineStr">
        <is>
          <t>위성제조 분야</t>
        </is>
      </c>
      <c r="V886" s="21">
        <f>HYPERLINK("https://dart.fss.or.kr/dsaf001/main.do?rcpNo=20260814002463", "공시열람")</f>
        <v/>
      </c>
    </row>
    <row r="887">
      <c r="A887" s="5" t="inlineStr">
        <is>
          <t>SK이터닉스</t>
        </is>
      </c>
      <c r="B887" s="6" t="inlineStr">
        <is>
          <t>475150</t>
        </is>
      </c>
      <c r="C887" s="6" t="inlineStr">
        <is>
          <t>2026Q2</t>
        </is>
      </c>
      <c r="D887" s="6" t="inlineStr">
        <is>
          <t>20260813</t>
        </is>
      </c>
      <c r="E887" s="16" t="n">
        <v>614961</v>
      </c>
      <c r="F887" s="16" t="n">
        <v>385443</v>
      </c>
      <c r="G887" s="16" t="n">
        <v>229518</v>
      </c>
      <c r="H887" s="6" t="inlineStr">
        <is>
          <t>백만원</t>
        </is>
      </c>
      <c r="I887" s="17" t="n">
        <v>-49.6</v>
      </c>
      <c r="J887" s="18" t="n">
        <v>506429</v>
      </c>
      <c r="K887" s="19" t="n">
        <v>504048</v>
      </c>
      <c r="L887" s="18" t="n">
        <v>727912</v>
      </c>
      <c r="M887" s="19" t="n">
        <v>598423</v>
      </c>
      <c r="N887" s="18" t="n">
        <v>587955</v>
      </c>
      <c r="O887" s="19" t="n">
        <v>561909</v>
      </c>
      <c r="P887" s="18" t="n">
        <v>638702</v>
      </c>
      <c r="Q887" s="19" t="n">
        <v>457876</v>
      </c>
      <c r="R887" s="18" t="n">
        <v>455070</v>
      </c>
      <c r="S887" s="20" t="n">
        <v>229518</v>
      </c>
      <c r="T887" s="6" t="n">
        <v>4</v>
      </c>
      <c r="U887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7" s="21">
        <f>HYPERLINK("https://dart.fss.or.kr/dsaf001/main.do?rcpNo=20260813000561", "공시열람")</f>
        <v/>
      </c>
    </row>
    <row r="888">
      <c r="A888" s="5" t="inlineStr">
        <is>
          <t>엔알비</t>
        </is>
      </c>
      <c r="B888" s="6" t="inlineStr">
        <is>
          <t>475230</t>
        </is>
      </c>
      <c r="C888" s="6" t="inlineStr">
        <is>
          <t>2026Q2</t>
        </is>
      </c>
      <c r="D888" s="6" t="inlineStr">
        <is>
          <t>20260814</t>
        </is>
      </c>
      <c r="E888" s="16" t="n">
        <v>194985</v>
      </c>
      <c r="F888" s="16" t="n">
        <v>53989</v>
      </c>
      <c r="G888" s="16" t="n">
        <v>140996</v>
      </c>
      <c r="H888" s="6" t="inlineStr">
        <is>
          <t>백만원,%</t>
        </is>
      </c>
      <c r="I888" s="17" t="n">
        <v>140896</v>
      </c>
      <c r="J888" s="18" t="inlineStr"/>
      <c r="K888" s="19" t="inlineStr"/>
      <c r="L888" s="18" t="inlineStr"/>
      <c r="M888" s="19" t="inlineStr"/>
      <c r="N888" s="18" t="inlineStr"/>
      <c r="O888" s="19" t="n">
        <v>152323</v>
      </c>
      <c r="P888" s="18" t="n">
        <v>160603</v>
      </c>
      <c r="Q888" s="19" t="inlineStr"/>
      <c r="R888" s="18" t="n">
        <v>100</v>
      </c>
      <c r="S888" s="20" t="n">
        <v>140996</v>
      </c>
      <c r="T888" s="6" t="n">
        <v>2</v>
      </c>
      <c r="U888" s="5" t="inlineStr">
        <is>
          <t>주거시설 | 교육시설</t>
        </is>
      </c>
      <c r="V888" s="21">
        <f>HYPERLINK("https://dart.fss.or.kr/dsaf001/main.do?rcpNo=20260814001087", "공시열람")</f>
        <v/>
      </c>
    </row>
    <row r="889">
      <c r="A889" s="5" t="inlineStr">
        <is>
          <t>씨메스로보틱스</t>
        </is>
      </c>
      <c r="B889" s="6" t="inlineStr">
        <is>
          <t>475400</t>
        </is>
      </c>
      <c r="C889" s="6" t="inlineStr">
        <is>
          <t>2026Q2</t>
        </is>
      </c>
      <c r="D889" s="6" t="inlineStr">
        <is>
          <t>20260813</t>
        </is>
      </c>
      <c r="E889" s="16" t="inlineStr"/>
      <c r="F889" s="16" t="inlineStr"/>
      <c r="G889" s="16" t="n">
        <v>22552014</v>
      </c>
      <c r="H889" s="6" t="inlineStr">
        <is>
          <t>천원</t>
        </is>
      </c>
      <c r="I889" s="17" t="n">
        <v>143.9</v>
      </c>
      <c r="J889" s="18" t="inlineStr"/>
      <c r="K889" s="19" t="inlineStr"/>
      <c r="L889" s="18" t="inlineStr"/>
      <c r="M889" s="19" t="n">
        <v>7021</v>
      </c>
      <c r="N889" s="18" t="n">
        <v>7127971</v>
      </c>
      <c r="O889" s="19" t="n">
        <v>7559603</v>
      </c>
      <c r="P889" s="18" t="n">
        <v>10912070</v>
      </c>
      <c r="Q889" s="19" t="n">
        <v>9796130</v>
      </c>
      <c r="R889" s="18" t="n">
        <v>9245848</v>
      </c>
      <c r="S889" s="20" t="n">
        <v>22552014</v>
      </c>
      <c r="T889" s="6" t="n">
        <v>0</v>
      </c>
      <c r="U889" s="5" t="inlineStr"/>
      <c r="V889" s="21">
        <f>HYPERLINK("https://dart.fss.or.kr/dsaf001/main.do?rcpNo=20260813000340", "공시열람")</f>
        <v/>
      </c>
    </row>
    <row r="890">
      <c r="A890" s="5" t="inlineStr">
        <is>
          <t>키스트론</t>
        </is>
      </c>
      <c r="B890" s="6" t="inlineStr">
        <is>
          <t>475430</t>
        </is>
      </c>
      <c r="C890" s="6" t="inlineStr">
        <is>
          <t>2025Q3</t>
        </is>
      </c>
      <c r="D890" s="6" t="inlineStr">
        <is>
          <t>20251114</t>
        </is>
      </c>
      <c r="E890" s="16" t="n">
        <v>61298</v>
      </c>
      <c r="F890" s="16" t="n">
        <v>47915</v>
      </c>
      <c r="G890" s="16" t="n">
        <v>13383</v>
      </c>
      <c r="H890" s="6" t="inlineStr">
        <is>
          <t>톤,백만원</t>
        </is>
      </c>
      <c r="I890" s="17" t="n">
        <v>94.7</v>
      </c>
      <c r="J890" s="18" t="inlineStr"/>
      <c r="K890" s="19" t="inlineStr"/>
      <c r="L890" s="18" t="inlineStr"/>
      <c r="M890" s="19" t="inlineStr"/>
      <c r="N890" s="18" t="inlineStr"/>
      <c r="O890" s="19" t="n">
        <v>6875</v>
      </c>
      <c r="P890" s="18" t="n">
        <v>13383</v>
      </c>
      <c r="Q890" s="19" t="inlineStr"/>
      <c r="R890" s="18" t="inlineStr"/>
      <c r="S890" s="20" t="inlineStr"/>
      <c r="T890" s="6" t="n">
        <v>2</v>
      </c>
      <c r="U890" s="5" t="inlineStr">
        <is>
          <t>전자부품용 | 케이블용</t>
        </is>
      </c>
      <c r="V890" s="21">
        <f>HYPERLINK("https://dart.fss.or.kr/dsaf001/main.do?rcpNo=20251114001576", "공시열람")</f>
        <v/>
      </c>
    </row>
    <row r="891">
      <c r="A891" s="5" t="inlineStr">
        <is>
          <t>에이럭스</t>
        </is>
      </c>
      <c r="B891" s="6" t="inlineStr">
        <is>
          <t>475580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2593962</v>
      </c>
      <c r="F891" s="16" t="n">
        <v>381146640</v>
      </c>
      <c r="G891" s="16" t="n">
        <v>2212815</v>
      </c>
      <c r="H891" s="6" t="inlineStr">
        <is>
          <t>건,천원</t>
        </is>
      </c>
      <c r="I891" s="17" t="n">
        <v>-14.7</v>
      </c>
      <c r="J891" s="18" t="inlineStr"/>
      <c r="K891" s="19" t="inlineStr"/>
      <c r="L891" s="18" t="inlineStr"/>
      <c r="M891" s="19" t="n">
        <v>2512817</v>
      </c>
      <c r="N891" s="18" t="n">
        <v>3964234</v>
      </c>
      <c r="O891" s="19" t="n">
        <v>2358111</v>
      </c>
      <c r="P891" s="18" t="n">
        <v>1917027</v>
      </c>
      <c r="Q891" s="19" t="n">
        <v>2343761</v>
      </c>
      <c r="R891" s="18" t="n">
        <v>2593962</v>
      </c>
      <c r="S891" s="20" t="n">
        <v>2212815</v>
      </c>
      <c r="T891" s="6" t="n">
        <v>6</v>
      </c>
      <c r="U891" s="5" t="inlineStr">
        <is>
          <t>로보링크주식회사 / 드론 / 2026-08-07 / 2 | 로보링크주식회사 / 드론 / 2026-01-07 / 2 | 로보링크주식회사 / 드론 / 2026-07-13 / 2</t>
        </is>
      </c>
      <c r="V891" s="21">
        <f>HYPERLINK("https://dart.fss.or.kr/dsaf001/main.do?rcpNo=20260814002126", "공시열람")</f>
        <v/>
      </c>
    </row>
    <row r="892">
      <c r="A892" s="5" t="inlineStr">
        <is>
          <t>토모큐브</t>
        </is>
      </c>
      <c r="B892" s="6" t="inlineStr">
        <is>
          <t>475960</t>
        </is>
      </c>
      <c r="C892" s="6" t="inlineStr">
        <is>
          <t>2026Q2</t>
        </is>
      </c>
      <c r="D892" s="6" t="inlineStr">
        <is>
          <t>20260814</t>
        </is>
      </c>
      <c r="E892" s="16" t="n">
        <v>4879</v>
      </c>
      <c r="F892" s="16" t="inlineStr"/>
      <c r="G892" s="16" t="n">
        <v>2006</v>
      </c>
      <c r="H892" s="6" t="inlineStr">
        <is>
          <t>백만원</t>
        </is>
      </c>
      <c r="I892" s="17" t="n">
        <v>-43.6</v>
      </c>
      <c r="J892" s="18" t="inlineStr"/>
      <c r="K892" s="19" t="inlineStr"/>
      <c r="L892" s="18" t="inlineStr"/>
      <c r="M892" s="19" t="inlineStr"/>
      <c r="N892" s="18" t="inlineStr"/>
      <c r="O892" s="19" t="n">
        <v>1731</v>
      </c>
      <c r="P892" s="18" t="n">
        <v>2535</v>
      </c>
      <c r="Q892" s="19" t="n">
        <v>1422</v>
      </c>
      <c r="R892" s="18" t="n">
        <v>3555</v>
      </c>
      <c r="S892" s="20" t="n">
        <v>2006</v>
      </c>
      <c r="T892" s="6" t="n">
        <v>1</v>
      </c>
      <c r="U892" s="5" t="inlineStr">
        <is>
          <t>HT 제품군 등</t>
        </is>
      </c>
      <c r="V892" s="21">
        <f>HYPERLINK("https://dart.fss.or.kr/dsaf001/main.do?rcpNo=20260814001367", "공시열람")</f>
        <v/>
      </c>
    </row>
    <row r="893">
      <c r="A893" s="5" t="inlineStr">
        <is>
          <t>오가노이드사이언스</t>
        </is>
      </c>
      <c r="B893" s="6" t="inlineStr">
        <is>
          <t>476040</t>
        </is>
      </c>
      <c r="C893" s="6" t="inlineStr">
        <is>
          <t>2026Q2</t>
        </is>
      </c>
      <c r="D893" s="6" t="inlineStr">
        <is>
          <t>20260814</t>
        </is>
      </c>
      <c r="E893" s="16" t="n">
        <v>422525882</v>
      </c>
      <c r="F893" s="16" t="n">
        <v>162313417</v>
      </c>
      <c r="G893" s="16" t="n">
        <v>260212465</v>
      </c>
      <c r="H893" s="6" t="inlineStr">
        <is>
          <t>원</t>
        </is>
      </c>
      <c r="I893" s="17" t="n">
        <v>66.59999999999999</v>
      </c>
      <c r="J893" s="18" t="inlineStr"/>
      <c r="K893" s="19" t="inlineStr"/>
      <c r="L893" s="18" t="inlineStr"/>
      <c r="M893" s="19" t="inlineStr"/>
      <c r="N893" s="18" t="inlineStr"/>
      <c r="O893" s="19" t="n">
        <v>620345026</v>
      </c>
      <c r="P893" s="18" t="n">
        <v>279593635</v>
      </c>
      <c r="Q893" s="19" t="n">
        <v>88671815</v>
      </c>
      <c r="R893" s="18" t="n">
        <v>156184575</v>
      </c>
      <c r="S893" s="20" t="n">
        <v>260212465</v>
      </c>
      <c r="T893" s="6" t="n">
        <v>10</v>
      </c>
      <c r="U893" s="5" t="inlineStr">
        <is>
          <t>약물평가 / 2026-02-01 / 2028-02-01 | 약물평가 / 2026-05-05 / 2026-12-31 | 약물평가 / 2026-05-01 / 2027-02-28</t>
        </is>
      </c>
      <c r="V893" s="21">
        <f>HYPERLINK("https://dart.fss.or.kr/dsaf001/main.do?rcpNo=20260814002513", "공시열람")</f>
        <v/>
      </c>
    </row>
    <row r="894">
      <c r="A894" s="5" t="inlineStr">
        <is>
          <t>M83</t>
        </is>
      </c>
      <c r="B894" s="6" t="inlineStr">
        <is>
          <t>476080</t>
        </is>
      </c>
      <c r="C894" s="6" t="inlineStr">
        <is>
          <t>2026Q2</t>
        </is>
      </c>
      <c r="D894" s="6" t="inlineStr">
        <is>
          <t>20260813</t>
        </is>
      </c>
      <c r="E894" s="16" t="n">
        <v>21588</v>
      </c>
      <c r="F894" s="16" t="n">
        <v>8873</v>
      </c>
      <c r="G894" s="16" t="n">
        <v>12715</v>
      </c>
      <c r="H894" s="6" t="inlineStr">
        <is>
          <t>백만원</t>
        </is>
      </c>
      <c r="I894" s="17" t="n">
        <v>11.6</v>
      </c>
      <c r="J894" s="18" t="inlineStr"/>
      <c r="K894" s="19" t="inlineStr"/>
      <c r="L894" s="18" t="n">
        <v>6546</v>
      </c>
      <c r="M894" s="19" t="n">
        <v>3246</v>
      </c>
      <c r="N894" s="18" t="n">
        <v>1234</v>
      </c>
      <c r="O894" s="19" t="n">
        <v>4987</v>
      </c>
      <c r="P894" s="18" t="n">
        <v>4013</v>
      </c>
      <c r="Q894" s="19" t="n">
        <v>3821</v>
      </c>
      <c r="R894" s="18" t="n">
        <v>11390</v>
      </c>
      <c r="S894" s="20" t="n">
        <v>12715</v>
      </c>
      <c r="T894" s="6" t="n">
        <v>3</v>
      </c>
      <c r="U894" s="5" t="inlineStr">
        <is>
          <t>VFX 용역(주3) / 2026년 03월 26일. /  | VFX 용역 / 2026년 06월 29일 / 최종 납품 | J(가제) VFX 용역(주4) / 2025년 06월 0</t>
        </is>
      </c>
      <c r="V894" s="21">
        <f>HYPERLINK("https://dart.fss.or.kr/dsaf001/main.do?rcpNo=20260813000320", "공시열람")</f>
        <v/>
      </c>
    </row>
    <row r="895">
      <c r="A895" s="5" t="inlineStr">
        <is>
          <t>마키나락스</t>
        </is>
      </c>
      <c r="B895" s="6" t="inlineStr">
        <is>
          <t>477850</t>
        </is>
      </c>
      <c r="C895" s="6" t="inlineStr">
        <is>
          <t>2026Q2</t>
        </is>
      </c>
      <c r="D895" s="6" t="inlineStr">
        <is>
          <t>20260814</t>
        </is>
      </c>
      <c r="E895" s="16" t="n">
        <v>23687</v>
      </c>
      <c r="F895" s="16" t="n">
        <v>8884</v>
      </c>
      <c r="G895" s="16" t="n">
        <v>14777</v>
      </c>
      <c r="H895" s="6" t="inlineStr">
        <is>
          <t>백만원</t>
        </is>
      </c>
      <c r="I895" s="17" t="n">
        <v>-100</v>
      </c>
      <c r="J895" s="18" t="inlineStr"/>
      <c r="K895" s="19" t="inlineStr"/>
      <c r="L895" s="18" t="inlineStr"/>
      <c r="M895" s="19" t="inlineStr"/>
      <c r="N895" s="18" t="inlineStr"/>
      <c r="O895" s="19" t="inlineStr"/>
      <c r="P895" s="18" t="inlineStr"/>
      <c r="Q895" s="19" t="inlineStr"/>
      <c r="R895" s="18" t="n">
        <v>15191903640</v>
      </c>
      <c r="S895" s="20" t="n">
        <v>14777</v>
      </c>
      <c r="T895" s="6" t="n">
        <v>3</v>
      </c>
      <c r="U895" s="5" t="inlineStr">
        <is>
          <t>AI 연구개발 / 특화 AI 솔루션 연구개발 | AI 운영체제 / AI 솔루션 공급 | AI 운영체제 / AI OS (Runway)</t>
        </is>
      </c>
      <c r="V895" s="21">
        <f>HYPERLINK("https://dart.fss.or.kr/dsaf001/main.do?rcpNo=20260814001400", "공시열람")</f>
        <v/>
      </c>
    </row>
    <row r="896">
      <c r="A896" s="5" t="inlineStr">
        <is>
          <t>나라스페이스테크놀로지</t>
        </is>
      </c>
      <c r="B896" s="6" t="inlineStr">
        <is>
          <t>478340</t>
        </is>
      </c>
      <c r="C896" s="6" t="inlineStr">
        <is>
          <t>2026Q2</t>
        </is>
      </c>
      <c r="D896" s="6" t="inlineStr">
        <is>
          <t>20260814</t>
        </is>
      </c>
      <c r="E896" s="16" t="n">
        <v>43128614</v>
      </c>
      <c r="F896" s="16" t="inlineStr"/>
      <c r="G896" s="16" t="n">
        <v>28605889</v>
      </c>
      <c r="H896" s="6" t="inlineStr">
        <is>
          <t>천원</t>
        </is>
      </c>
      <c r="I896" s="17" t="n">
        <v>46.1</v>
      </c>
      <c r="J896" s="18" t="inlineStr"/>
      <c r="K896" s="19" t="inlineStr"/>
      <c r="L896" s="18" t="inlineStr"/>
      <c r="M896" s="19" t="inlineStr"/>
      <c r="N896" s="18" t="inlineStr"/>
      <c r="O896" s="19" t="inlineStr"/>
      <c r="P896" s="18" t="inlineStr"/>
      <c r="Q896" s="19" t="n">
        <v>17637906</v>
      </c>
      <c r="R896" s="18" t="n">
        <v>19583035</v>
      </c>
      <c r="S896" s="20" t="n">
        <v>28605889</v>
      </c>
      <c r="T896" s="6" t="n">
        <v>11</v>
      </c>
      <c r="U896" s="5" t="inlineStr">
        <is>
          <t>위성제조 분야 / 2026-06-19 / 2030-07 | 위성영상 분야 등 / 2025-05-26 / 2029- | 위성제조 분야 / 2024-11-07 / 2028-12</t>
        </is>
      </c>
      <c r="V896" s="21">
        <f>HYPERLINK("https://dart.fss.or.kr/dsaf001/main.do?rcpNo=20260814002537", "공시열람")</f>
        <v/>
      </c>
    </row>
    <row r="897">
      <c r="A897" s="5" t="inlineStr">
        <is>
          <t>씨케이솔루션</t>
        </is>
      </c>
      <c r="B897" s="6" t="inlineStr">
        <is>
          <t>480370</t>
        </is>
      </c>
      <c r="C897" s="6" t="inlineStr">
        <is>
          <t>2026Q2</t>
        </is>
      </c>
      <c r="D897" s="6" t="inlineStr">
        <is>
          <t>20260814</t>
        </is>
      </c>
      <c r="E897" s="16" t="n">
        <v>660947</v>
      </c>
      <c r="F897" s="16" t="n">
        <v>407631</v>
      </c>
      <c r="G897" s="16" t="n">
        <v>253316</v>
      </c>
      <c r="H897" s="6" t="inlineStr">
        <is>
          <t>백만원</t>
        </is>
      </c>
      <c r="I897" s="17" t="n">
        <v>19.5</v>
      </c>
      <c r="J897" s="18" t="inlineStr"/>
      <c r="K897" s="19" t="inlineStr"/>
      <c r="L897" s="18" t="inlineStr"/>
      <c r="M897" s="19" t="n">
        <v>252345</v>
      </c>
      <c r="N897" s="18" t="n">
        <v>202545</v>
      </c>
      <c r="O897" s="19" t="n">
        <v>192631</v>
      </c>
      <c r="P897" s="18" t="n">
        <v>250229</v>
      </c>
      <c r="Q897" s="19" t="n">
        <v>238406</v>
      </c>
      <c r="R897" s="18" t="n">
        <v>211974</v>
      </c>
      <c r="S897" s="20" t="n">
        <v>253316</v>
      </c>
      <c r="T897" s="6" t="n">
        <v>3</v>
      </c>
      <c r="U897" s="5" t="inlineStr">
        <is>
          <t>드라이룸 | 클린룸 | 기타</t>
        </is>
      </c>
      <c r="V897" s="21">
        <f>HYPERLINK("https://dart.fss.or.kr/dsaf001/main.do?rcpNo=20260814001347", "공시열람")</f>
        <v/>
      </c>
    </row>
    <row r="898">
      <c r="A898" s="5" t="inlineStr">
        <is>
          <t>삼양컴텍</t>
        </is>
      </c>
      <c r="B898" s="6" t="inlineStr">
        <is>
          <t>484590</t>
        </is>
      </c>
      <c r="C898" s="6" t="inlineStr">
        <is>
          <t>2025Q2</t>
        </is>
      </c>
      <c r="D898" s="6" t="inlineStr">
        <is>
          <t>20250822</t>
        </is>
      </c>
      <c r="E898" s="16" t="n">
        <v>281584</v>
      </c>
      <c r="F898" s="16" t="n">
        <v>65514</v>
      </c>
      <c r="G898" s="16" t="n">
        <v>216070</v>
      </c>
      <c r="H898" s="6" t="inlineStr">
        <is>
          <t>백만원</t>
        </is>
      </c>
      <c r="I898" s="17" t="inlineStr"/>
      <c r="J898" s="18" t="inlineStr"/>
      <c r="K898" s="19" t="inlineStr"/>
      <c r="L898" s="18" t="inlineStr"/>
      <c r="M898" s="19" t="inlineStr"/>
      <c r="N898" s="18" t="inlineStr"/>
      <c r="O898" s="19" t="n">
        <v>216070</v>
      </c>
      <c r="P898" s="18" t="inlineStr"/>
      <c r="Q898" s="19" t="inlineStr"/>
      <c r="R898" s="18" t="inlineStr"/>
      <c r="S898" s="20" t="inlineStr"/>
      <c r="T898" s="6" t="n">
        <v>1</v>
      </c>
      <c r="U898" s="5" t="inlineStr">
        <is>
          <t>방산부품 / 2025.06.30 / -</t>
        </is>
      </c>
      <c r="V898" s="21">
        <f>HYPERLINK("https://dart.fss.or.kr/dsaf001/main.do?rcpNo=20250822000351", "공시열람")</f>
        <v/>
      </c>
    </row>
    <row r="899">
      <c r="A899" s="5" t="inlineStr">
        <is>
          <t>엠앤씨솔루션</t>
        </is>
      </c>
      <c r="B899" s="6" t="inlineStr">
        <is>
          <t>484870</t>
        </is>
      </c>
      <c r="C899" s="6" t="inlineStr">
        <is>
          <t>2026Q2</t>
        </is>
      </c>
      <c r="D899" s="6" t="inlineStr">
        <is>
          <t>20260814</t>
        </is>
      </c>
      <c r="E899" s="16" t="n">
        <v>17788</v>
      </c>
      <c r="F899" s="16" t="n">
        <v>8457</v>
      </c>
      <c r="G899" s="16" t="n">
        <v>28938</v>
      </c>
      <c r="H899" s="6" t="inlineStr">
        <is>
          <t>억원</t>
        </is>
      </c>
      <c r="I899" s="17" t="n">
        <v>-1</v>
      </c>
      <c r="J899" s="18" t="inlineStr"/>
      <c r="K899" s="19" t="inlineStr"/>
      <c r="L899" s="18" t="inlineStr"/>
      <c r="M899" s="19" t="n">
        <v>9570</v>
      </c>
      <c r="N899" s="18" t="n">
        <v>9035</v>
      </c>
      <c r="O899" s="19" t="n">
        <v>8797</v>
      </c>
      <c r="P899" s="18" t="n">
        <v>8273</v>
      </c>
      <c r="Q899" s="19" t="n">
        <v>10037</v>
      </c>
      <c r="R899" s="18" t="n">
        <v>29229</v>
      </c>
      <c r="S899" s="20" t="n">
        <v>28938</v>
      </c>
      <c r="T899" s="6" t="n">
        <v>3</v>
      </c>
      <c r="U899" s="5" t="inlineStr">
        <is>
          <t>방산부품 / 2025.12.31 / - | 방산부품 / 2024.12.31 / - | 방산부품 / 2026.06.30 / -</t>
        </is>
      </c>
      <c r="V899" s="21">
        <f>HYPERLINK("https://dart.fss.or.kr/dsaf001/main.do?rcpNo=20260814000987", "공시열람")</f>
        <v/>
      </c>
    </row>
    <row r="900">
      <c r="A900" s="5" t="inlineStr">
        <is>
          <t>노타</t>
        </is>
      </c>
      <c r="B900" s="6" t="inlineStr">
        <is>
          <t>486990</t>
        </is>
      </c>
      <c r="C900" s="6" t="inlineStr">
        <is>
          <t>2026Q2</t>
        </is>
      </c>
      <c r="D900" s="6" t="inlineStr">
        <is>
          <t>20260814</t>
        </is>
      </c>
      <c r="E900" s="16" t="inlineStr"/>
      <c r="F900" s="16" t="n">
        <v>7407957</v>
      </c>
      <c r="G900" s="16" t="n">
        <v>11600415</v>
      </c>
      <c r="H900" s="6" t="inlineStr">
        <is>
          <t>천원</t>
        </is>
      </c>
      <c r="I900" s="17" t="n">
        <v>-4.3</v>
      </c>
      <c r="J900" s="18" t="inlineStr"/>
      <c r="K900" s="19" t="inlineStr"/>
      <c r="L900" s="18" t="inlineStr"/>
      <c r="M900" s="19" t="inlineStr"/>
      <c r="N900" s="18" t="inlineStr"/>
      <c r="O900" s="19" t="inlineStr"/>
      <c r="P900" s="18" t="inlineStr"/>
      <c r="Q900" s="19" t="n">
        <v>1090864</v>
      </c>
      <c r="R900" s="18" t="n">
        <v>12123360</v>
      </c>
      <c r="S900" s="20" t="n">
        <v>11600415</v>
      </c>
      <c r="T900" s="6" t="n">
        <v>2</v>
      </c>
      <c r="U900" s="5" t="inlineStr">
        <is>
          <t>플랫폼 / 6건 | 솔루션 / 33건</t>
        </is>
      </c>
      <c r="V900" s="21">
        <f>HYPERLINK("https://dart.fss.or.kr/dsaf001/main.do?rcpNo=20260814003297", "공시열람")</f>
        <v/>
      </c>
    </row>
    <row r="901">
      <c r="A901" s="5" t="inlineStr">
        <is>
          <t>케이앤에스아이앤씨</t>
        </is>
      </c>
      <c r="B901" s="6" t="inlineStr">
        <is>
          <t>487400</t>
        </is>
      </c>
      <c r="C901" s="6" t="inlineStr">
        <is>
          <t>2026Q2</t>
        </is>
      </c>
      <c r="D901" s="6" t="inlineStr">
        <is>
          <t>20260814</t>
        </is>
      </c>
      <c r="E901" s="16" t="inlineStr"/>
      <c r="F901" s="16" t="inlineStr"/>
      <c r="G901" s="16" t="n">
        <v>33999743</v>
      </c>
      <c r="H901" s="6" t="inlineStr">
        <is>
          <t>천원</t>
        </is>
      </c>
      <c r="I901" s="17" t="inlineStr"/>
      <c r="J901" s="18" t="inlineStr"/>
      <c r="K901" s="19" t="inlineStr"/>
      <c r="L901" s="18" t="inlineStr"/>
      <c r="M901" s="19" t="inlineStr"/>
      <c r="N901" s="18" t="inlineStr"/>
      <c r="O901" s="19" t="inlineStr"/>
      <c r="P901" s="18" t="inlineStr"/>
      <c r="Q901" s="19" t="inlineStr"/>
      <c r="R901" s="18" t="inlineStr"/>
      <c r="S901" s="20" t="n">
        <v>33999743</v>
      </c>
      <c r="T901" s="6" t="n">
        <v>5</v>
      </c>
      <c r="U901" s="5" t="inlineStr">
        <is>
          <t>A고객사 / 군용 VSAT | B고객사 / 군용 VSAT | C고객사 / 상용 VSAT</t>
        </is>
      </c>
      <c r="V901" s="21">
        <f>HYPERLINK("https://dart.fss.or.kr/dsaf001/main.do?rcpNo=20260814000925", "공시열람")</f>
        <v/>
      </c>
    </row>
    <row r="902">
      <c r="A902" s="5" t="inlineStr">
        <is>
          <t>에스투더블유</t>
        </is>
      </c>
      <c r="B902" s="6" t="inlineStr">
        <is>
          <t>488280</t>
        </is>
      </c>
      <c r="C902" s="6" t="inlineStr">
        <is>
          <t>2026Q2</t>
        </is>
      </c>
      <c r="D902" s="6" t="inlineStr">
        <is>
          <t>20260813</t>
        </is>
      </c>
      <c r="E902" s="16" t="n">
        <v>11195</v>
      </c>
      <c r="F902" s="16" t="n">
        <v>5844</v>
      </c>
      <c r="G902" s="16" t="n">
        <v>5351</v>
      </c>
      <c r="H902" s="6" t="inlineStr">
        <is>
          <t>백만원</t>
        </is>
      </c>
      <c r="I902" s="17" t="n">
        <v>-9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n">
        <v>6544</v>
      </c>
      <c r="Q902" s="19" t="n">
        <v>5825</v>
      </c>
      <c r="R902" s="18" t="n">
        <v>5881</v>
      </c>
      <c r="S902" s="20" t="n">
        <v>5351</v>
      </c>
      <c r="T902" s="6" t="n">
        <v>1</v>
      </c>
      <c r="U902" s="5" t="inlineStr">
        <is>
          <t>서비스</t>
        </is>
      </c>
      <c r="V902" s="21">
        <f>HYPERLINK("https://dart.fss.or.kr/dsaf001/main.do?rcpNo=20260813001570", "공시열람")</f>
        <v/>
      </c>
    </row>
    <row r="903">
      <c r="A903" s="5" t="inlineStr">
        <is>
          <t>비츠로넥스텍</t>
        </is>
      </c>
      <c r="B903" s="6" t="inlineStr">
        <is>
          <t>488900</t>
        </is>
      </c>
      <c r="C903" s="6" t="inlineStr">
        <is>
          <t>2026Q1</t>
        </is>
      </c>
      <c r="D903" s="6" t="inlineStr">
        <is>
          <t>20260515</t>
        </is>
      </c>
      <c r="E903" s="16" t="n">
        <v>137393</v>
      </c>
      <c r="F903" s="16" t="n">
        <v>71658</v>
      </c>
      <c r="G903" s="16" t="n">
        <v>65735</v>
      </c>
      <c r="H903" s="6" t="inlineStr">
        <is>
          <t>백만원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n">
        <v>65735</v>
      </c>
      <c r="S903" s="20" t="inlineStr"/>
      <c r="T903" s="6" t="n">
        <v>1</v>
      </c>
      <c r="U903" s="5" t="inlineStr">
        <is>
          <t>연소기외 / -</t>
        </is>
      </c>
      <c r="V903" s="21">
        <f>HYPERLINK("https://dart.fss.or.kr/dsaf001/main.do?rcpNo=20260515002341", "공시열람")</f>
        <v/>
      </c>
    </row>
    <row r="904">
      <c r="A904" s="5" t="inlineStr">
        <is>
          <t>한화비전</t>
        </is>
      </c>
      <c r="B904" s="6" t="inlineStr">
        <is>
          <t>489790</t>
        </is>
      </c>
      <c r="C904" s="6" t="inlineStr">
        <is>
          <t>2026Q2</t>
        </is>
      </c>
      <c r="D904" s="6" t="inlineStr">
        <is>
          <t>20260813</t>
        </is>
      </c>
      <c r="E904" s="16" t="n">
        <v>29459</v>
      </c>
      <c r="F904" s="16" t="n">
        <v>16154</v>
      </c>
      <c r="G904" s="16" t="n">
        <v>13305</v>
      </c>
      <c r="H904" s="6" t="inlineStr">
        <is>
          <t>백만원</t>
        </is>
      </c>
      <c r="I904" s="17" t="n">
        <v>-14</v>
      </c>
      <c r="J904" s="18" t="inlineStr"/>
      <c r="K904" s="19" t="inlineStr"/>
      <c r="L904" s="18" t="n">
        <v>44966</v>
      </c>
      <c r="M904" s="19" t="n">
        <v>41331</v>
      </c>
      <c r="N904" s="18" t="n">
        <v>27365</v>
      </c>
      <c r="O904" s="19" t="n">
        <v>40652</v>
      </c>
      <c r="P904" s="18" t="n">
        <v>29986</v>
      </c>
      <c r="Q904" s="19" t="n">
        <v>22106</v>
      </c>
      <c r="R904" s="18" t="n">
        <v>15476</v>
      </c>
      <c r="S904" s="20" t="n">
        <v>13305</v>
      </c>
      <c r="T904" s="6" t="n">
        <v>1</v>
      </c>
      <c r="U904" s="5" t="inlineStr">
        <is>
          <t>CCTV설치공사 등 / -</t>
        </is>
      </c>
      <c r="V904" s="21">
        <f>HYPERLINK("https://dart.fss.or.kr/dsaf001/main.do?rcpNo=20260813001301", "공시열람")</f>
        <v/>
      </c>
    </row>
    <row r="905">
      <c r="A905" s="5" t="inlineStr">
        <is>
          <t>지에프아이</t>
        </is>
      </c>
      <c r="B905" s="6" t="inlineStr">
        <is>
          <t>493330</t>
        </is>
      </c>
      <c r="C905" s="6" t="inlineStr">
        <is>
          <t>2026Q2</t>
        </is>
      </c>
      <c r="D905" s="6" t="inlineStr">
        <is>
          <t>20260813</t>
        </is>
      </c>
      <c r="E905" s="16" t="n">
        <v>1088896</v>
      </c>
      <c r="F905" s="16" t="n">
        <v>1088896</v>
      </c>
      <c r="G905" s="16" t="n">
        <v>0</v>
      </c>
      <c r="H905" s="6" t="inlineStr">
        <is>
          <t>천원</t>
        </is>
      </c>
      <c r="I905" s="17" t="n">
        <v>-100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663499</v>
      </c>
      <c r="Q905" s="19" t="n">
        <v>552241</v>
      </c>
      <c r="R905" s="18" t="n">
        <v>80864</v>
      </c>
      <c r="S905" s="20" t="n">
        <v>0</v>
      </c>
      <c r="T905" s="6" t="n">
        <v>2</v>
      </c>
      <c r="U905" s="5" t="inlineStr">
        <is>
          <t>국내 ESS 직분사 확대적용 300MWh_13차 / - | 국내 소규모 ESS Site 직분사 / - / 2026</t>
        </is>
      </c>
      <c r="V905" s="21">
        <f>HYPERLINK("https://dart.fss.or.kr/dsaf001/main.do?rcpNo=20260813000372", "공시열람")</f>
        <v/>
      </c>
    </row>
    <row r="906">
      <c r="A906" s="5" t="inlineStr">
        <is>
          <t>유비씨</t>
        </is>
      </c>
      <c r="B906" s="6" t="inlineStr">
        <is>
          <t>495810</t>
        </is>
      </c>
      <c r="C906" s="6" t="inlineStr">
        <is>
          <t>2025Q4</t>
        </is>
      </c>
      <c r="D906" s="6" t="inlineStr">
        <is>
          <t>20260323</t>
        </is>
      </c>
      <c r="E906" s="16" t="n">
        <v>1942940</v>
      </c>
      <c r="F906" s="16" t="n">
        <v>1160275</v>
      </c>
      <c r="G906" s="16" t="n">
        <v>782665</v>
      </c>
      <c r="H906" s="6" t="inlineStr">
        <is>
          <t>천원</t>
        </is>
      </c>
      <c r="I906" s="17" t="n">
        <v>28.2</v>
      </c>
      <c r="J906" s="18" t="inlineStr"/>
      <c r="K906" s="19" t="inlineStr"/>
      <c r="L906" s="18" t="inlineStr"/>
      <c r="M906" s="19" t="n">
        <v>610375</v>
      </c>
      <c r="N906" s="18" t="inlineStr"/>
      <c r="O906" s="19" t="inlineStr"/>
      <c r="P906" s="18" t="inlineStr"/>
      <c r="Q906" s="19" t="n">
        <v>782665</v>
      </c>
      <c r="R906" s="18" t="inlineStr"/>
      <c r="S906" s="20" t="inlineStr"/>
      <c r="T906" s="6" t="n">
        <v>13</v>
      </c>
      <c r="U906" s="5" t="inlineStr">
        <is>
          <t>On-Premise DT / 2025-08-11 / 2 | On-Premise DT / 2025-10-15 / 2 | On-Premise DT / 2024-12-26 / 2</t>
        </is>
      </c>
      <c r="V906" s="21">
        <f>HYPERLINK("https://dart.fss.or.kr/dsaf001/main.do?rcpNo=20260323000238", "공시열람")</f>
        <v/>
      </c>
    </row>
    <row r="907">
      <c r="A907" s="5" t="inlineStr">
        <is>
          <t>본시스템즈</t>
        </is>
      </c>
      <c r="B907" s="6" t="inlineStr">
        <is>
          <t>496320</t>
        </is>
      </c>
      <c r="C907" s="6" t="inlineStr">
        <is>
          <t>2025Q4</t>
        </is>
      </c>
      <c r="D907" s="6" t="inlineStr">
        <is>
          <t>20260313</t>
        </is>
      </c>
      <c r="E907" s="16" t="inlineStr"/>
      <c r="F907" s="16" t="inlineStr"/>
      <c r="G907" s="16" t="n">
        <v>1221466</v>
      </c>
      <c r="H907" s="6" t="inlineStr">
        <is>
          <t>천원</t>
        </is>
      </c>
      <c r="I907" s="17" t="n">
        <v>-43.4</v>
      </c>
      <c r="J907" s="18" t="inlineStr"/>
      <c r="K907" s="19" t="inlineStr"/>
      <c r="L907" s="18" t="inlineStr"/>
      <c r="M907" s="19" t="n">
        <v>2156946</v>
      </c>
      <c r="N907" s="18" t="inlineStr"/>
      <c r="O907" s="19" t="inlineStr"/>
      <c r="P907" s="18" t="inlineStr"/>
      <c r="Q907" s="19" t="n">
        <v>1221466</v>
      </c>
      <c r="R907" s="18" t="inlineStr"/>
      <c r="S907" s="20" t="inlineStr"/>
      <c r="T907" s="6" t="n">
        <v>1</v>
      </c>
      <c r="U907" s="5" t="inlineStr">
        <is>
          <t>건설공사</t>
        </is>
      </c>
      <c r="V907" s="21">
        <f>HYPERLINK("https://dart.fss.or.kr/dsaf001/main.do?rcpNo=20260313001347", "공시열람")</f>
        <v/>
      </c>
    </row>
    <row r="908">
      <c r="A908" s="5" t="inlineStr">
        <is>
          <t>크리스탈신소재</t>
        </is>
      </c>
      <c r="B908" s="6" t="inlineStr">
        <is>
          <t>900250</t>
        </is>
      </c>
      <c r="C908" s="6" t="inlineStr">
        <is>
          <t>2023Q4</t>
        </is>
      </c>
      <c r="D908" s="6" t="inlineStr">
        <is>
          <t>20240422</t>
        </is>
      </c>
      <c r="E908" s="16" t="n">
        <v>52000000</v>
      </c>
      <c r="F908" s="16" t="n">
        <v>23200000</v>
      </c>
      <c r="G908" s="16" t="n">
        <v>28800000</v>
      </c>
      <c r="H908" s="6" t="inlineStr">
        <is>
          <t>kg,RMB</t>
        </is>
      </c>
      <c r="I908" s="17" t="inlineStr"/>
      <c r="J908" s="18" t="inlineStr"/>
      <c r="K908" s="19" t="inlineStr"/>
      <c r="L908" s="18" t="inlineStr"/>
      <c r="M908" s="19" t="inlineStr"/>
      <c r="N908" s="18" t="inlineStr"/>
      <c r="O908" s="19" t="inlineStr"/>
      <c r="P908" s="18" t="inlineStr"/>
      <c r="Q908" s="19" t="inlineStr"/>
      <c r="R908" s="18" t="inlineStr"/>
      <c r="S908" s="20" t="inlineStr"/>
      <c r="T908" s="6" t="n">
        <v>2</v>
      </c>
      <c r="U908" s="5" t="inlineStr">
        <is>
          <t>그래핀 파우더 / 2023.08.29 / 2024.03 | 그래핀 파우더 / 2023.10.18 / 2024.02</t>
        </is>
      </c>
      <c r="V908" s="21">
        <f>HYPERLINK("https://dart.fss.or.kr/dsaf001/main.do?rcpNo=20240422000050", "공시열람")</f>
        <v/>
      </c>
    </row>
    <row r="909">
      <c r="A909" s="5" t="inlineStr">
        <is>
          <t>900300</t>
        </is>
      </c>
      <c r="B909" s="6" t="inlineStr">
        <is>
          <t>900300</t>
        </is>
      </c>
      <c r="C909" s="6" t="inlineStr">
        <is>
          <t>2026Q1</t>
        </is>
      </c>
      <c r="D909" s="6" t="inlineStr">
        <is>
          <t>20260601</t>
        </is>
      </c>
      <c r="E909" s="16" t="n">
        <v>232678017</v>
      </c>
      <c r="F909" s="16" t="n">
        <v>232678017</v>
      </c>
      <c r="G909" s="16" t="n">
        <v>0</v>
      </c>
      <c r="H909" s="6" t="inlineStr">
        <is>
          <t>CNY</t>
        </is>
      </c>
      <c r="I909" s="17" t="inlineStr"/>
      <c r="J909" s="18" t="n">
        <v>0</v>
      </c>
      <c r="K909" s="19" t="n">
        <v>0</v>
      </c>
      <c r="L909" s="18" t="n">
        <v>0</v>
      </c>
      <c r="M909" s="19" t="n">
        <v>0</v>
      </c>
      <c r="N909" s="18" t="n">
        <v>0</v>
      </c>
      <c r="O909" s="19" t="n">
        <v>0</v>
      </c>
      <c r="P909" s="18" t="inlineStr"/>
      <c r="Q909" s="19" t="n">
        <v>0</v>
      </c>
      <c r="R909" s="18" t="n">
        <v>0</v>
      </c>
      <c r="S909" s="20" t="inlineStr"/>
      <c r="T909" s="6" t="n">
        <v>7</v>
      </c>
      <c r="U909" s="5" t="inlineStr">
        <is>
          <t>클렌징 화장품 / 2025.12.14~2026.02.2 | 여름용 화장품 / 2025.12.14~2026.02.2 | 기능성 화장품 / 2025.12.14~2026.02.2</t>
        </is>
      </c>
      <c r="V909" s="21">
        <f>HYPERLINK("https://dart.fss.or.kr/dsaf001/main.do?rcpNo=20260601001747", "공시열람")</f>
        <v/>
      </c>
    </row>
    <row r="910">
      <c r="A910" s="5" t="inlineStr">
        <is>
          <t>컬러레이</t>
        </is>
      </c>
      <c r="B910" s="6" t="inlineStr">
        <is>
          <t>900310</t>
        </is>
      </c>
      <c r="C910" s="6" t="inlineStr">
        <is>
          <t>2026Q2</t>
        </is>
      </c>
      <c r="D910" s="6" t="inlineStr">
        <is>
          <t>20260825</t>
        </is>
      </c>
      <c r="E910" s="16" t="n">
        <v>17388650</v>
      </c>
      <c r="F910" s="16" t="inlineStr"/>
      <c r="G910" s="16" t="n">
        <v>17635917</v>
      </c>
      <c r="H910" s="6" t="inlineStr">
        <is>
          <t>RMB</t>
        </is>
      </c>
      <c r="I910" s="17" t="n">
        <v>0</v>
      </c>
      <c r="J910" s="18" t="n">
        <v>18915869</v>
      </c>
      <c r="K910" s="19" t="n">
        <v>18915869</v>
      </c>
      <c r="L910" s="18" t="n">
        <v>18915869</v>
      </c>
      <c r="M910" s="19" t="n">
        <v>18915869</v>
      </c>
      <c r="N910" s="18" t="n">
        <v>17571498</v>
      </c>
      <c r="O910" s="19" t="n">
        <v>17571498</v>
      </c>
      <c r="P910" s="18" t="inlineStr"/>
      <c r="Q910" s="19" t="n">
        <v>17571498</v>
      </c>
      <c r="R910" s="18" t="n">
        <v>17635917</v>
      </c>
      <c r="S910" s="20" t="n">
        <v>17635917</v>
      </c>
      <c r="T910" s="6" t="n">
        <v>10</v>
      </c>
      <c r="U910" s="5" t="inlineStr">
        <is>
          <t>골든시리즈 | 실버화이트시리즈 | 색조컬러시리즈</t>
        </is>
      </c>
      <c r="V910" s="21">
        <f>HYPERLINK("https://dart.fss.or.kr/dsaf001/main.do?rcpNo=20260825000446", "공시열람")</f>
        <v/>
      </c>
    </row>
    <row r="911">
      <c r="A911" s="5" t="inlineStr">
        <is>
          <t>900340</t>
        </is>
      </c>
      <c r="B911" s="6" t="inlineStr">
        <is>
          <t>900340</t>
        </is>
      </c>
      <c r="C911" s="6" t="inlineStr">
        <is>
          <t>2026Q1</t>
        </is>
      </c>
      <c r="D911" s="6" t="inlineStr">
        <is>
          <t>20260529</t>
        </is>
      </c>
      <c r="E911" s="16" t="n">
        <v>219191036</v>
      </c>
      <c r="F911" s="16" t="n">
        <v>219191036</v>
      </c>
      <c r="G911" s="16" t="n">
        <v>0</v>
      </c>
      <c r="H911" s="6" t="inlineStr">
        <is>
          <t>KG,RMB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inlineStr"/>
      <c r="T911" s="6" t="n">
        <v>3</v>
      </c>
      <c r="U911" s="5" t="inlineStr">
        <is>
          <t>전통식품 / 2026.01.01~2026.03.31 | 간편식품 / 2026.01.01~2026.03.31 | 냉동식품 / 2026.01.01~2026.03.31</t>
        </is>
      </c>
      <c r="V911" s="21">
        <f>HYPERLINK("https://dart.fss.or.kr/dsaf001/main.do?rcpNo=20260529001693", "공시열람")</f>
        <v/>
      </c>
    </row>
    <row r="912">
      <c r="A912" s="5" t="inlineStr">
        <is>
          <t>프레스티지바이오파마</t>
        </is>
      </c>
      <c r="B912" s="6" t="inlineStr">
        <is>
          <t>950210</t>
        </is>
      </c>
      <c r="C912" s="6" t="inlineStr">
        <is>
          <t>2026Q1</t>
        </is>
      </c>
      <c r="D912" s="6" t="inlineStr">
        <is>
          <t>20260529</t>
        </is>
      </c>
      <c r="E912" s="16" t="n">
        <v>861413</v>
      </c>
      <c r="F912" s="16" t="inlineStr"/>
      <c r="G912" s="16" t="n">
        <v>861413</v>
      </c>
      <c r="H912" s="6" t="inlineStr">
        <is>
          <t>USD</t>
        </is>
      </c>
      <c r="I912" s="17" t="n">
        <v>1694.3</v>
      </c>
      <c r="J912" s="18" t="n">
        <v>136320000</v>
      </c>
      <c r="K912" s="19" t="n">
        <v>136320000</v>
      </c>
      <c r="L912" s="18" t="n">
        <v>136320000</v>
      </c>
      <c r="M912" s="19" t="n">
        <v>141071840</v>
      </c>
      <c r="N912" s="18" t="n">
        <v>141321730</v>
      </c>
      <c r="O912" s="19" t="n">
        <v>149592656</v>
      </c>
      <c r="P912" s="18" t="inlineStr"/>
      <c r="Q912" s="19" t="n">
        <v>48008</v>
      </c>
      <c r="R912" s="18" t="n">
        <v>861413</v>
      </c>
      <c r="S912" s="20" t="inlineStr"/>
      <c r="T912" s="6" t="n">
        <v>1</v>
      </c>
      <c r="U912" s="5" t="inlineStr">
        <is>
          <t>의약품원료 등 / 바이오의약품 등 / 24년~ (계약별</t>
        </is>
      </c>
      <c r="V912" s="21">
        <f>HYPERLINK("https://dart.fss.or.kr/dsaf001/main.do?rcpNo=20260529002121", "공시열람")</f>
        <v/>
      </c>
    </row>
  </sheetData>
  <autoFilter ref="A1:V9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2026-08-28T12:49:08Z</dcterms:created>
  <dcterms:modified xmlns:dcterms="http://purl.org/dc/terms/" xmlns:xsi="http://www.w3.org/2001/XMLSchema-instance" xsi:type="dcterms:W3CDTF">2026-08-28T12:49:12Z</dcterms:modified>
</cp:coreProperties>
</file>